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filterPrivacy="1" codeName="ThisWorkbook" defaultThemeVersion="124226"/>
  <xr:revisionPtr revIDLastSave="0" documentId="13_ncr:1_{1FA24545-CC50-4F19-A8F5-E28FE1288578}" xr6:coauthVersionLast="46" xr6:coauthVersionMax="46" xr10:uidLastSave="{00000000-0000-0000-0000-000000000000}"/>
  <bookViews>
    <workbookView xWindow="30345" yWindow="780" windowWidth="21600" windowHeight="11385" xr2:uid="{00000000-000D-0000-FFFF-FFFF00000000}"/>
  </bookViews>
  <sheets>
    <sheet name="模板" sheetId="2" r:id="rId1"/>
    <sheet name="Sheet2" sheetId="3" r:id="rId2"/>
    <sheet name="Sheet1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" i="3" l="1"/>
  <c r="O8" i="3" s="1"/>
  <c r="O9" i="3" s="1"/>
  <c r="N7" i="3"/>
  <c r="M7" i="3"/>
  <c r="M8" i="3" s="1"/>
  <c r="M9" i="3" s="1"/>
  <c r="O5" i="3" l="1"/>
  <c r="N5" i="3"/>
  <c r="M5" i="3"/>
  <c r="P2" i="1" l="1"/>
  <c r="O2" i="1"/>
  <c r="Q2" i="1"/>
  <c r="S2" i="1" s="1"/>
  <c r="F3" i="3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I15" i="2" l="1"/>
  <c r="H51" i="3" l="1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</calcChain>
</file>

<file path=xl/sharedStrings.xml><?xml version="1.0" encoding="utf-8"?>
<sst xmlns="http://schemas.openxmlformats.org/spreadsheetml/2006/main" count="31" uniqueCount="31">
  <si>
    <t>深市</t>
    <phoneticPr fontId="2" type="noConversion"/>
  </si>
  <si>
    <t>沪市</t>
    <phoneticPr fontId="2" type="noConversion"/>
  </si>
  <si>
    <t>李鼎峰</t>
  </si>
  <si>
    <t>0755-82703774</t>
  </si>
  <si>
    <t>根据市场分析以及行业市盈率判断得出该价格</t>
    <phoneticPr fontId="2" type="noConversion"/>
  </si>
  <si>
    <t>EPS</t>
    <phoneticPr fontId="2" type="noConversion"/>
  </si>
  <si>
    <t>PE</t>
    <phoneticPr fontId="2" type="noConversion"/>
  </si>
  <si>
    <t>价格</t>
    <phoneticPr fontId="2" type="noConversion"/>
  </si>
  <si>
    <t>总股本</t>
    <phoneticPr fontId="2" type="noConversion"/>
  </si>
  <si>
    <t>询价报告估值下限</t>
    <phoneticPr fontId="2" type="noConversion"/>
  </si>
  <si>
    <t>询价报告估值上限</t>
    <phoneticPr fontId="2" type="noConversion"/>
  </si>
  <si>
    <t>产品数量</t>
    <phoneticPr fontId="2" type="noConversion"/>
  </si>
  <si>
    <t>2020E净利润</t>
    <phoneticPr fontId="2" type="noConversion"/>
  </si>
  <si>
    <t>2019净利润</t>
    <phoneticPr fontId="2" type="noConversion"/>
  </si>
  <si>
    <t>产品数量</t>
    <phoneticPr fontId="2" type="noConversion"/>
  </si>
  <si>
    <t>杭华股份</t>
    <phoneticPr fontId="2" type="noConversion"/>
  </si>
  <si>
    <t>510150.SH</t>
  </si>
  <si>
    <t>IC.CFE</t>
  </si>
  <si>
    <t>IF.CFE</t>
  </si>
  <si>
    <t>IC</t>
    <phoneticPr fontId="2" type="noConversion"/>
  </si>
  <si>
    <t>IF</t>
    <phoneticPr fontId="2" type="noConversion"/>
  </si>
  <si>
    <t>sigma_etf</t>
    <phoneticPr fontId="2" type="noConversion"/>
  </si>
  <si>
    <t>sigma_if</t>
    <phoneticPr fontId="2" type="noConversion"/>
  </si>
  <si>
    <t>rho</t>
    <phoneticPr fontId="2" type="noConversion"/>
  </si>
  <si>
    <t>hedge_ratio</t>
    <phoneticPr fontId="2" type="noConversion"/>
  </si>
  <si>
    <t>创大盘</t>
    <phoneticPr fontId="2" type="noConversion"/>
  </si>
  <si>
    <t>消费</t>
    <phoneticPr fontId="2" type="noConversion"/>
  </si>
  <si>
    <t>中证红利</t>
    <phoneticPr fontId="2" type="noConversion"/>
  </si>
  <si>
    <t>三友联众</t>
    <phoneticPr fontId="2" type="noConversion"/>
  </si>
  <si>
    <t>价格</t>
    <phoneticPr fontId="2" type="noConversion"/>
  </si>
  <si>
    <t>致远新能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</si>
</sst>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0.0000"/>
  </numFmts>
  <fonts count="5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10">
    <xf numFmtId="0" fontId="0" fillId="0" borderId="0" xfId="0"/>
    <xf numFmtId="0" fontId="0" fillId="0" borderId="0" xfId="0" applyAlignment="1">
      <alignment vertical="center"/>
    </xf>
    <xf numFmtId="0" fontId="0" fillId="0" borderId="0" xfId="0" applyNumberFormat="1"/>
    <xf numFmtId="0" fontId="0" fillId="0" borderId="0" xfId="0" applyAlignment="1">
      <alignment horizontal="left"/>
    </xf>
    <xf numFmtId="49" fontId="3" fillId="0" borderId="0" xfId="0" applyNumberFormat="1" applyFont="1" applyFill="1"/>
    <xf numFmtId="14" fontId="0" fillId="0" borderId="0" xfId="0" applyNumberFormat="1"/>
    <xf numFmtId="0" fontId="1" fillId="0" borderId="0" xfId="1">
      <alignment vertical="center"/>
    </xf>
    <xf numFmtId="176" fontId="4" fillId="0" borderId="0" xfId="1" applyNumberFormat="1" applyFont="1" applyAlignment="1">
      <alignment horizontal="right" vertical="center"/>
    </xf>
    <xf numFmtId="177" fontId="4" fillId="0" borderId="0" xfId="1" applyNumberFormat="1" applyFont="1" applyAlignment="1">
      <alignment horizontal="right" vertical="center"/>
    </xf>
    <xf numFmtId="0" fontId="0" fillId="2" borderId="0" xfId="0" applyFill="1"/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34"/>
  <sheetViews>
    <sheetView tabSelected="1" zoomScaleNormal="100" workbookViewId="0">
      <selection activeCell="I20" sqref="I20"/>
    </sheetView>
  </sheetViews>
  <sheetFormatPr defaultRowHeight="13.5" x14ac:dyDescent="0.15"/>
  <cols>
    <col min="4" max="4" width="11.75" bestFit="1" customWidth="1"/>
    <col min="5" max="5" width="12.375" bestFit="1" customWidth="1"/>
    <col min="10" max="10" width="10.25" customWidth="1"/>
    <col min="11" max="11" width="11.25" customWidth="1"/>
  </cols>
  <sheetData>
    <row r="1" spans="1:12" x14ac:dyDescent="0.15">
      <c r="A1" t="s">
        <v>0</v>
      </c>
      <c r="C1" t="s">
        <v>29</v>
      </c>
      <c r="E1" t="s">
        <v>14</v>
      </c>
      <c r="F1" t="s">
        <v>1</v>
      </c>
      <c r="J1" t="s">
        <v>11</v>
      </c>
    </row>
    <row r="2" spans="1:12" x14ac:dyDescent="0.15">
      <c r="A2">
        <v>300985</v>
      </c>
      <c r="B2" t="s">
        <v>30</v>
      </c>
      <c r="C2" s="9">
        <v>25.09</v>
      </c>
      <c r="D2">
        <v>1000</v>
      </c>
      <c r="E2">
        <v>5</v>
      </c>
      <c r="F2">
        <v>688571</v>
      </c>
      <c r="G2" t="s">
        <v>15</v>
      </c>
      <c r="H2">
        <v>10</v>
      </c>
      <c r="I2">
        <v>1300</v>
      </c>
      <c r="J2">
        <v>5</v>
      </c>
    </row>
    <row r="3" spans="1:12" x14ac:dyDescent="0.15">
      <c r="F3" s="3"/>
      <c r="G3" s="4"/>
    </row>
    <row r="7" spans="1:12" x14ac:dyDescent="0.15">
      <c r="H7" s="2"/>
    </row>
    <row r="8" spans="1:12" x14ac:dyDescent="0.15">
      <c r="A8" t="s">
        <v>4</v>
      </c>
    </row>
    <row r="9" spans="1:12" x14ac:dyDescent="0.15">
      <c r="A9" t="s">
        <v>2</v>
      </c>
    </row>
    <row r="10" spans="1:12" x14ac:dyDescent="0.15">
      <c r="A10" t="s">
        <v>3</v>
      </c>
    </row>
    <row r="11" spans="1:12" x14ac:dyDescent="0.15">
      <c r="A11">
        <v>13510131661</v>
      </c>
    </row>
    <row r="14" spans="1:12" x14ac:dyDescent="0.15">
      <c r="D14" t="s">
        <v>13</v>
      </c>
      <c r="E14" t="s">
        <v>12</v>
      </c>
      <c r="F14" t="s">
        <v>8</v>
      </c>
      <c r="G14" t="s">
        <v>5</v>
      </c>
      <c r="H14" t="s">
        <v>6</v>
      </c>
      <c r="I14" t="s">
        <v>7</v>
      </c>
      <c r="K14" t="s">
        <v>9</v>
      </c>
      <c r="L14" t="s">
        <v>10</v>
      </c>
    </row>
    <row r="15" spans="1:12" x14ac:dyDescent="0.15">
      <c r="B15">
        <v>300932</v>
      </c>
      <c r="C15" t="s">
        <v>28</v>
      </c>
      <c r="E15">
        <v>14500</v>
      </c>
      <c r="F15">
        <v>12562.95</v>
      </c>
      <c r="G15">
        <v>1.1564912280701756</v>
      </c>
      <c r="H15">
        <v>28.5</v>
      </c>
      <c r="I15">
        <f>G15*H15</f>
        <v>32.96</v>
      </c>
      <c r="K15">
        <v>32.96</v>
      </c>
      <c r="L15">
        <v>41.55</v>
      </c>
    </row>
    <row r="16" spans="1:12" x14ac:dyDescent="0.15">
      <c r="C16" s="1"/>
    </row>
    <row r="17" spans="3:6" x14ac:dyDescent="0.15">
      <c r="C17" s="1"/>
      <c r="D17" s="1"/>
      <c r="E17" s="1"/>
      <c r="F17" s="1"/>
    </row>
    <row r="18" spans="3:6" x14ac:dyDescent="0.15">
      <c r="C18" s="1"/>
      <c r="D18" s="1"/>
      <c r="E18" s="1"/>
    </row>
    <row r="19" spans="3:6" x14ac:dyDescent="0.15">
      <c r="C19" s="1"/>
      <c r="D19" s="1"/>
    </row>
    <row r="22" spans="3:6" x14ac:dyDescent="0.15">
      <c r="F22" s="1"/>
    </row>
    <row r="23" spans="3:6" x14ac:dyDescent="0.15">
      <c r="E23" s="1"/>
      <c r="F23" s="1"/>
    </row>
    <row r="24" spans="3:6" x14ac:dyDescent="0.15">
      <c r="C24" s="1"/>
      <c r="D24" s="1"/>
      <c r="E24" s="1"/>
      <c r="F24" s="1"/>
    </row>
    <row r="25" spans="3:6" x14ac:dyDescent="0.15">
      <c r="C25" s="1"/>
      <c r="D25" s="1"/>
      <c r="E25" s="1"/>
      <c r="F25" s="1"/>
    </row>
    <row r="26" spans="3:6" x14ac:dyDescent="0.15">
      <c r="C26" s="1"/>
      <c r="D26" s="1"/>
      <c r="E26" s="1"/>
      <c r="F26" s="1"/>
    </row>
    <row r="27" spans="3:6" x14ac:dyDescent="0.15">
      <c r="C27" s="1"/>
      <c r="D27" s="1"/>
      <c r="E27" s="1"/>
      <c r="F27" s="1"/>
    </row>
    <row r="28" spans="3:6" x14ac:dyDescent="0.15">
      <c r="C28" s="1"/>
      <c r="D28" s="1"/>
      <c r="E28" s="1"/>
    </row>
    <row r="29" spans="3:6" x14ac:dyDescent="0.15">
      <c r="C29" s="1"/>
      <c r="D29" s="1"/>
      <c r="F29" s="1"/>
    </row>
    <row r="30" spans="3:6" x14ac:dyDescent="0.15">
      <c r="E30" s="1"/>
      <c r="F30" s="1"/>
    </row>
    <row r="31" spans="3:6" x14ac:dyDescent="0.15">
      <c r="C31" s="1"/>
      <c r="D31" s="1"/>
      <c r="E31" s="1"/>
      <c r="F31" s="1"/>
    </row>
    <row r="32" spans="3:6" x14ac:dyDescent="0.15">
      <c r="C32" s="1"/>
      <c r="D32" s="1"/>
      <c r="E32" s="1"/>
      <c r="F32" s="1"/>
    </row>
    <row r="33" spans="3:5" x14ac:dyDescent="0.15">
      <c r="C33" s="1"/>
      <c r="D33" s="1"/>
      <c r="E33" s="1"/>
    </row>
    <row r="34" spans="3:5" x14ac:dyDescent="0.15">
      <c r="C34" s="1"/>
      <c r="D3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242"/>
  <sheetViews>
    <sheetView topLeftCell="C1" workbookViewId="0">
      <selection activeCell="S11" sqref="S11"/>
    </sheetView>
  </sheetViews>
  <sheetFormatPr defaultRowHeight="13.5" x14ac:dyDescent="0.15"/>
  <cols>
    <col min="1" max="1" width="11.625" bestFit="1" customWidth="1"/>
    <col min="2" max="2" width="10.5" bestFit="1" customWidth="1"/>
    <col min="3" max="4" width="12.25" bestFit="1" customWidth="1"/>
  </cols>
  <sheetData>
    <row r="1" spans="1:15" x14ac:dyDescent="0.15">
      <c r="B1" t="s">
        <v>16</v>
      </c>
      <c r="C1" t="s">
        <v>17</v>
      </c>
      <c r="D1" t="s">
        <v>18</v>
      </c>
    </row>
    <row r="2" spans="1:15" x14ac:dyDescent="0.15">
      <c r="A2" s="5">
        <v>43832</v>
      </c>
      <c r="B2">
        <v>5.5640000000000001</v>
      </c>
      <c r="C2">
        <v>5361.8</v>
      </c>
      <c r="D2">
        <v>4160.3999999999996</v>
      </c>
      <c r="M2" t="s">
        <v>25</v>
      </c>
      <c r="N2" t="s">
        <v>26</v>
      </c>
      <c r="O2" t="s">
        <v>27</v>
      </c>
    </row>
    <row r="3" spans="1:15" x14ac:dyDescent="0.15">
      <c r="A3" s="5">
        <v>43833</v>
      </c>
      <c r="B3">
        <v>5.5010000000000003</v>
      </c>
      <c r="C3">
        <v>5378</v>
      </c>
      <c r="D3">
        <v>4151.8</v>
      </c>
      <c r="F3">
        <f>(B3-B2)/B2</f>
        <v>-1.1322789360172487E-2</v>
      </c>
      <c r="G3">
        <f>(C3-C2)/C2</f>
        <v>3.0213734193740567E-3</v>
      </c>
      <c r="H3">
        <f>(D3-D2)/D2</f>
        <v>-2.0671089318333464E-3</v>
      </c>
      <c r="M3">
        <v>172.42</v>
      </c>
      <c r="N3">
        <v>419.05900000000003</v>
      </c>
      <c r="O3">
        <v>249.29</v>
      </c>
    </row>
    <row r="4" spans="1:15" x14ac:dyDescent="0.15">
      <c r="A4" s="5">
        <v>43836</v>
      </c>
      <c r="B4">
        <v>5.5010000000000003</v>
      </c>
      <c r="C4">
        <v>5433</v>
      </c>
      <c r="D4">
        <v>4132.6000000000004</v>
      </c>
      <c r="F4">
        <f t="shared" ref="F4:F67" si="0">(B4-B3)/B3</f>
        <v>0</v>
      </c>
      <c r="G4">
        <f t="shared" ref="G4:G67" si="1">(C4-C3)/C3</f>
        <v>1.0226850130159911E-2</v>
      </c>
      <c r="H4">
        <f t="shared" ref="H4:H67" si="2">(D4-D3)/D3</f>
        <v>-4.6245002167734041E-3</v>
      </c>
    </row>
    <row r="5" spans="1:15" x14ac:dyDescent="0.15">
      <c r="A5" s="5">
        <v>43837</v>
      </c>
      <c r="B5">
        <v>5.5540000000000003</v>
      </c>
      <c r="C5">
        <v>5501</v>
      </c>
      <c r="D5">
        <v>4162.3999999999996</v>
      </c>
      <c r="F5">
        <f t="shared" si="0"/>
        <v>9.6346118887474883E-3</v>
      </c>
      <c r="G5">
        <f t="shared" si="1"/>
        <v>1.251610528253267E-2</v>
      </c>
      <c r="H5">
        <f t="shared" si="2"/>
        <v>7.2109567826548109E-3</v>
      </c>
      <c r="M5">
        <f>M3*2</f>
        <v>344.84</v>
      </c>
      <c r="N5">
        <f>N3</f>
        <v>419.05900000000003</v>
      </c>
      <c r="O5">
        <f>O3*5</f>
        <v>1246.45</v>
      </c>
    </row>
    <row r="6" spans="1:15" x14ac:dyDescent="0.15">
      <c r="A6" s="5">
        <v>43838</v>
      </c>
      <c r="B6">
        <v>5.5410000000000004</v>
      </c>
      <c r="C6">
        <v>5433.6</v>
      </c>
      <c r="D6">
        <v>4125.6000000000004</v>
      </c>
      <c r="F6">
        <f t="shared" si="0"/>
        <v>-2.340655383507364E-3</v>
      </c>
      <c r="G6">
        <f t="shared" si="1"/>
        <v>-1.2252317760407132E-2</v>
      </c>
      <c r="H6">
        <f t="shared" si="2"/>
        <v>-8.841053238516066E-3</v>
      </c>
    </row>
    <row r="7" spans="1:15" x14ac:dyDescent="0.15">
      <c r="A7" s="5">
        <v>43839</v>
      </c>
      <c r="B7">
        <v>5.6440000000000001</v>
      </c>
      <c r="C7">
        <v>5498</v>
      </c>
      <c r="D7">
        <v>4166.3999999999996</v>
      </c>
      <c r="F7">
        <f t="shared" si="0"/>
        <v>1.8588702400288711E-2</v>
      </c>
      <c r="G7">
        <f t="shared" si="1"/>
        <v>1.1852179034157764E-2</v>
      </c>
      <c r="H7">
        <f t="shared" si="2"/>
        <v>9.889470622454738E-3</v>
      </c>
      <c r="M7">
        <f>1300*0.2</f>
        <v>260</v>
      </c>
      <c r="N7">
        <f>1300*0.2</f>
        <v>260</v>
      </c>
      <c r="O7">
        <f>1300*0.6</f>
        <v>780</v>
      </c>
    </row>
    <row r="8" spans="1:15" x14ac:dyDescent="0.15">
      <c r="A8" s="5">
        <v>43840</v>
      </c>
      <c r="B8">
        <v>5.6559999999999997</v>
      </c>
      <c r="C8">
        <v>5468</v>
      </c>
      <c r="D8">
        <v>4165</v>
      </c>
      <c r="F8">
        <f t="shared" si="0"/>
        <v>2.1261516654853944E-3</v>
      </c>
      <c r="G8">
        <f t="shared" si="1"/>
        <v>-5.4565296471444161E-3</v>
      </c>
      <c r="H8">
        <f t="shared" si="2"/>
        <v>-3.3602150537625678E-4</v>
      </c>
      <c r="M8">
        <f>(M7-221.62)</f>
        <v>38.379999999999995</v>
      </c>
      <c r="O8">
        <f>O7-738</f>
        <v>42</v>
      </c>
    </row>
    <row r="9" spans="1:15" x14ac:dyDescent="0.15">
      <c r="A9" s="5">
        <v>43843</v>
      </c>
      <c r="B9">
        <v>5.7080000000000002</v>
      </c>
      <c r="C9">
        <v>5571.2</v>
      </c>
      <c r="D9">
        <v>4210.8</v>
      </c>
      <c r="F9">
        <f t="shared" si="0"/>
        <v>9.1937765205092805E-3</v>
      </c>
      <c r="G9">
        <f t="shared" si="1"/>
        <v>1.887344550109726E-2</v>
      </c>
      <c r="H9">
        <f t="shared" si="2"/>
        <v>1.0996398559423814E-2</v>
      </c>
      <c r="M9">
        <f>M8/1.724</f>
        <v>22.262180974477957</v>
      </c>
      <c r="O9">
        <f>O8/1.23</f>
        <v>34.146341463414636</v>
      </c>
    </row>
    <row r="10" spans="1:15" x14ac:dyDescent="0.15">
      <c r="A10" s="5">
        <v>43844</v>
      </c>
      <c r="B10">
        <v>5.6619999999999999</v>
      </c>
      <c r="C10">
        <v>5543.6</v>
      </c>
      <c r="D10">
        <v>4198.8</v>
      </c>
      <c r="F10">
        <f t="shared" si="0"/>
        <v>-8.0588647512263942E-3</v>
      </c>
      <c r="G10">
        <f t="shared" si="1"/>
        <v>-4.9540493968982368E-3</v>
      </c>
      <c r="H10">
        <f t="shared" si="2"/>
        <v>-2.8498147620404672E-3</v>
      </c>
    </row>
    <row r="11" spans="1:15" x14ac:dyDescent="0.15">
      <c r="A11" s="5">
        <v>43845</v>
      </c>
      <c r="B11">
        <v>5.6829999999999998</v>
      </c>
      <c r="C11">
        <v>5523.6</v>
      </c>
      <c r="D11">
        <v>4163.2</v>
      </c>
      <c r="F11">
        <f t="shared" si="0"/>
        <v>3.7089367714588321E-3</v>
      </c>
      <c r="G11">
        <f t="shared" si="1"/>
        <v>-3.6077639079298649E-3</v>
      </c>
      <c r="H11">
        <f t="shared" si="2"/>
        <v>-8.4786129370297142E-3</v>
      </c>
    </row>
    <row r="12" spans="1:15" x14ac:dyDescent="0.15">
      <c r="A12" s="5">
        <v>43846</v>
      </c>
      <c r="B12">
        <v>5.69</v>
      </c>
      <c r="C12">
        <v>5538.4</v>
      </c>
      <c r="D12">
        <v>4157.3999999999996</v>
      </c>
      <c r="F12">
        <f t="shared" si="0"/>
        <v>1.2317437972902624E-3</v>
      </c>
      <c r="G12">
        <f t="shared" si="1"/>
        <v>2.6794119776955738E-3</v>
      </c>
      <c r="H12">
        <f t="shared" si="2"/>
        <v>-1.3931591083782143E-3</v>
      </c>
    </row>
    <row r="13" spans="1:15" x14ac:dyDescent="0.15">
      <c r="A13" s="5">
        <v>43847</v>
      </c>
      <c r="B13">
        <v>5.71</v>
      </c>
      <c r="C13">
        <v>5501.2</v>
      </c>
      <c r="D13">
        <v>4172.6000000000004</v>
      </c>
      <c r="F13">
        <f t="shared" si="0"/>
        <v>3.5149384885763747E-3</v>
      </c>
      <c r="G13">
        <f t="shared" si="1"/>
        <v>-6.7167412971254909E-3</v>
      </c>
      <c r="H13">
        <f t="shared" si="2"/>
        <v>3.6561312358687472E-3</v>
      </c>
    </row>
    <row r="14" spans="1:15" x14ac:dyDescent="0.15">
      <c r="A14" s="5">
        <v>43850</v>
      </c>
      <c r="B14">
        <v>5.75</v>
      </c>
      <c r="C14">
        <v>5598.8</v>
      </c>
      <c r="D14">
        <v>4202.2</v>
      </c>
      <c r="F14">
        <f t="shared" si="0"/>
        <v>7.0052539404553476E-3</v>
      </c>
      <c r="G14">
        <f t="shared" si="1"/>
        <v>1.7741583654475455E-2</v>
      </c>
      <c r="H14">
        <f t="shared" si="2"/>
        <v>7.0938982888365653E-3</v>
      </c>
    </row>
    <row r="15" spans="1:15" x14ac:dyDescent="0.15">
      <c r="A15" s="5">
        <v>43851</v>
      </c>
      <c r="B15">
        <v>5.7039999999999997</v>
      </c>
      <c r="C15">
        <v>5516.6</v>
      </c>
      <c r="D15">
        <v>4123.3999999999996</v>
      </c>
      <c r="F15">
        <f t="shared" si="0"/>
        <v>-8.0000000000000453E-3</v>
      </c>
      <c r="G15">
        <f t="shared" si="1"/>
        <v>-1.4681717510895158E-2</v>
      </c>
      <c r="H15">
        <f t="shared" si="2"/>
        <v>-1.8752082242634853E-2</v>
      </c>
    </row>
    <row r="16" spans="1:15" x14ac:dyDescent="0.15">
      <c r="A16" s="5">
        <v>43852</v>
      </c>
      <c r="B16">
        <v>5.69</v>
      </c>
      <c r="C16">
        <v>5580.8</v>
      </c>
      <c r="D16">
        <v>4136.3999999999996</v>
      </c>
      <c r="F16">
        <f t="shared" si="0"/>
        <v>-2.4544179523140509E-3</v>
      </c>
      <c r="G16">
        <f t="shared" si="1"/>
        <v>1.1637602871333759E-2</v>
      </c>
      <c r="H16">
        <f t="shared" si="2"/>
        <v>3.1527380317213955E-3</v>
      </c>
    </row>
    <row r="17" spans="1:8" x14ac:dyDescent="0.15">
      <c r="A17" s="5">
        <v>43853</v>
      </c>
      <c r="B17">
        <v>5.5250000000000004</v>
      </c>
      <c r="C17">
        <v>5346.4</v>
      </c>
      <c r="D17">
        <v>3994.2</v>
      </c>
      <c r="F17">
        <f t="shared" si="0"/>
        <v>-2.8998242530755718E-2</v>
      </c>
      <c r="G17">
        <f t="shared" si="1"/>
        <v>-4.2001146788990924E-2</v>
      </c>
      <c r="H17">
        <f t="shared" si="2"/>
        <v>-3.4377719756309794E-2</v>
      </c>
    </row>
    <row r="18" spans="1:8" x14ac:dyDescent="0.15">
      <c r="A18" s="5">
        <v>43864</v>
      </c>
      <c r="B18">
        <v>4.9939999999999998</v>
      </c>
      <c r="C18">
        <v>4805.3999999999996</v>
      </c>
      <c r="D18">
        <v>3591.2</v>
      </c>
      <c r="F18">
        <f t="shared" si="0"/>
        <v>-9.6108597285067973E-2</v>
      </c>
      <c r="G18">
        <f t="shared" si="1"/>
        <v>-0.10118958551548707</v>
      </c>
      <c r="H18">
        <f t="shared" si="2"/>
        <v>-0.10089629963446999</v>
      </c>
    </row>
    <row r="19" spans="1:8" x14ac:dyDescent="0.15">
      <c r="A19" s="5">
        <v>43865</v>
      </c>
      <c r="B19">
        <v>5.4359999999999999</v>
      </c>
      <c r="C19">
        <v>4927.2</v>
      </c>
      <c r="D19">
        <v>3766.8</v>
      </c>
      <c r="F19">
        <f t="shared" si="0"/>
        <v>8.8506207448938765E-2</v>
      </c>
      <c r="G19">
        <f t="shared" si="1"/>
        <v>2.5346485204145376E-2</v>
      </c>
      <c r="H19">
        <f t="shared" si="2"/>
        <v>4.8897304522165397E-2</v>
      </c>
    </row>
    <row r="20" spans="1:8" x14ac:dyDescent="0.15">
      <c r="A20" s="5">
        <v>43866</v>
      </c>
      <c r="B20">
        <v>5.4489999999999998</v>
      </c>
      <c r="C20">
        <v>5027.3999999999996</v>
      </c>
      <c r="D20">
        <v>3800.4</v>
      </c>
      <c r="F20">
        <f t="shared" si="0"/>
        <v>2.3914643119940949E-3</v>
      </c>
      <c r="G20">
        <f t="shared" si="1"/>
        <v>2.033609352167556E-2</v>
      </c>
      <c r="H20">
        <f t="shared" si="2"/>
        <v>8.9200382287352407E-3</v>
      </c>
    </row>
    <row r="21" spans="1:8" x14ac:dyDescent="0.15">
      <c r="A21" s="5">
        <v>43867</v>
      </c>
      <c r="B21">
        <v>5.61</v>
      </c>
      <c r="C21">
        <v>5210.3999999999996</v>
      </c>
      <c r="D21">
        <v>3891.8</v>
      </c>
      <c r="F21">
        <f t="shared" si="0"/>
        <v>2.9546705817581297E-2</v>
      </c>
      <c r="G21">
        <f t="shared" si="1"/>
        <v>3.6400525122329636E-2</v>
      </c>
      <c r="H21">
        <f t="shared" si="2"/>
        <v>2.4050099989474816E-2</v>
      </c>
    </row>
    <row r="22" spans="1:8" x14ac:dyDescent="0.15">
      <c r="A22" s="5">
        <v>43868</v>
      </c>
      <c r="B22">
        <v>5.61</v>
      </c>
      <c r="C22">
        <v>5258</v>
      </c>
      <c r="D22">
        <v>3892.8</v>
      </c>
      <c r="F22">
        <f t="shared" si="0"/>
        <v>0</v>
      </c>
      <c r="G22">
        <f t="shared" si="1"/>
        <v>9.1355750038385475E-3</v>
      </c>
      <c r="H22">
        <f t="shared" si="2"/>
        <v>2.5695051133151753E-4</v>
      </c>
    </row>
    <row r="23" spans="1:8" x14ac:dyDescent="0.15">
      <c r="A23" s="5">
        <v>43871</v>
      </c>
      <c r="B23">
        <v>5.593</v>
      </c>
      <c r="C23">
        <v>5276.6</v>
      </c>
      <c r="D23">
        <v>3891.4</v>
      </c>
      <c r="F23">
        <f t="shared" si="0"/>
        <v>-3.0303030303030923E-3</v>
      </c>
      <c r="G23">
        <f t="shared" si="1"/>
        <v>3.5374667173831047E-3</v>
      </c>
      <c r="H23">
        <f t="shared" si="2"/>
        <v>-3.5963830661736817E-4</v>
      </c>
    </row>
    <row r="24" spans="1:8" x14ac:dyDescent="0.15">
      <c r="A24" s="5">
        <v>43872</v>
      </c>
      <c r="B24">
        <v>5.6219999999999999</v>
      </c>
      <c r="C24">
        <v>5272.6</v>
      </c>
      <c r="D24">
        <v>3935.6</v>
      </c>
      <c r="F24">
        <f t="shared" si="0"/>
        <v>5.1850527445020406E-3</v>
      </c>
      <c r="G24">
        <f t="shared" si="1"/>
        <v>-7.5806390478717347E-4</v>
      </c>
      <c r="H24">
        <f t="shared" si="2"/>
        <v>1.1358380017474384E-2</v>
      </c>
    </row>
    <row r="25" spans="1:8" x14ac:dyDescent="0.15">
      <c r="A25" s="5">
        <v>43873</v>
      </c>
      <c r="B25">
        <v>5.6820000000000004</v>
      </c>
      <c r="C25">
        <v>5384.4</v>
      </c>
      <c r="D25">
        <v>3966.4</v>
      </c>
      <c r="F25">
        <f t="shared" si="0"/>
        <v>1.0672358591248755E-2</v>
      </c>
      <c r="G25">
        <f t="shared" si="1"/>
        <v>2.1203960095588375E-2</v>
      </c>
      <c r="H25">
        <f t="shared" si="2"/>
        <v>7.825998577091214E-3</v>
      </c>
    </row>
    <row r="26" spans="1:8" x14ac:dyDescent="0.15">
      <c r="A26" s="5">
        <v>43874</v>
      </c>
      <c r="B26">
        <v>5.641</v>
      </c>
      <c r="C26">
        <v>5342.4</v>
      </c>
      <c r="D26">
        <v>3953</v>
      </c>
      <c r="F26">
        <f t="shared" si="0"/>
        <v>-7.2157690953890121E-3</v>
      </c>
      <c r="G26">
        <f t="shared" si="1"/>
        <v>-7.8003120124804995E-3</v>
      </c>
      <c r="H26">
        <f t="shared" si="2"/>
        <v>-3.3783783783784011E-3</v>
      </c>
    </row>
    <row r="27" spans="1:8" x14ac:dyDescent="0.15">
      <c r="A27" s="5">
        <v>43875</v>
      </c>
      <c r="B27">
        <v>5.6619999999999999</v>
      </c>
      <c r="C27">
        <v>5363.8</v>
      </c>
      <c r="D27">
        <v>3983.8</v>
      </c>
      <c r="F27">
        <f t="shared" si="0"/>
        <v>3.7227441942917759E-3</v>
      </c>
      <c r="G27">
        <f t="shared" si="1"/>
        <v>4.0056903264451462E-3</v>
      </c>
      <c r="H27">
        <f t="shared" si="2"/>
        <v>7.79155072097146E-3</v>
      </c>
    </row>
    <row r="28" spans="1:8" x14ac:dyDescent="0.15">
      <c r="A28" s="5">
        <v>43878</v>
      </c>
      <c r="B28">
        <v>5.7770000000000001</v>
      </c>
      <c r="C28">
        <v>5580</v>
      </c>
      <c r="D28">
        <v>4083.8</v>
      </c>
      <c r="F28">
        <f t="shared" si="0"/>
        <v>2.0310844224655636E-2</v>
      </c>
      <c r="G28">
        <f t="shared" si="1"/>
        <v>4.0307244863715987E-2</v>
      </c>
      <c r="H28">
        <f t="shared" si="2"/>
        <v>2.5101661730006525E-2</v>
      </c>
    </row>
    <row r="29" spans="1:8" x14ac:dyDescent="0.15">
      <c r="A29" s="5">
        <v>43879</v>
      </c>
      <c r="B29">
        <v>5.7649999999999997</v>
      </c>
      <c r="C29">
        <v>5591.4</v>
      </c>
      <c r="D29">
        <v>4046.4</v>
      </c>
      <c r="F29">
        <f t="shared" si="0"/>
        <v>-2.077202700363589E-3</v>
      </c>
      <c r="G29">
        <f t="shared" si="1"/>
        <v>2.0430107526881068E-3</v>
      </c>
      <c r="H29">
        <f t="shared" si="2"/>
        <v>-9.1581370292374963E-3</v>
      </c>
    </row>
    <row r="30" spans="1:8" x14ac:dyDescent="0.15">
      <c r="A30" s="5">
        <v>43880</v>
      </c>
      <c r="B30">
        <v>5.7350000000000003</v>
      </c>
      <c r="C30">
        <v>5570.2</v>
      </c>
      <c r="D30">
        <v>4052.6</v>
      </c>
      <c r="F30">
        <f t="shared" si="0"/>
        <v>-5.2038161318298977E-3</v>
      </c>
      <c r="G30">
        <f t="shared" si="1"/>
        <v>-3.7915370032549664E-3</v>
      </c>
      <c r="H30">
        <f t="shared" si="2"/>
        <v>1.5322261763542453E-3</v>
      </c>
    </row>
    <row r="31" spans="1:8" x14ac:dyDescent="0.15">
      <c r="A31" s="5">
        <v>43881</v>
      </c>
      <c r="B31">
        <v>5.92</v>
      </c>
      <c r="C31">
        <v>5667.8</v>
      </c>
      <c r="D31">
        <v>4138.3999999999996</v>
      </c>
      <c r="F31">
        <f t="shared" si="0"/>
        <v>3.2258064516128962E-2</v>
      </c>
      <c r="G31">
        <f t="shared" si="1"/>
        <v>1.752181250224415E-2</v>
      </c>
      <c r="H31">
        <f t="shared" si="2"/>
        <v>2.1171593544884699E-2</v>
      </c>
    </row>
    <row r="32" spans="1:8" x14ac:dyDescent="0.15">
      <c r="A32" s="5">
        <v>43882</v>
      </c>
      <c r="B32">
        <v>5.8869999999999996</v>
      </c>
      <c r="C32">
        <v>5775</v>
      </c>
      <c r="D32">
        <v>4158.6000000000004</v>
      </c>
      <c r="F32">
        <f t="shared" si="0"/>
        <v>-5.5743243243243853E-3</v>
      </c>
      <c r="G32">
        <f t="shared" si="1"/>
        <v>1.8913864285966305E-2</v>
      </c>
      <c r="H32">
        <f t="shared" si="2"/>
        <v>4.8811134738064779E-3</v>
      </c>
    </row>
    <row r="33" spans="1:8" x14ac:dyDescent="0.15">
      <c r="A33" s="5">
        <v>43885</v>
      </c>
      <c r="B33">
        <v>5.798</v>
      </c>
      <c r="C33">
        <v>5806</v>
      </c>
      <c r="D33">
        <v>4120</v>
      </c>
      <c r="F33">
        <f t="shared" si="0"/>
        <v>-1.5118056735179129E-2</v>
      </c>
      <c r="G33">
        <f t="shared" si="1"/>
        <v>5.367965367965368E-3</v>
      </c>
      <c r="H33">
        <f t="shared" si="2"/>
        <v>-9.2819698937143171E-3</v>
      </c>
    </row>
    <row r="34" spans="1:8" x14ac:dyDescent="0.15">
      <c r="A34" s="5">
        <v>43886</v>
      </c>
      <c r="B34">
        <v>5.7869999999999999</v>
      </c>
      <c r="C34">
        <v>5852.6</v>
      </c>
      <c r="D34">
        <v>4117</v>
      </c>
      <c r="F34">
        <f t="shared" si="0"/>
        <v>-1.8972059330803934E-3</v>
      </c>
      <c r="G34">
        <f t="shared" si="1"/>
        <v>8.0261798139855955E-3</v>
      </c>
      <c r="H34">
        <f t="shared" si="2"/>
        <v>-7.2815533980582527E-4</v>
      </c>
    </row>
    <row r="35" spans="1:8" x14ac:dyDescent="0.15">
      <c r="A35" s="5">
        <v>43887</v>
      </c>
      <c r="B35">
        <v>5.694</v>
      </c>
      <c r="C35">
        <v>5715.4</v>
      </c>
      <c r="D35">
        <v>4076</v>
      </c>
      <c r="F35">
        <f t="shared" si="0"/>
        <v>-1.6070502851218242E-2</v>
      </c>
      <c r="G35">
        <f t="shared" si="1"/>
        <v>-2.3442572531866303E-2</v>
      </c>
      <c r="H35">
        <f t="shared" si="2"/>
        <v>-9.9587077969395185E-3</v>
      </c>
    </row>
    <row r="36" spans="1:8" x14ac:dyDescent="0.15">
      <c r="A36" s="5">
        <v>43888</v>
      </c>
      <c r="B36">
        <v>5.7320000000000002</v>
      </c>
      <c r="C36">
        <v>5710</v>
      </c>
      <c r="D36">
        <v>4077.8</v>
      </c>
      <c r="F36">
        <f t="shared" si="0"/>
        <v>6.6736916051984996E-3</v>
      </c>
      <c r="G36">
        <f t="shared" si="1"/>
        <v>-9.4481576092655571E-4</v>
      </c>
      <c r="H36">
        <f t="shared" si="2"/>
        <v>4.4160942100102596E-4</v>
      </c>
    </row>
    <row r="37" spans="1:8" x14ac:dyDescent="0.15">
      <c r="A37" s="5">
        <v>43889</v>
      </c>
      <c r="B37">
        <v>5.5940000000000003</v>
      </c>
      <c r="C37">
        <v>5383</v>
      </c>
      <c r="D37">
        <v>3925.8</v>
      </c>
      <c r="F37">
        <f t="shared" si="0"/>
        <v>-2.4075366364270743E-2</v>
      </c>
      <c r="G37">
        <f t="shared" si="1"/>
        <v>-5.7267950963222417E-2</v>
      </c>
      <c r="H37">
        <f t="shared" si="2"/>
        <v>-3.7275001226151357E-2</v>
      </c>
    </row>
    <row r="38" spans="1:8" x14ac:dyDescent="0.15">
      <c r="A38" s="5">
        <v>43892</v>
      </c>
      <c r="B38">
        <v>5.7039999999999997</v>
      </c>
      <c r="C38">
        <v>5598.6</v>
      </c>
      <c r="D38">
        <v>4056.4</v>
      </c>
      <c r="F38">
        <f t="shared" si="0"/>
        <v>1.9663925634608406E-2</v>
      </c>
      <c r="G38">
        <f t="shared" si="1"/>
        <v>4.0052015604681475E-2</v>
      </c>
      <c r="H38">
        <f t="shared" si="2"/>
        <v>3.3267104793927325E-2</v>
      </c>
    </row>
    <row r="39" spans="1:8" x14ac:dyDescent="0.15">
      <c r="A39" s="5">
        <v>43893</v>
      </c>
      <c r="B39">
        <v>5.7779999999999996</v>
      </c>
      <c r="C39">
        <v>5620.4</v>
      </c>
      <c r="D39">
        <v>4072.4</v>
      </c>
      <c r="F39">
        <f t="shared" si="0"/>
        <v>1.2973352033660563E-2</v>
      </c>
      <c r="G39">
        <f t="shared" si="1"/>
        <v>3.8938306005071393E-3</v>
      </c>
      <c r="H39">
        <f t="shared" si="2"/>
        <v>3.9443841830194264E-3</v>
      </c>
    </row>
    <row r="40" spans="1:8" x14ac:dyDescent="0.15">
      <c r="A40" s="5">
        <v>43894</v>
      </c>
      <c r="B40">
        <v>5.8019999999999996</v>
      </c>
      <c r="C40">
        <v>5658.4</v>
      </c>
      <c r="D40">
        <v>4106.2</v>
      </c>
      <c r="F40">
        <f t="shared" si="0"/>
        <v>4.1536863966770551E-3</v>
      </c>
      <c r="G40">
        <f t="shared" si="1"/>
        <v>6.7610846203117218E-3</v>
      </c>
      <c r="H40">
        <f t="shared" si="2"/>
        <v>8.2997740889892268E-3</v>
      </c>
    </row>
    <row r="41" spans="1:8" x14ac:dyDescent="0.15">
      <c r="A41" s="5">
        <v>43895</v>
      </c>
      <c r="B41">
        <v>5.9379999999999997</v>
      </c>
      <c r="C41">
        <v>5728.6</v>
      </c>
      <c r="D41">
        <v>4191.8</v>
      </c>
      <c r="F41">
        <f t="shared" si="0"/>
        <v>2.3440193036883855E-2</v>
      </c>
      <c r="G41">
        <f t="shared" si="1"/>
        <v>1.2406333945991929E-2</v>
      </c>
      <c r="H41">
        <f t="shared" si="2"/>
        <v>2.0846524767424959E-2</v>
      </c>
    </row>
    <row r="42" spans="1:8" x14ac:dyDescent="0.15">
      <c r="A42" s="5">
        <v>43896</v>
      </c>
      <c r="B42">
        <v>5.8659999999999997</v>
      </c>
      <c r="C42">
        <v>5681</v>
      </c>
      <c r="D42">
        <v>4120.8</v>
      </c>
      <c r="F42">
        <f t="shared" si="0"/>
        <v>-1.2125294712024262E-2</v>
      </c>
      <c r="G42">
        <f t="shared" si="1"/>
        <v>-8.3091854903467443E-3</v>
      </c>
      <c r="H42">
        <f t="shared" si="2"/>
        <v>-1.6937831003387565E-2</v>
      </c>
    </row>
    <row r="43" spans="1:8" x14ac:dyDescent="0.15">
      <c r="A43" s="5">
        <v>43899</v>
      </c>
      <c r="B43">
        <v>5.6639999999999997</v>
      </c>
      <c r="C43">
        <v>5468.4</v>
      </c>
      <c r="D43">
        <v>3977.8</v>
      </c>
      <c r="F43">
        <f t="shared" si="0"/>
        <v>-3.4435731333106026E-2</v>
      </c>
      <c r="G43">
        <f t="shared" si="1"/>
        <v>-3.742298891040316E-2</v>
      </c>
      <c r="H43">
        <f t="shared" si="2"/>
        <v>-3.4701999611725876E-2</v>
      </c>
    </row>
    <row r="44" spans="1:8" x14ac:dyDescent="0.15">
      <c r="A44" s="5">
        <v>43900</v>
      </c>
      <c r="B44">
        <v>5.7750000000000004</v>
      </c>
      <c r="C44">
        <v>5635.2</v>
      </c>
      <c r="D44">
        <v>4072.2</v>
      </c>
      <c r="F44">
        <f t="shared" si="0"/>
        <v>1.9597457627118762E-2</v>
      </c>
      <c r="G44">
        <f t="shared" si="1"/>
        <v>3.0502523590081231E-2</v>
      </c>
      <c r="H44">
        <f t="shared" si="2"/>
        <v>2.3731710996027864E-2</v>
      </c>
    </row>
    <row r="45" spans="1:8" x14ac:dyDescent="0.15">
      <c r="A45" s="5">
        <v>43901</v>
      </c>
      <c r="B45">
        <v>5.7389999999999999</v>
      </c>
      <c r="C45">
        <v>5525</v>
      </c>
      <c r="D45">
        <v>4001.4</v>
      </c>
      <c r="F45">
        <f t="shared" si="0"/>
        <v>-6.2337662337663162E-3</v>
      </c>
      <c r="G45">
        <f t="shared" si="1"/>
        <v>-1.9555650198750676E-2</v>
      </c>
      <c r="H45">
        <f t="shared" si="2"/>
        <v>-1.7386179460733689E-2</v>
      </c>
    </row>
    <row r="46" spans="1:8" x14ac:dyDescent="0.15">
      <c r="A46" s="5">
        <v>43902</v>
      </c>
      <c r="B46">
        <v>5.5979999999999999</v>
      </c>
      <c r="C46">
        <v>5477</v>
      </c>
      <c r="D46">
        <v>3949</v>
      </c>
      <c r="F46">
        <f t="shared" si="0"/>
        <v>-2.456874019864088E-2</v>
      </c>
      <c r="G46">
        <f t="shared" si="1"/>
        <v>-8.687782805429865E-3</v>
      </c>
      <c r="H46">
        <f t="shared" si="2"/>
        <v>-1.3095416604188557E-2</v>
      </c>
    </row>
    <row r="47" spans="1:8" x14ac:dyDescent="0.15">
      <c r="A47" s="5">
        <v>43903</v>
      </c>
      <c r="B47">
        <v>5.556</v>
      </c>
      <c r="C47">
        <v>5447</v>
      </c>
      <c r="D47">
        <v>3894.2</v>
      </c>
      <c r="F47">
        <f t="shared" si="0"/>
        <v>-7.502679528402968E-3</v>
      </c>
      <c r="G47">
        <f t="shared" si="1"/>
        <v>-5.4774511593938284E-3</v>
      </c>
      <c r="H47">
        <f t="shared" si="2"/>
        <v>-1.387693086857437E-2</v>
      </c>
    </row>
    <row r="48" spans="1:8" x14ac:dyDescent="0.15">
      <c r="A48" s="5">
        <v>43906</v>
      </c>
      <c r="B48">
        <v>5.319</v>
      </c>
      <c r="C48">
        <v>5148.8</v>
      </c>
      <c r="D48">
        <v>3692</v>
      </c>
      <c r="F48">
        <f t="shared" si="0"/>
        <v>-4.2656587473002175E-2</v>
      </c>
      <c r="G48">
        <f t="shared" si="1"/>
        <v>-5.4745731595373569E-2</v>
      </c>
      <c r="H48">
        <f t="shared" si="2"/>
        <v>-5.1923373221714302E-2</v>
      </c>
    </row>
    <row r="49" spans="1:15" x14ac:dyDescent="0.15">
      <c r="A49" s="5">
        <v>43907</v>
      </c>
      <c r="B49">
        <v>5.3049999999999997</v>
      </c>
      <c r="C49">
        <v>5165.3999999999996</v>
      </c>
      <c r="D49">
        <v>3682</v>
      </c>
      <c r="F49">
        <f t="shared" si="0"/>
        <v>-2.63207369806359E-3</v>
      </c>
      <c r="G49">
        <f t="shared" si="1"/>
        <v>3.224052206339235E-3</v>
      </c>
      <c r="H49">
        <f t="shared" si="2"/>
        <v>-2.7085590465872156E-3</v>
      </c>
    </row>
    <row r="50" spans="1:15" x14ac:dyDescent="0.15">
      <c r="A50" s="5">
        <v>43908</v>
      </c>
      <c r="B50">
        <v>5.1989999999999998</v>
      </c>
      <c r="C50">
        <v>5087.3999999999996</v>
      </c>
      <c r="D50">
        <v>3610</v>
      </c>
      <c r="F50">
        <f t="shared" si="0"/>
        <v>-1.9981149858623915E-2</v>
      </c>
      <c r="G50">
        <f t="shared" si="1"/>
        <v>-1.5100476245789292E-2</v>
      </c>
      <c r="H50">
        <f t="shared" si="2"/>
        <v>-1.9554589896795219E-2</v>
      </c>
    </row>
    <row r="51" spans="1:15" x14ac:dyDescent="0.15">
      <c r="A51" s="5">
        <v>43909</v>
      </c>
      <c r="B51">
        <v>5.13</v>
      </c>
      <c r="C51">
        <v>5147.3999999999996</v>
      </c>
      <c r="D51">
        <v>3584</v>
      </c>
      <c r="F51">
        <f>(B51-B50)/B50</f>
        <v>-1.3271783035199068E-2</v>
      </c>
      <c r="G51">
        <f>(C51-C50)/C50</f>
        <v>1.1793843613633684E-2</v>
      </c>
      <c r="H51">
        <f>(D51-D50)/D50</f>
        <v>-7.2022160664819944E-3</v>
      </c>
      <c r="K51" s="7">
        <v>43909</v>
      </c>
      <c r="L51" s="8"/>
      <c r="M51" s="6"/>
      <c r="N51" s="7">
        <v>43909</v>
      </c>
      <c r="O51" s="8">
        <v>1000</v>
      </c>
    </row>
    <row r="52" spans="1:15" x14ac:dyDescent="0.15">
      <c r="A52" s="5">
        <v>43910</v>
      </c>
      <c r="B52">
        <v>5.3410000000000002</v>
      </c>
      <c r="C52">
        <v>5166.8</v>
      </c>
      <c r="D52">
        <v>3624</v>
      </c>
      <c r="F52">
        <f t="shared" si="0"/>
        <v>4.1130604288499087E-2</v>
      </c>
      <c r="G52">
        <f t="shared" si="1"/>
        <v>3.7688930333761796E-3</v>
      </c>
      <c r="H52">
        <f t="shared" si="2"/>
        <v>1.1160714285714286E-2</v>
      </c>
      <c r="K52" s="7">
        <v>43910</v>
      </c>
      <c r="L52" s="8"/>
      <c r="M52" s="6"/>
      <c r="N52" s="7">
        <v>43910</v>
      </c>
      <c r="O52" s="8">
        <v>1011.948</v>
      </c>
    </row>
    <row r="53" spans="1:15" x14ac:dyDescent="0.15">
      <c r="A53" s="5">
        <v>43913</v>
      </c>
      <c r="B53">
        <v>5.1529999999999996</v>
      </c>
      <c r="C53">
        <v>4964.2</v>
      </c>
      <c r="D53">
        <v>3508.6</v>
      </c>
      <c r="F53">
        <f t="shared" si="0"/>
        <v>-3.5199400861262047E-2</v>
      </c>
      <c r="G53">
        <f t="shared" si="1"/>
        <v>-3.921189130603088E-2</v>
      </c>
      <c r="H53">
        <f t="shared" si="2"/>
        <v>-3.1843267108167796E-2</v>
      </c>
      <c r="K53" s="7">
        <v>43913</v>
      </c>
      <c r="L53" s="8"/>
      <c r="M53" s="6"/>
      <c r="N53" s="7">
        <v>43913</v>
      </c>
      <c r="O53" s="8">
        <v>969.43849999999998</v>
      </c>
    </row>
    <row r="54" spans="1:15" x14ac:dyDescent="0.15">
      <c r="A54" s="5">
        <v>43914</v>
      </c>
      <c r="B54">
        <v>5.2779999999999996</v>
      </c>
      <c r="C54">
        <v>5030</v>
      </c>
      <c r="D54">
        <v>3598</v>
      </c>
      <c r="F54">
        <f t="shared" si="0"/>
        <v>2.4257713953037066E-2</v>
      </c>
      <c r="G54">
        <f t="shared" si="1"/>
        <v>1.3254905120663992E-2</v>
      </c>
      <c r="H54">
        <f t="shared" si="2"/>
        <v>2.5480248532178104E-2</v>
      </c>
      <c r="K54" s="7">
        <v>43914</v>
      </c>
      <c r="L54" s="8"/>
      <c r="M54" s="6"/>
      <c r="N54" s="7">
        <v>43914</v>
      </c>
      <c r="O54" s="8">
        <v>998.14210000000003</v>
      </c>
    </row>
    <row r="55" spans="1:15" x14ac:dyDescent="0.15">
      <c r="A55" s="5">
        <v>43915</v>
      </c>
      <c r="B55">
        <v>5.4359999999999999</v>
      </c>
      <c r="C55">
        <v>5141.6000000000004</v>
      </c>
      <c r="D55">
        <v>3687.2</v>
      </c>
      <c r="F55">
        <f t="shared" si="0"/>
        <v>2.993558165971966E-2</v>
      </c>
      <c r="G55">
        <f t="shared" si="1"/>
        <v>2.2186878727634265E-2</v>
      </c>
      <c r="H55">
        <f t="shared" si="2"/>
        <v>2.4791550861589722E-2</v>
      </c>
      <c r="K55" s="7">
        <v>43915</v>
      </c>
      <c r="L55" s="8"/>
      <c r="M55" s="6"/>
      <c r="N55" s="7">
        <v>43915</v>
      </c>
      <c r="O55" s="8">
        <v>1033.9259</v>
      </c>
    </row>
    <row r="56" spans="1:15" x14ac:dyDescent="0.15">
      <c r="A56" s="5">
        <v>43916</v>
      </c>
      <c r="B56">
        <v>5.4470000000000001</v>
      </c>
      <c r="C56">
        <v>5089</v>
      </c>
      <c r="D56">
        <v>3663.4</v>
      </c>
      <c r="F56">
        <f t="shared" si="0"/>
        <v>2.0235467255335028E-3</v>
      </c>
      <c r="G56">
        <f t="shared" si="1"/>
        <v>-1.0230278512525354E-2</v>
      </c>
      <c r="H56">
        <f t="shared" si="2"/>
        <v>-6.4547624213494598E-3</v>
      </c>
      <c r="K56" s="7">
        <v>43916</v>
      </c>
      <c r="L56" s="8"/>
      <c r="M56" s="6"/>
      <c r="N56" s="7">
        <v>43916</v>
      </c>
      <c r="O56" s="8">
        <v>1027.4564</v>
      </c>
    </row>
    <row r="57" spans="1:15" x14ac:dyDescent="0.15">
      <c r="A57" s="5">
        <v>43917</v>
      </c>
      <c r="B57">
        <v>5.5010000000000003</v>
      </c>
      <c r="C57">
        <v>5053.6000000000004</v>
      </c>
      <c r="D57">
        <v>3680.2</v>
      </c>
      <c r="F57">
        <f t="shared" si="0"/>
        <v>9.9137139709932574E-3</v>
      </c>
      <c r="G57">
        <f t="shared" si="1"/>
        <v>-6.9561799960698835E-3</v>
      </c>
      <c r="H57">
        <f t="shared" si="2"/>
        <v>4.5859038052082019E-3</v>
      </c>
      <c r="K57" s="7">
        <v>43917</v>
      </c>
      <c r="L57" s="8"/>
      <c r="M57" s="6"/>
      <c r="N57" s="7">
        <v>43917</v>
      </c>
      <c r="O57" s="8">
        <v>1015.6118</v>
      </c>
    </row>
    <row r="58" spans="1:15" x14ac:dyDescent="0.15">
      <c r="A58" s="5">
        <v>43920</v>
      </c>
      <c r="B58">
        <v>5.4180000000000001</v>
      </c>
      <c r="C58">
        <v>4975.2</v>
      </c>
      <c r="D58">
        <v>3662.8</v>
      </c>
      <c r="F58">
        <f t="shared" si="0"/>
        <v>-1.5088165788038571E-2</v>
      </c>
      <c r="G58">
        <f t="shared" si="1"/>
        <v>-1.5513693208801754E-2</v>
      </c>
      <c r="H58">
        <f t="shared" si="2"/>
        <v>-4.7280039128307257E-3</v>
      </c>
      <c r="K58" s="7">
        <v>43920</v>
      </c>
      <c r="L58" s="8"/>
      <c r="M58" s="6"/>
      <c r="N58" s="7">
        <v>43920</v>
      </c>
      <c r="O58" s="8">
        <v>997.89480000000003</v>
      </c>
    </row>
    <row r="59" spans="1:15" x14ac:dyDescent="0.15">
      <c r="A59" s="5">
        <v>43921</v>
      </c>
      <c r="B59">
        <v>5.5170000000000003</v>
      </c>
      <c r="C59">
        <v>4958.8</v>
      </c>
      <c r="D59">
        <v>3652</v>
      </c>
      <c r="F59">
        <f t="shared" si="0"/>
        <v>1.8272425249169472E-2</v>
      </c>
      <c r="G59">
        <f t="shared" si="1"/>
        <v>-3.2963498954815158E-3</v>
      </c>
      <c r="H59">
        <f t="shared" si="2"/>
        <v>-2.9485639401551221E-3</v>
      </c>
      <c r="K59" s="7">
        <v>43921</v>
      </c>
      <c r="L59" s="8"/>
      <c r="M59" s="6"/>
      <c r="N59" s="7">
        <v>43921</v>
      </c>
      <c r="O59" s="8">
        <v>1006.2093</v>
      </c>
    </row>
    <row r="60" spans="1:15" x14ac:dyDescent="0.15">
      <c r="A60" s="5">
        <v>43922</v>
      </c>
      <c r="B60">
        <v>5.45</v>
      </c>
      <c r="C60">
        <v>4950.3999999999996</v>
      </c>
      <c r="D60">
        <v>3648.2</v>
      </c>
      <c r="F60">
        <f t="shared" si="0"/>
        <v>-1.2144281312307444E-2</v>
      </c>
      <c r="G60">
        <f t="shared" si="1"/>
        <v>-1.6939582156974562E-3</v>
      </c>
      <c r="H60">
        <f t="shared" si="2"/>
        <v>-1.0405257393209699E-3</v>
      </c>
      <c r="K60" s="7">
        <v>43922</v>
      </c>
      <c r="L60" s="8"/>
      <c r="M60" s="6"/>
      <c r="N60" s="7">
        <v>43922</v>
      </c>
      <c r="O60" s="8">
        <v>1002.4640000000001</v>
      </c>
    </row>
    <row r="61" spans="1:15" x14ac:dyDescent="0.15">
      <c r="A61" s="5">
        <v>43923</v>
      </c>
      <c r="B61">
        <v>5.5030000000000001</v>
      </c>
      <c r="C61">
        <v>5130.3999999999996</v>
      </c>
      <c r="D61">
        <v>3726.8</v>
      </c>
      <c r="F61">
        <f t="shared" si="0"/>
        <v>9.7247706422018236E-3</v>
      </c>
      <c r="G61">
        <f t="shared" si="1"/>
        <v>3.636069812540401E-2</v>
      </c>
      <c r="H61">
        <f t="shared" si="2"/>
        <v>2.1544871443451664E-2</v>
      </c>
      <c r="K61" s="7">
        <v>43923</v>
      </c>
      <c r="L61" s="8"/>
      <c r="M61" s="6"/>
      <c r="N61" s="7">
        <v>43923</v>
      </c>
      <c r="O61" s="8">
        <v>1026.4192</v>
      </c>
    </row>
    <row r="62" spans="1:15" x14ac:dyDescent="0.15">
      <c r="A62" s="5">
        <v>43924</v>
      </c>
      <c r="B62">
        <v>5.5309999999999997</v>
      </c>
      <c r="C62">
        <v>5061.6000000000004</v>
      </c>
      <c r="D62">
        <v>3694.6</v>
      </c>
      <c r="F62">
        <f t="shared" si="0"/>
        <v>5.0881337452297979E-3</v>
      </c>
      <c r="G62">
        <f t="shared" si="1"/>
        <v>-1.3410260408545002E-2</v>
      </c>
      <c r="H62">
        <f t="shared" si="2"/>
        <v>-8.640120210368217E-3</v>
      </c>
      <c r="K62" s="7">
        <v>43924</v>
      </c>
      <c r="L62" s="8"/>
      <c r="M62" s="6"/>
      <c r="N62" s="7">
        <v>43924</v>
      </c>
      <c r="O62" s="8">
        <v>1021.3787</v>
      </c>
    </row>
    <row r="63" spans="1:15" x14ac:dyDescent="0.15">
      <c r="A63" s="5">
        <v>43928</v>
      </c>
      <c r="B63">
        <v>5.6719999999999997</v>
      </c>
      <c r="C63">
        <v>5213</v>
      </c>
      <c r="D63">
        <v>3775.6</v>
      </c>
      <c r="F63">
        <f t="shared" si="0"/>
        <v>2.5492677635147357E-2</v>
      </c>
      <c r="G63">
        <f t="shared" si="1"/>
        <v>2.9911490437806155E-2</v>
      </c>
      <c r="H63">
        <f t="shared" si="2"/>
        <v>2.1923888918962811E-2</v>
      </c>
      <c r="K63" s="7">
        <v>43928</v>
      </c>
      <c r="L63" s="8"/>
      <c r="M63" s="6"/>
      <c r="N63" s="7">
        <v>43928</v>
      </c>
      <c r="O63" s="8">
        <v>1056.8361</v>
      </c>
    </row>
    <row r="64" spans="1:15" x14ac:dyDescent="0.15">
      <c r="A64" s="5">
        <v>43929</v>
      </c>
      <c r="B64">
        <v>5.641</v>
      </c>
      <c r="C64">
        <v>5229.2</v>
      </c>
      <c r="D64">
        <v>3764.8</v>
      </c>
      <c r="F64">
        <f t="shared" si="0"/>
        <v>-5.4654442877291425E-3</v>
      </c>
      <c r="G64">
        <f t="shared" si="1"/>
        <v>3.1076155764434717E-3</v>
      </c>
      <c r="H64">
        <f t="shared" si="2"/>
        <v>-2.8604725076808264E-3</v>
      </c>
      <c r="K64" s="7">
        <v>43929</v>
      </c>
      <c r="L64" s="8"/>
      <c r="M64" s="6"/>
      <c r="N64" s="7">
        <v>43929</v>
      </c>
      <c r="O64" s="8">
        <v>1054.0519999999999</v>
      </c>
    </row>
    <row r="65" spans="1:15" x14ac:dyDescent="0.15">
      <c r="A65" s="5">
        <v>43930</v>
      </c>
      <c r="B65">
        <v>5.7240000000000002</v>
      </c>
      <c r="C65">
        <v>5273.2</v>
      </c>
      <c r="D65">
        <v>3779.6</v>
      </c>
      <c r="F65">
        <f t="shared" si="0"/>
        <v>1.4713703244105687E-2</v>
      </c>
      <c r="G65">
        <f t="shared" si="1"/>
        <v>8.4142889925801281E-3</v>
      </c>
      <c r="H65">
        <f t="shared" si="2"/>
        <v>3.9311517212068971E-3</v>
      </c>
      <c r="K65" s="7">
        <v>43930</v>
      </c>
      <c r="L65" s="8"/>
      <c r="M65" s="6"/>
      <c r="N65" s="7">
        <v>43930</v>
      </c>
      <c r="O65" s="8">
        <v>1071.9659999999999</v>
      </c>
    </row>
    <row r="66" spans="1:15" x14ac:dyDescent="0.15">
      <c r="A66" s="5">
        <v>43931</v>
      </c>
      <c r="B66">
        <v>5.7089999999999996</v>
      </c>
      <c r="C66">
        <v>5195.8</v>
      </c>
      <c r="D66">
        <v>3763.2</v>
      </c>
      <c r="F66">
        <f t="shared" si="0"/>
        <v>-2.6205450733753611E-3</v>
      </c>
      <c r="G66">
        <f t="shared" si="1"/>
        <v>-1.4677994386710089E-2</v>
      </c>
      <c r="H66">
        <f t="shared" si="2"/>
        <v>-4.3390835008995906E-3</v>
      </c>
      <c r="K66" s="7">
        <v>43931</v>
      </c>
      <c r="L66" s="8"/>
      <c r="M66" s="6"/>
      <c r="N66" s="7">
        <v>43931</v>
      </c>
      <c r="O66" s="8">
        <v>1052.3758</v>
      </c>
    </row>
    <row r="67" spans="1:15" x14ac:dyDescent="0.15">
      <c r="A67" s="5">
        <v>43934</v>
      </c>
      <c r="B67">
        <v>5.6680000000000001</v>
      </c>
      <c r="C67">
        <v>5139.8</v>
      </c>
      <c r="D67">
        <v>3745</v>
      </c>
      <c r="F67">
        <f t="shared" si="0"/>
        <v>-7.181643019793218E-3</v>
      </c>
      <c r="G67">
        <f t="shared" si="1"/>
        <v>-1.0777936025251164E-2</v>
      </c>
      <c r="H67">
        <f t="shared" si="2"/>
        <v>-4.8363095238094754E-3</v>
      </c>
      <c r="K67" s="7">
        <v>43934</v>
      </c>
      <c r="L67" s="8"/>
      <c r="M67" s="6"/>
      <c r="N67" s="7">
        <v>43934</v>
      </c>
      <c r="O67" s="8">
        <v>1038.9819</v>
      </c>
    </row>
    <row r="68" spans="1:15" x14ac:dyDescent="0.15">
      <c r="A68" s="5">
        <v>43935</v>
      </c>
      <c r="B68">
        <v>5.76</v>
      </c>
      <c r="C68">
        <v>5262</v>
      </c>
      <c r="D68">
        <v>3812</v>
      </c>
      <c r="F68">
        <f t="shared" ref="F68:F131" si="3">(B68-B67)/B67</f>
        <v>1.6231474947071212E-2</v>
      </c>
      <c r="G68">
        <f t="shared" ref="G68:G131" si="4">(C68-C67)/C67</f>
        <v>2.3775244172924981E-2</v>
      </c>
      <c r="H68">
        <f t="shared" ref="H68:H131" si="5">(D68-D67)/D67</f>
        <v>1.7890520694259011E-2</v>
      </c>
      <c r="K68" s="7">
        <v>43935</v>
      </c>
      <c r="L68" s="8"/>
      <c r="M68" s="6"/>
      <c r="N68" s="7">
        <v>43935</v>
      </c>
      <c r="O68" s="8">
        <v>1069.7682</v>
      </c>
    </row>
    <row r="69" spans="1:15" x14ac:dyDescent="0.15">
      <c r="A69" s="5">
        <v>43936</v>
      </c>
      <c r="B69">
        <v>5.7080000000000002</v>
      </c>
      <c r="C69">
        <v>5251.4</v>
      </c>
      <c r="D69">
        <v>3789.4</v>
      </c>
      <c r="F69">
        <f t="shared" si="3"/>
        <v>-9.0277777777777093E-3</v>
      </c>
      <c r="G69">
        <f t="shared" si="4"/>
        <v>-2.014443177499119E-3</v>
      </c>
      <c r="H69">
        <f t="shared" si="5"/>
        <v>-5.9286463798530718E-3</v>
      </c>
      <c r="K69" s="7">
        <v>43936</v>
      </c>
      <c r="L69" s="8"/>
      <c r="M69" s="6"/>
      <c r="N69" s="7">
        <v>43936</v>
      </c>
      <c r="O69" s="8">
        <v>1063.2488000000001</v>
      </c>
    </row>
    <row r="70" spans="1:15" x14ac:dyDescent="0.15">
      <c r="A70" s="5">
        <v>43937</v>
      </c>
      <c r="B70">
        <v>5.7190000000000003</v>
      </c>
      <c r="C70">
        <v>5308.4</v>
      </c>
      <c r="D70">
        <v>3796.8</v>
      </c>
      <c r="F70">
        <f t="shared" si="3"/>
        <v>1.9271198318150176E-3</v>
      </c>
      <c r="G70">
        <f t="shared" si="4"/>
        <v>1.0854248390905282E-2</v>
      </c>
      <c r="H70">
        <f t="shared" si="5"/>
        <v>1.9528157491951472E-3</v>
      </c>
      <c r="K70" s="7">
        <v>43937</v>
      </c>
      <c r="L70" s="8"/>
      <c r="M70" s="6"/>
      <c r="N70" s="7">
        <v>43937</v>
      </c>
      <c r="O70" s="8">
        <v>1074.0908999999999</v>
      </c>
    </row>
    <row r="71" spans="1:15" x14ac:dyDescent="0.15">
      <c r="A71" s="5">
        <v>43938</v>
      </c>
      <c r="B71">
        <v>5.742</v>
      </c>
      <c r="C71">
        <v>5251.8</v>
      </c>
      <c r="D71">
        <v>3796.6</v>
      </c>
      <c r="F71">
        <f t="shared" si="3"/>
        <v>4.0216821122573332E-3</v>
      </c>
      <c r="G71">
        <f t="shared" si="4"/>
        <v>-1.0662346469745961E-2</v>
      </c>
      <c r="H71">
        <f t="shared" si="5"/>
        <v>-5.2675937631761702E-5</v>
      </c>
      <c r="K71" s="7">
        <v>43938</v>
      </c>
      <c r="L71" s="8"/>
      <c r="M71" s="6"/>
      <c r="N71" s="7">
        <v>43938</v>
      </c>
      <c r="O71" s="8">
        <v>1083.4002</v>
      </c>
    </row>
    <row r="72" spans="1:15" x14ac:dyDescent="0.15">
      <c r="A72" s="5">
        <v>43941</v>
      </c>
      <c r="B72">
        <v>5.7850000000000001</v>
      </c>
      <c r="C72">
        <v>5295.2</v>
      </c>
      <c r="D72">
        <v>3807.4</v>
      </c>
      <c r="F72">
        <f t="shared" si="3"/>
        <v>7.4886799024730319E-3</v>
      </c>
      <c r="G72">
        <f t="shared" si="4"/>
        <v>8.2638333523743536E-3</v>
      </c>
      <c r="H72">
        <f t="shared" si="5"/>
        <v>2.8446504767423962E-3</v>
      </c>
      <c r="K72" s="7">
        <v>43941</v>
      </c>
      <c r="L72" s="8"/>
      <c r="M72" s="6"/>
      <c r="N72" s="7">
        <v>43941</v>
      </c>
      <c r="O72" s="8">
        <v>1091.6061</v>
      </c>
    </row>
    <row r="73" spans="1:15" x14ac:dyDescent="0.15">
      <c r="A73" s="5">
        <v>43942</v>
      </c>
      <c r="B73">
        <v>5.718</v>
      </c>
      <c r="C73">
        <v>5255.8</v>
      </c>
      <c r="D73">
        <v>3762.4</v>
      </c>
      <c r="F73">
        <f t="shared" si="3"/>
        <v>-1.1581676750216105E-2</v>
      </c>
      <c r="G73">
        <f t="shared" si="4"/>
        <v>-7.4407010122374299E-3</v>
      </c>
      <c r="H73">
        <f t="shared" si="5"/>
        <v>-1.1819089142196775E-2</v>
      </c>
      <c r="K73" s="7">
        <v>43942</v>
      </c>
      <c r="L73" s="8"/>
      <c r="M73" s="6"/>
      <c r="N73" s="7">
        <v>43942</v>
      </c>
      <c r="O73" s="8">
        <v>1079.8943999999999</v>
      </c>
    </row>
    <row r="74" spans="1:15" x14ac:dyDescent="0.15">
      <c r="A74" s="5">
        <v>43943</v>
      </c>
      <c r="B74">
        <v>5.8179999999999996</v>
      </c>
      <c r="C74">
        <v>5319</v>
      </c>
      <c r="D74">
        <v>3801.6</v>
      </c>
      <c r="F74">
        <f t="shared" si="3"/>
        <v>1.7488632388947122E-2</v>
      </c>
      <c r="G74">
        <f t="shared" si="4"/>
        <v>1.2024810685338068E-2</v>
      </c>
      <c r="H74">
        <f t="shared" si="5"/>
        <v>1.0418881564958489E-2</v>
      </c>
      <c r="K74" s="7">
        <v>43943</v>
      </c>
      <c r="L74" s="8"/>
      <c r="M74" s="6"/>
      <c r="N74" s="7">
        <v>43943</v>
      </c>
      <c r="O74" s="8">
        <v>1091.4222</v>
      </c>
    </row>
    <row r="75" spans="1:15" x14ac:dyDescent="0.15">
      <c r="A75" s="5">
        <v>43944</v>
      </c>
      <c r="B75">
        <v>5.8239999999999998</v>
      </c>
      <c r="C75">
        <v>5282.6</v>
      </c>
      <c r="D75">
        <v>3788.8</v>
      </c>
      <c r="F75">
        <f t="shared" si="3"/>
        <v>1.0312822275696507E-3</v>
      </c>
      <c r="G75">
        <f t="shared" si="4"/>
        <v>-6.8433916149651507E-3</v>
      </c>
      <c r="H75">
        <f t="shared" si="5"/>
        <v>-3.3670033670032953E-3</v>
      </c>
      <c r="K75" s="7">
        <v>43944</v>
      </c>
      <c r="L75" s="8"/>
      <c r="M75" s="6"/>
      <c r="N75" s="7">
        <v>43944</v>
      </c>
      <c r="O75" s="8">
        <v>1082.9885999999999</v>
      </c>
    </row>
    <row r="76" spans="1:15" x14ac:dyDescent="0.15">
      <c r="A76" s="5">
        <v>43945</v>
      </c>
      <c r="B76">
        <v>5.7880000000000003</v>
      </c>
      <c r="C76">
        <v>5216.2</v>
      </c>
      <c r="D76">
        <v>3775</v>
      </c>
      <c r="F76">
        <f t="shared" si="3"/>
        <v>-6.1813186813186108E-3</v>
      </c>
      <c r="G76">
        <f t="shared" si="4"/>
        <v>-1.2569568015749922E-2</v>
      </c>
      <c r="H76">
        <f t="shared" si="5"/>
        <v>-3.642314189189237E-3</v>
      </c>
      <c r="K76" s="7">
        <v>43945</v>
      </c>
      <c r="L76" s="8">
        <v>1.0309999999999999</v>
      </c>
      <c r="M76" s="6"/>
      <c r="N76" s="7">
        <v>43945</v>
      </c>
      <c r="O76" s="8">
        <v>1074.3398999999999</v>
      </c>
    </row>
    <row r="77" spans="1:15" x14ac:dyDescent="0.15">
      <c r="A77" s="5">
        <v>43948</v>
      </c>
      <c r="B77">
        <v>5.83</v>
      </c>
      <c r="C77">
        <v>5202.8</v>
      </c>
      <c r="D77">
        <v>3795.2</v>
      </c>
      <c r="F77">
        <f t="shared" si="3"/>
        <v>7.2563925362819307E-3</v>
      </c>
      <c r="G77">
        <f t="shared" si="4"/>
        <v>-2.5689199033778684E-3</v>
      </c>
      <c r="H77">
        <f t="shared" si="5"/>
        <v>5.3509933774833953E-3</v>
      </c>
      <c r="K77" s="7">
        <v>43948</v>
      </c>
      <c r="L77" s="8">
        <v>1.0409999999999999</v>
      </c>
      <c r="M77" s="6"/>
      <c r="N77" s="7">
        <v>43948</v>
      </c>
      <c r="O77" s="8">
        <v>1084.5685000000001</v>
      </c>
    </row>
    <row r="78" spans="1:15" x14ac:dyDescent="0.15">
      <c r="A78" s="5">
        <v>43949</v>
      </c>
      <c r="B78">
        <v>5.8739999999999997</v>
      </c>
      <c r="C78">
        <v>5162.2</v>
      </c>
      <c r="D78">
        <v>3816.8</v>
      </c>
      <c r="F78">
        <f t="shared" si="3"/>
        <v>7.5471698113206854E-3</v>
      </c>
      <c r="G78">
        <f t="shared" si="4"/>
        <v>-7.8034904282310224E-3</v>
      </c>
      <c r="H78">
        <f t="shared" si="5"/>
        <v>5.691399662731968E-3</v>
      </c>
      <c r="K78" s="7">
        <v>43949</v>
      </c>
      <c r="L78" s="8">
        <v>1.05</v>
      </c>
      <c r="M78" s="6"/>
      <c r="N78" s="7">
        <v>43949</v>
      </c>
      <c r="O78" s="8">
        <v>1093.9045000000001</v>
      </c>
    </row>
    <row r="79" spans="1:15" x14ac:dyDescent="0.15">
      <c r="A79" s="5">
        <v>43950</v>
      </c>
      <c r="B79">
        <v>5.8150000000000004</v>
      </c>
      <c r="C79">
        <v>5188.2</v>
      </c>
      <c r="D79">
        <v>3838.4</v>
      </c>
      <c r="F79">
        <f t="shared" si="3"/>
        <v>-1.0044262853251494E-2</v>
      </c>
      <c r="G79">
        <f t="shared" si="4"/>
        <v>5.0366122970826391E-3</v>
      </c>
      <c r="H79">
        <f t="shared" si="5"/>
        <v>5.6591909452944631E-3</v>
      </c>
      <c r="K79" s="7">
        <v>43950</v>
      </c>
      <c r="L79" s="8">
        <v>1.0469999999999999</v>
      </c>
      <c r="M79" s="6"/>
      <c r="N79" s="7">
        <v>43950</v>
      </c>
      <c r="O79" s="8">
        <v>1091.3424</v>
      </c>
    </row>
    <row r="80" spans="1:15" x14ac:dyDescent="0.15">
      <c r="A80" s="5">
        <v>43951</v>
      </c>
      <c r="B80">
        <v>5.8410000000000002</v>
      </c>
      <c r="C80">
        <v>5332</v>
      </c>
      <c r="D80">
        <v>3904.6</v>
      </c>
      <c r="F80">
        <f t="shared" si="3"/>
        <v>4.4711951848666895E-3</v>
      </c>
      <c r="G80">
        <f t="shared" si="4"/>
        <v>2.7716741837246095E-2</v>
      </c>
      <c r="H80">
        <f t="shared" si="5"/>
        <v>1.7246769487286321E-2</v>
      </c>
      <c r="K80" s="7">
        <v>43951</v>
      </c>
      <c r="L80" s="8">
        <v>1.0649999999999999</v>
      </c>
      <c r="M80" s="6"/>
      <c r="N80" s="7">
        <v>43951</v>
      </c>
      <c r="O80" s="8">
        <v>1110.2817</v>
      </c>
    </row>
    <row r="81" spans="1:15" x14ac:dyDescent="0.15">
      <c r="A81" s="5">
        <v>43957</v>
      </c>
      <c r="B81">
        <v>5.8940000000000001</v>
      </c>
      <c r="C81">
        <v>5413.6</v>
      </c>
      <c r="D81">
        <v>3916.4</v>
      </c>
      <c r="F81">
        <f t="shared" si="3"/>
        <v>9.0737887348056722E-3</v>
      </c>
      <c r="G81">
        <f t="shared" si="4"/>
        <v>1.530382595648919E-2</v>
      </c>
      <c r="H81">
        <f t="shared" si="5"/>
        <v>3.022076525124259E-3</v>
      </c>
      <c r="K81" s="7">
        <v>43957</v>
      </c>
      <c r="L81" s="8">
        <v>1.0840000000000001</v>
      </c>
      <c r="M81" s="6"/>
      <c r="N81" s="7">
        <v>43957</v>
      </c>
      <c r="O81" s="8">
        <v>1130.5274999999999</v>
      </c>
    </row>
    <row r="82" spans="1:15" x14ac:dyDescent="0.15">
      <c r="A82" s="5">
        <v>43958</v>
      </c>
      <c r="B82">
        <v>5.9329999999999998</v>
      </c>
      <c r="C82">
        <v>5402.6</v>
      </c>
      <c r="D82">
        <v>3908.6</v>
      </c>
      <c r="F82">
        <f t="shared" si="3"/>
        <v>6.6168985408889885E-3</v>
      </c>
      <c r="G82">
        <f t="shared" si="4"/>
        <v>-2.0319196098714347E-3</v>
      </c>
      <c r="H82">
        <f t="shared" si="5"/>
        <v>-1.9916249616995663E-3</v>
      </c>
      <c r="K82" s="7">
        <v>43958</v>
      </c>
      <c r="L82" s="8">
        <v>1.079</v>
      </c>
      <c r="M82" s="6"/>
      <c r="N82" s="7">
        <v>43958</v>
      </c>
      <c r="O82" s="8">
        <v>1128.1061</v>
      </c>
    </row>
    <row r="83" spans="1:15" x14ac:dyDescent="0.15">
      <c r="A83" s="5">
        <v>43959</v>
      </c>
      <c r="B83">
        <v>6.01</v>
      </c>
      <c r="C83">
        <v>5479.8</v>
      </c>
      <c r="D83">
        <v>3949</v>
      </c>
      <c r="F83">
        <f t="shared" si="3"/>
        <v>1.2978257205460975E-2</v>
      </c>
      <c r="G83">
        <f t="shared" si="4"/>
        <v>1.4289416207011404E-2</v>
      </c>
      <c r="H83">
        <f t="shared" si="5"/>
        <v>1.0336181753057384E-2</v>
      </c>
      <c r="K83" s="7">
        <v>43959</v>
      </c>
      <c r="L83" s="8">
        <v>1.089</v>
      </c>
      <c r="M83" s="6"/>
      <c r="N83" s="7">
        <v>43959</v>
      </c>
      <c r="O83" s="8">
        <v>1136.1934000000001</v>
      </c>
    </row>
    <row r="84" spans="1:15" x14ac:dyDescent="0.15">
      <c r="A84" s="5">
        <v>43962</v>
      </c>
      <c r="B84">
        <v>5.9610000000000003</v>
      </c>
      <c r="C84">
        <v>5468.2</v>
      </c>
      <c r="D84">
        <v>3947</v>
      </c>
      <c r="F84">
        <f t="shared" si="3"/>
        <v>-8.1530782029949241E-3</v>
      </c>
      <c r="G84">
        <f t="shared" si="4"/>
        <v>-2.1168655790357975E-3</v>
      </c>
      <c r="H84">
        <f t="shared" si="5"/>
        <v>-5.0645733096986575E-4</v>
      </c>
      <c r="K84" s="7">
        <v>43962</v>
      </c>
      <c r="L84" s="8">
        <v>1.0740000000000001</v>
      </c>
      <c r="M84" s="6"/>
      <c r="N84" s="7">
        <v>43962</v>
      </c>
      <c r="O84" s="8">
        <v>1120.5035</v>
      </c>
    </row>
    <row r="85" spans="1:15" x14ac:dyDescent="0.15">
      <c r="A85" s="5">
        <v>43963</v>
      </c>
      <c r="B85">
        <v>6.0170000000000003</v>
      </c>
      <c r="C85">
        <v>5486</v>
      </c>
      <c r="D85">
        <v>3948</v>
      </c>
      <c r="F85">
        <f t="shared" si="3"/>
        <v>9.3943969132695929E-3</v>
      </c>
      <c r="G85">
        <f t="shared" si="4"/>
        <v>3.2551845214147585E-3</v>
      </c>
      <c r="H85">
        <f t="shared" si="5"/>
        <v>2.533569799847986E-4</v>
      </c>
      <c r="K85" s="7">
        <v>43963</v>
      </c>
      <c r="L85" s="8">
        <v>1.0840000000000001</v>
      </c>
      <c r="M85" s="6"/>
      <c r="N85" s="7">
        <v>43963</v>
      </c>
      <c r="O85" s="8">
        <v>1131.5447999999999</v>
      </c>
    </row>
    <row r="86" spans="1:15" x14ac:dyDescent="0.15">
      <c r="A86" s="5">
        <v>43964</v>
      </c>
      <c r="B86">
        <v>6.0549999999999997</v>
      </c>
      <c r="C86">
        <v>5519</v>
      </c>
      <c r="D86">
        <v>3958.8</v>
      </c>
      <c r="F86">
        <f t="shared" si="3"/>
        <v>6.3154395878343636E-3</v>
      </c>
      <c r="G86">
        <f t="shared" si="4"/>
        <v>6.0153117025154943E-3</v>
      </c>
      <c r="H86">
        <f t="shared" si="5"/>
        <v>2.7355623100304414E-3</v>
      </c>
      <c r="K86" s="7">
        <v>43964</v>
      </c>
      <c r="L86" s="8">
        <v>1.093</v>
      </c>
      <c r="M86" s="6"/>
      <c r="N86" s="7">
        <v>43964</v>
      </c>
      <c r="O86" s="8">
        <v>1142.2996000000001</v>
      </c>
    </row>
    <row r="87" spans="1:15" x14ac:dyDescent="0.15">
      <c r="A87" s="5">
        <v>43965</v>
      </c>
      <c r="B87">
        <v>6.0460000000000003</v>
      </c>
      <c r="C87">
        <v>5490.4</v>
      </c>
      <c r="D87">
        <v>3928</v>
      </c>
      <c r="F87">
        <f t="shared" si="3"/>
        <v>-1.4863748967794308E-3</v>
      </c>
      <c r="G87">
        <f t="shared" si="4"/>
        <v>-5.1820982061968404E-3</v>
      </c>
      <c r="H87">
        <f t="shared" si="5"/>
        <v>-7.7801353945640547E-3</v>
      </c>
      <c r="K87" s="7">
        <v>43965</v>
      </c>
      <c r="L87" s="8">
        <v>1.083</v>
      </c>
      <c r="M87" s="6"/>
      <c r="N87" s="7">
        <v>43965</v>
      </c>
      <c r="O87" s="8">
        <v>1129.7493999999999</v>
      </c>
    </row>
    <row r="88" spans="1:15" x14ac:dyDescent="0.15">
      <c r="A88" s="5">
        <v>43966</v>
      </c>
      <c r="B88">
        <v>5.9539999999999997</v>
      </c>
      <c r="C88">
        <v>5404.6</v>
      </c>
      <c r="D88">
        <v>3861</v>
      </c>
      <c r="F88">
        <f t="shared" si="3"/>
        <v>-1.5216672179953775E-2</v>
      </c>
      <c r="G88">
        <f t="shared" si="4"/>
        <v>-1.562727670115097E-2</v>
      </c>
      <c r="H88">
        <f t="shared" si="5"/>
        <v>-1.7057026476578412E-2</v>
      </c>
      <c r="K88" s="7">
        <v>43966</v>
      </c>
      <c r="L88" s="8">
        <v>1.085</v>
      </c>
      <c r="M88" s="6"/>
      <c r="N88" s="7">
        <v>43966</v>
      </c>
      <c r="O88" s="8">
        <v>1131.4282000000001</v>
      </c>
    </row>
    <row r="89" spans="1:15" x14ac:dyDescent="0.15">
      <c r="A89" s="5">
        <v>43969</v>
      </c>
      <c r="B89">
        <v>6.0590000000000002</v>
      </c>
      <c r="C89">
        <v>5389.4</v>
      </c>
      <c r="D89">
        <v>3881.4</v>
      </c>
      <c r="F89">
        <f t="shared" si="3"/>
        <v>1.7635203224722947E-2</v>
      </c>
      <c r="G89">
        <f t="shared" si="4"/>
        <v>-2.8124190504386498E-3</v>
      </c>
      <c r="H89">
        <f t="shared" si="5"/>
        <v>5.283605283605307E-3</v>
      </c>
      <c r="K89" s="7">
        <v>43969</v>
      </c>
      <c r="L89" s="8">
        <v>1.0840000000000001</v>
      </c>
      <c r="M89" s="6"/>
      <c r="N89" s="7">
        <v>43969</v>
      </c>
      <c r="O89" s="8">
        <v>1130.6445000000001</v>
      </c>
    </row>
    <row r="90" spans="1:15" x14ac:dyDescent="0.15">
      <c r="A90" s="5">
        <v>43970</v>
      </c>
      <c r="B90">
        <v>6.0860000000000003</v>
      </c>
      <c r="C90">
        <v>5454.2</v>
      </c>
      <c r="D90">
        <v>3911.8</v>
      </c>
      <c r="F90">
        <f t="shared" si="3"/>
        <v>4.4561808879353248E-3</v>
      </c>
      <c r="G90">
        <f t="shared" si="4"/>
        <v>1.2023601885182058E-2</v>
      </c>
      <c r="H90">
        <f t="shared" si="5"/>
        <v>7.832225485649531E-3</v>
      </c>
      <c r="K90" s="7">
        <v>43970</v>
      </c>
      <c r="L90" s="8">
        <v>1.097</v>
      </c>
      <c r="M90" s="6"/>
      <c r="N90" s="7">
        <v>43970</v>
      </c>
      <c r="O90" s="8">
        <v>1144.8249000000001</v>
      </c>
    </row>
    <row r="91" spans="1:15" x14ac:dyDescent="0.15">
      <c r="A91" s="5">
        <v>43971</v>
      </c>
      <c r="B91">
        <v>6.05</v>
      </c>
      <c r="C91">
        <v>5410.2</v>
      </c>
      <c r="D91">
        <v>3898.6</v>
      </c>
      <c r="F91">
        <f t="shared" si="3"/>
        <v>-5.9152152481104954E-3</v>
      </c>
      <c r="G91">
        <f t="shared" si="4"/>
        <v>-8.0671775879139016E-3</v>
      </c>
      <c r="H91">
        <f t="shared" si="5"/>
        <v>-3.3744056444604204E-3</v>
      </c>
      <c r="K91" s="7">
        <v>43971</v>
      </c>
      <c r="L91" s="8">
        <v>1.089</v>
      </c>
      <c r="M91" s="6"/>
      <c r="N91" s="7">
        <v>43971</v>
      </c>
      <c r="O91" s="8">
        <v>1133.5808</v>
      </c>
    </row>
    <row r="92" spans="1:15" x14ac:dyDescent="0.15">
      <c r="A92" s="5">
        <v>43972</v>
      </c>
      <c r="B92">
        <v>6.0590000000000002</v>
      </c>
      <c r="C92">
        <v>5343.2</v>
      </c>
      <c r="D92">
        <v>3870.2</v>
      </c>
      <c r="F92">
        <f t="shared" si="3"/>
        <v>1.4876033057851805E-3</v>
      </c>
      <c r="G92">
        <f t="shared" si="4"/>
        <v>-1.2384015378359396E-2</v>
      </c>
      <c r="H92">
        <f t="shared" si="5"/>
        <v>-7.2846662904632667E-3</v>
      </c>
      <c r="K92" s="7">
        <v>43972</v>
      </c>
      <c r="L92" s="8">
        <v>1.079</v>
      </c>
      <c r="M92" s="6"/>
      <c r="N92" s="7">
        <v>43972</v>
      </c>
      <c r="O92" s="8">
        <v>1124.4927</v>
      </c>
    </row>
    <row r="93" spans="1:15" x14ac:dyDescent="0.15">
      <c r="A93" s="5">
        <v>43973</v>
      </c>
      <c r="B93">
        <v>5.9320000000000004</v>
      </c>
      <c r="C93">
        <v>5267.8</v>
      </c>
      <c r="D93">
        <v>3783</v>
      </c>
      <c r="F93">
        <f t="shared" si="3"/>
        <v>-2.0960554546954908E-2</v>
      </c>
      <c r="G93">
        <f t="shared" si="4"/>
        <v>-1.4111393921245628E-2</v>
      </c>
      <c r="H93">
        <f t="shared" si="5"/>
        <v>-2.2531135341842753E-2</v>
      </c>
      <c r="K93" s="7">
        <v>43973</v>
      </c>
      <c r="L93" s="8">
        <v>1.052</v>
      </c>
      <c r="M93" s="6"/>
      <c r="N93" s="7">
        <v>43973</v>
      </c>
      <c r="O93" s="8">
        <v>1094.9306999999999</v>
      </c>
    </row>
    <row r="94" spans="1:15" x14ac:dyDescent="0.15">
      <c r="A94" s="5">
        <v>43976</v>
      </c>
      <c r="B94">
        <v>5.9939999999999998</v>
      </c>
      <c r="C94">
        <v>5254.6</v>
      </c>
      <c r="D94">
        <v>3792.6</v>
      </c>
      <c r="F94">
        <f t="shared" si="3"/>
        <v>1.0451786918408527E-2</v>
      </c>
      <c r="G94">
        <f t="shared" si="4"/>
        <v>-2.5057898933140625E-3</v>
      </c>
      <c r="H94">
        <f t="shared" si="5"/>
        <v>2.5376685170499362E-3</v>
      </c>
      <c r="K94" s="7">
        <v>43976</v>
      </c>
      <c r="L94" s="8">
        <v>1.0569999999999999</v>
      </c>
      <c r="M94" s="6"/>
      <c r="N94" s="7">
        <v>43976</v>
      </c>
      <c r="O94" s="8">
        <v>1100.1335999999999</v>
      </c>
    </row>
    <row r="95" spans="1:15" x14ac:dyDescent="0.15">
      <c r="A95" s="5">
        <v>43977</v>
      </c>
      <c r="B95">
        <v>6.0789999999999997</v>
      </c>
      <c r="C95">
        <v>5343.6</v>
      </c>
      <c r="D95">
        <v>3828.8</v>
      </c>
      <c r="F95">
        <f t="shared" si="3"/>
        <v>1.4180847514180842E-2</v>
      </c>
      <c r="G95">
        <f t="shared" si="4"/>
        <v>1.6937540440756668E-2</v>
      </c>
      <c r="H95">
        <f t="shared" si="5"/>
        <v>9.5449032326109465E-3</v>
      </c>
      <c r="K95" s="7">
        <v>43977</v>
      </c>
      <c r="L95" s="8">
        <v>1.0840000000000001</v>
      </c>
      <c r="M95" s="6"/>
      <c r="N95" s="7">
        <v>43977</v>
      </c>
      <c r="O95" s="8">
        <v>1129.3489</v>
      </c>
    </row>
    <row r="96" spans="1:15" x14ac:dyDescent="0.15">
      <c r="A96" s="5">
        <v>43978</v>
      </c>
      <c r="B96">
        <v>6.0350000000000001</v>
      </c>
      <c r="C96">
        <v>5301.4</v>
      </c>
      <c r="D96">
        <v>3811.2</v>
      </c>
      <c r="F96">
        <f t="shared" si="3"/>
        <v>-7.2380325711465035E-3</v>
      </c>
      <c r="G96">
        <f t="shared" si="4"/>
        <v>-7.8972977019239315E-3</v>
      </c>
      <c r="H96">
        <f t="shared" si="5"/>
        <v>-4.5967404931049841E-3</v>
      </c>
      <c r="K96" s="7">
        <v>43978</v>
      </c>
      <c r="L96" s="8">
        <v>1.0660000000000001</v>
      </c>
      <c r="M96" s="6"/>
      <c r="N96" s="7">
        <v>43978</v>
      </c>
      <c r="O96" s="8">
        <v>1107.6588999999999</v>
      </c>
    </row>
    <row r="97" spans="1:15" x14ac:dyDescent="0.15">
      <c r="A97" s="5">
        <v>43979</v>
      </c>
      <c r="B97">
        <v>5.9950000000000001</v>
      </c>
      <c r="C97">
        <v>5282.6</v>
      </c>
      <c r="D97">
        <v>3815.8</v>
      </c>
      <c r="F97">
        <f t="shared" si="3"/>
        <v>-6.6280033140016627E-3</v>
      </c>
      <c r="G97">
        <f t="shared" si="4"/>
        <v>-3.5462330705095398E-3</v>
      </c>
      <c r="H97">
        <f t="shared" si="5"/>
        <v>1.2069689336692811E-3</v>
      </c>
      <c r="K97" s="7">
        <v>43979</v>
      </c>
      <c r="L97" s="8">
        <v>1.0569999999999999</v>
      </c>
      <c r="M97" s="6"/>
      <c r="N97" s="7">
        <v>43979</v>
      </c>
      <c r="O97" s="8">
        <v>1098.8794</v>
      </c>
    </row>
    <row r="98" spans="1:15" x14ac:dyDescent="0.15">
      <c r="A98" s="5">
        <v>43980</v>
      </c>
      <c r="B98">
        <v>6.0919999999999996</v>
      </c>
      <c r="C98">
        <v>5318.8</v>
      </c>
      <c r="D98">
        <v>3820</v>
      </c>
      <c r="F98">
        <f t="shared" si="3"/>
        <v>1.6180150125104174E-2</v>
      </c>
      <c r="G98">
        <f t="shared" si="4"/>
        <v>6.8526861772611625E-3</v>
      </c>
      <c r="H98">
        <f t="shared" si="5"/>
        <v>1.1006866187954867E-3</v>
      </c>
      <c r="K98" s="7">
        <v>43980</v>
      </c>
      <c r="L98" s="8">
        <v>1.07</v>
      </c>
      <c r="M98" s="6"/>
      <c r="N98" s="7">
        <v>43980</v>
      </c>
      <c r="O98" s="8">
        <v>1115.4576999999999</v>
      </c>
    </row>
    <row r="99" spans="1:15" x14ac:dyDescent="0.15">
      <c r="A99" s="5">
        <v>43983</v>
      </c>
      <c r="B99">
        <v>6.2249999999999996</v>
      </c>
      <c r="C99">
        <v>5524.2</v>
      </c>
      <c r="D99">
        <v>3938.8</v>
      </c>
      <c r="F99">
        <f t="shared" si="3"/>
        <v>2.1831910702560738E-2</v>
      </c>
      <c r="G99">
        <f t="shared" si="4"/>
        <v>3.8617733323305939E-2</v>
      </c>
      <c r="H99">
        <f t="shared" si="5"/>
        <v>3.1099476439790625E-2</v>
      </c>
      <c r="K99" s="7">
        <v>43983</v>
      </c>
      <c r="L99" s="8">
        <v>1.1060000000000001</v>
      </c>
      <c r="M99" s="6"/>
      <c r="N99" s="7">
        <v>43983</v>
      </c>
      <c r="O99" s="8">
        <v>1149.787</v>
      </c>
    </row>
    <row r="100" spans="1:15" x14ac:dyDescent="0.15">
      <c r="A100" s="5">
        <v>43984</v>
      </c>
      <c r="B100">
        <v>6.1749999999999998</v>
      </c>
      <c r="C100">
        <v>5523</v>
      </c>
      <c r="D100">
        <v>3955</v>
      </c>
      <c r="F100">
        <f t="shared" si="3"/>
        <v>-8.0321285140561964E-3</v>
      </c>
      <c r="G100">
        <f t="shared" si="4"/>
        <v>-2.1722602367760366E-4</v>
      </c>
      <c r="H100">
        <f t="shared" si="5"/>
        <v>4.1129277952675477E-3</v>
      </c>
      <c r="K100" s="7">
        <v>43984</v>
      </c>
      <c r="L100" s="8">
        <v>1.099</v>
      </c>
      <c r="M100" s="6"/>
      <c r="N100" s="7">
        <v>43984</v>
      </c>
      <c r="O100" s="8">
        <v>1142.2141999999999</v>
      </c>
    </row>
    <row r="101" spans="1:15" x14ac:dyDescent="0.15">
      <c r="A101" s="5">
        <v>43985</v>
      </c>
      <c r="B101">
        <v>6.1980000000000004</v>
      </c>
      <c r="C101">
        <v>5512</v>
      </c>
      <c r="D101">
        <v>3951</v>
      </c>
      <c r="F101">
        <f t="shared" si="3"/>
        <v>3.7246963562753968E-3</v>
      </c>
      <c r="G101">
        <f t="shared" si="4"/>
        <v>-1.991671193192106E-3</v>
      </c>
      <c r="H101">
        <f t="shared" si="5"/>
        <v>-1.011378002528445E-3</v>
      </c>
      <c r="K101" s="7">
        <v>43985</v>
      </c>
      <c r="L101" s="8">
        <v>1.095</v>
      </c>
      <c r="M101" s="6"/>
      <c r="N101" s="7">
        <v>43985</v>
      </c>
      <c r="O101" s="8">
        <v>1139.1611</v>
      </c>
    </row>
    <row r="102" spans="1:15" x14ac:dyDescent="0.15">
      <c r="A102" s="5">
        <v>43986</v>
      </c>
      <c r="B102">
        <v>6.2270000000000003</v>
      </c>
      <c r="C102">
        <v>5517.4</v>
      </c>
      <c r="D102">
        <v>3952</v>
      </c>
      <c r="F102">
        <f t="shared" si="3"/>
        <v>4.6789286866731061E-3</v>
      </c>
      <c r="G102">
        <f t="shared" si="4"/>
        <v>9.796806966617627E-4</v>
      </c>
      <c r="H102">
        <f t="shared" si="5"/>
        <v>2.531004808909137E-4</v>
      </c>
      <c r="K102" s="7">
        <v>43986</v>
      </c>
      <c r="L102" s="8">
        <v>1.097</v>
      </c>
      <c r="M102" s="6"/>
      <c r="N102" s="7">
        <v>43986</v>
      </c>
      <c r="O102" s="8">
        <v>1143.1204</v>
      </c>
    </row>
    <row r="103" spans="1:15" x14ac:dyDescent="0.15">
      <c r="A103" s="5">
        <v>43987</v>
      </c>
      <c r="B103">
        <v>6.2679999999999998</v>
      </c>
      <c r="C103">
        <v>5541</v>
      </c>
      <c r="D103">
        <v>3979</v>
      </c>
      <c r="F103">
        <f t="shared" si="3"/>
        <v>6.5842299662758116E-3</v>
      </c>
      <c r="G103">
        <f t="shared" si="4"/>
        <v>4.2773770254105857E-3</v>
      </c>
      <c r="H103">
        <f t="shared" si="5"/>
        <v>6.8319838056680165E-3</v>
      </c>
      <c r="K103" s="7">
        <v>43987</v>
      </c>
      <c r="L103" s="8">
        <v>1.1060000000000001</v>
      </c>
      <c r="M103" s="6"/>
      <c r="N103" s="7">
        <v>43987</v>
      </c>
      <c r="O103" s="8">
        <v>1151.3459</v>
      </c>
    </row>
    <row r="104" spans="1:15" x14ac:dyDescent="0.15">
      <c r="A104" s="5">
        <v>43990</v>
      </c>
      <c r="B104">
        <v>6.2750000000000004</v>
      </c>
      <c r="C104">
        <v>5522.2</v>
      </c>
      <c r="D104">
        <v>3991.4</v>
      </c>
      <c r="F104">
        <f t="shared" si="3"/>
        <v>1.1167836630505044E-3</v>
      </c>
      <c r="G104">
        <f t="shared" si="4"/>
        <v>-3.3928893701498253E-3</v>
      </c>
      <c r="H104">
        <f t="shared" si="5"/>
        <v>3.116360894697183E-3</v>
      </c>
      <c r="K104" s="7">
        <v>43990</v>
      </c>
      <c r="L104" s="8">
        <v>1.099</v>
      </c>
      <c r="M104" s="6"/>
      <c r="N104" s="7">
        <v>43990</v>
      </c>
      <c r="O104" s="8">
        <v>1143.1298999999999</v>
      </c>
    </row>
    <row r="105" spans="1:15" x14ac:dyDescent="0.15">
      <c r="A105" s="5">
        <v>43991</v>
      </c>
      <c r="B105">
        <v>6.4130000000000003</v>
      </c>
      <c r="C105">
        <v>5559.2</v>
      </c>
      <c r="D105">
        <v>4014.8</v>
      </c>
      <c r="F105">
        <f t="shared" si="3"/>
        <v>2.1992031872509941E-2</v>
      </c>
      <c r="G105">
        <f t="shared" si="4"/>
        <v>6.7002281699322739E-3</v>
      </c>
      <c r="H105">
        <f t="shared" si="5"/>
        <v>5.8626045998897858E-3</v>
      </c>
      <c r="K105" s="7">
        <v>43991</v>
      </c>
      <c r="L105" s="8">
        <v>1.111</v>
      </c>
      <c r="M105" s="6"/>
      <c r="N105" s="7">
        <v>43991</v>
      </c>
      <c r="O105" s="8">
        <v>1158.3912</v>
      </c>
    </row>
    <row r="106" spans="1:15" x14ac:dyDescent="0.15">
      <c r="A106" s="5">
        <v>43992</v>
      </c>
      <c r="B106">
        <v>6.4</v>
      </c>
      <c r="C106">
        <v>5563.4</v>
      </c>
      <c r="D106">
        <v>4013.8</v>
      </c>
      <c r="F106">
        <f t="shared" si="3"/>
        <v>-2.0271323873382037E-3</v>
      </c>
      <c r="G106">
        <f t="shared" si="4"/>
        <v>7.5550438912070413E-4</v>
      </c>
      <c r="H106">
        <f t="shared" si="5"/>
        <v>-2.490784098834313E-4</v>
      </c>
      <c r="K106" s="7">
        <v>43992</v>
      </c>
      <c r="L106" s="8">
        <v>1.1259999999999999</v>
      </c>
      <c r="M106" s="6"/>
      <c r="N106" s="7">
        <v>43992</v>
      </c>
      <c r="O106" s="8">
        <v>1171.3447000000001</v>
      </c>
    </row>
    <row r="107" spans="1:15" x14ac:dyDescent="0.15">
      <c r="A107" s="5">
        <v>43993</v>
      </c>
      <c r="B107">
        <v>6.3479999999999999</v>
      </c>
      <c r="C107">
        <v>5556.6</v>
      </c>
      <c r="D107">
        <v>3965</v>
      </c>
      <c r="F107">
        <f t="shared" si="3"/>
        <v>-8.1250000000000766E-3</v>
      </c>
      <c r="G107">
        <f t="shared" si="4"/>
        <v>-1.22227414890162E-3</v>
      </c>
      <c r="H107">
        <f t="shared" si="5"/>
        <v>-1.2158054711246246E-2</v>
      </c>
      <c r="K107" s="7">
        <v>43993</v>
      </c>
      <c r="L107" s="8">
        <v>1.123</v>
      </c>
      <c r="M107" s="6"/>
      <c r="N107" s="7">
        <v>43993</v>
      </c>
      <c r="O107" s="8">
        <v>1163.8209999999999</v>
      </c>
    </row>
    <row r="108" spans="1:15" x14ac:dyDescent="0.15">
      <c r="A108" s="5">
        <v>43994</v>
      </c>
      <c r="B108">
        <v>6.407</v>
      </c>
      <c r="C108">
        <v>5578.2</v>
      </c>
      <c r="D108">
        <v>3986.2</v>
      </c>
      <c r="F108">
        <f t="shared" si="3"/>
        <v>9.2942659105230245E-3</v>
      </c>
      <c r="G108">
        <f t="shared" si="4"/>
        <v>3.8872691933915437E-3</v>
      </c>
      <c r="H108">
        <f t="shared" si="5"/>
        <v>5.3467843631777598E-3</v>
      </c>
      <c r="K108" s="7">
        <v>43994</v>
      </c>
      <c r="L108" s="8">
        <v>1.1259999999999999</v>
      </c>
      <c r="M108" s="6"/>
      <c r="N108" s="7">
        <v>43994</v>
      </c>
      <c r="O108" s="8">
        <v>1165.3110999999999</v>
      </c>
    </row>
    <row r="109" spans="1:15" x14ac:dyDescent="0.15">
      <c r="A109" s="5">
        <v>43997</v>
      </c>
      <c r="B109">
        <v>6.39</v>
      </c>
      <c r="C109">
        <v>5557</v>
      </c>
      <c r="D109">
        <v>3929.4</v>
      </c>
      <c r="F109">
        <f t="shared" si="3"/>
        <v>-2.6533479007336269E-3</v>
      </c>
      <c r="G109">
        <f t="shared" si="4"/>
        <v>-3.8005091248072532E-3</v>
      </c>
      <c r="H109">
        <f t="shared" si="5"/>
        <v>-1.4249159600622079E-2</v>
      </c>
      <c r="K109" s="7">
        <v>43997</v>
      </c>
      <c r="L109" s="8">
        <v>1.131</v>
      </c>
      <c r="M109" s="6"/>
      <c r="N109" s="7">
        <v>43997</v>
      </c>
      <c r="O109" s="8">
        <v>1170.6045999999999</v>
      </c>
    </row>
    <row r="110" spans="1:15" x14ac:dyDescent="0.15">
      <c r="A110" s="5">
        <v>43998</v>
      </c>
      <c r="B110">
        <v>6.5049999999999999</v>
      </c>
      <c r="C110">
        <v>5678.8</v>
      </c>
      <c r="D110">
        <v>4000</v>
      </c>
      <c r="F110">
        <f t="shared" si="3"/>
        <v>1.79968701095462E-2</v>
      </c>
      <c r="G110">
        <f t="shared" si="4"/>
        <v>2.1918301241677197E-2</v>
      </c>
      <c r="H110">
        <f t="shared" si="5"/>
        <v>1.7967119662034892E-2</v>
      </c>
      <c r="K110" s="7">
        <v>43998</v>
      </c>
      <c r="L110" s="8">
        <v>1.1479999999999999</v>
      </c>
      <c r="M110" s="6"/>
      <c r="N110" s="7">
        <v>43998</v>
      </c>
      <c r="O110" s="8">
        <v>1190.9864</v>
      </c>
    </row>
    <row r="111" spans="1:15" x14ac:dyDescent="0.15">
      <c r="A111" s="5">
        <v>43999</v>
      </c>
      <c r="B111">
        <v>6.5789999999999997</v>
      </c>
      <c r="C111">
        <v>5706</v>
      </c>
      <c r="D111">
        <v>4007</v>
      </c>
      <c r="F111">
        <f t="shared" si="3"/>
        <v>1.1375864719446556E-2</v>
      </c>
      <c r="G111">
        <f t="shared" si="4"/>
        <v>4.7897443121785975E-3</v>
      </c>
      <c r="H111">
        <f t="shared" si="5"/>
        <v>1.75E-3</v>
      </c>
      <c r="K111" s="7">
        <v>43999</v>
      </c>
      <c r="L111" s="8">
        <v>1.1479999999999999</v>
      </c>
      <c r="M111" s="6"/>
      <c r="N111" s="7">
        <v>43999</v>
      </c>
      <c r="O111" s="8">
        <v>1189.2282</v>
      </c>
    </row>
    <row r="112" spans="1:15" x14ac:dyDescent="0.15">
      <c r="A112" s="5">
        <v>44000</v>
      </c>
      <c r="B112">
        <v>6.649</v>
      </c>
      <c r="C112">
        <v>5743.2</v>
      </c>
      <c r="D112">
        <v>4042</v>
      </c>
      <c r="F112">
        <f t="shared" si="3"/>
        <v>1.0639914880680999E-2</v>
      </c>
      <c r="G112">
        <f t="shared" si="4"/>
        <v>6.5194532071503365E-3</v>
      </c>
      <c r="H112">
        <f t="shared" si="5"/>
        <v>8.7347142500623903E-3</v>
      </c>
      <c r="K112" s="7">
        <v>44000</v>
      </c>
      <c r="L112" s="8">
        <v>1.1599999999999999</v>
      </c>
      <c r="M112" s="6"/>
      <c r="N112" s="7">
        <v>44000</v>
      </c>
      <c r="O112" s="8">
        <v>1196.4611</v>
      </c>
    </row>
    <row r="113" spans="1:15" x14ac:dyDescent="0.15">
      <c r="A113" s="5">
        <v>44001</v>
      </c>
      <c r="B113">
        <v>6.7069999999999999</v>
      </c>
      <c r="C113">
        <v>5713.8</v>
      </c>
      <c r="D113">
        <v>4046.8</v>
      </c>
      <c r="F113">
        <f t="shared" si="3"/>
        <v>8.7231162580838975E-3</v>
      </c>
      <c r="G113">
        <f t="shared" si="4"/>
        <v>-5.119097367321291E-3</v>
      </c>
      <c r="H113">
        <f t="shared" si="5"/>
        <v>1.1875309252845575E-3</v>
      </c>
      <c r="K113" s="7">
        <v>44001</v>
      </c>
      <c r="L113" s="8">
        <v>1.1850000000000001</v>
      </c>
      <c r="M113" s="6"/>
      <c r="N113" s="7">
        <v>44001</v>
      </c>
      <c r="O113" s="8">
        <v>1230.5336</v>
      </c>
    </row>
    <row r="114" spans="1:15" x14ac:dyDescent="0.15">
      <c r="A114" s="5">
        <v>44004</v>
      </c>
      <c r="B114">
        <v>6.7039999999999997</v>
      </c>
      <c r="C114">
        <v>5711.4</v>
      </c>
      <c r="D114">
        <v>4051.2</v>
      </c>
      <c r="F114">
        <f t="shared" si="3"/>
        <v>-4.4729387207396954E-4</v>
      </c>
      <c r="G114">
        <f t="shared" si="4"/>
        <v>-4.2003570303485345E-4</v>
      </c>
      <c r="H114">
        <f t="shared" si="5"/>
        <v>1.087278837599989E-3</v>
      </c>
      <c r="K114" s="7">
        <v>44004</v>
      </c>
      <c r="L114" s="8">
        <v>1.202</v>
      </c>
      <c r="M114" s="6"/>
      <c r="N114" s="7">
        <v>44004</v>
      </c>
      <c r="O114" s="8">
        <v>1243.9584</v>
      </c>
    </row>
    <row r="115" spans="1:15" x14ac:dyDescent="0.15">
      <c r="A115" s="5">
        <v>44005</v>
      </c>
      <c r="B115">
        <v>6.8049999999999997</v>
      </c>
      <c r="C115">
        <v>5737.2</v>
      </c>
      <c r="D115">
        <v>4074</v>
      </c>
      <c r="F115">
        <f t="shared" si="3"/>
        <v>1.5065632458233887E-2</v>
      </c>
      <c r="G115">
        <f t="shared" si="4"/>
        <v>4.5172812270196771E-3</v>
      </c>
      <c r="H115">
        <f t="shared" si="5"/>
        <v>5.627962085308102E-3</v>
      </c>
      <c r="K115" s="7">
        <v>44005</v>
      </c>
      <c r="L115" s="8">
        <v>1.224</v>
      </c>
      <c r="M115" s="6"/>
      <c r="N115" s="7">
        <v>44005</v>
      </c>
      <c r="O115" s="8">
        <v>1266.0884000000001</v>
      </c>
    </row>
    <row r="116" spans="1:15" x14ac:dyDescent="0.15">
      <c r="A116" s="5">
        <v>44006</v>
      </c>
      <c r="B116">
        <v>6.8339999999999996</v>
      </c>
      <c r="C116">
        <v>5744.2</v>
      </c>
      <c r="D116">
        <v>4109.6000000000004</v>
      </c>
      <c r="F116">
        <f t="shared" si="3"/>
        <v>4.2615723732549468E-3</v>
      </c>
      <c r="G116">
        <f t="shared" si="4"/>
        <v>1.2201073694485115E-3</v>
      </c>
      <c r="H116">
        <f t="shared" si="5"/>
        <v>8.7383406971036724E-3</v>
      </c>
      <c r="K116" s="7">
        <v>44006</v>
      </c>
      <c r="L116" s="8">
        <v>1.228</v>
      </c>
      <c r="M116" s="6"/>
      <c r="N116" s="7">
        <v>44006</v>
      </c>
      <c r="O116" s="8">
        <v>1266.6539</v>
      </c>
    </row>
    <row r="117" spans="1:15" x14ac:dyDescent="0.15">
      <c r="A117" s="5">
        <v>44011</v>
      </c>
      <c r="B117">
        <v>6.88</v>
      </c>
      <c r="C117">
        <v>5710.6</v>
      </c>
      <c r="D117">
        <v>4078</v>
      </c>
      <c r="F117">
        <f t="shared" si="3"/>
        <v>6.7310506292069458E-3</v>
      </c>
      <c r="G117">
        <f t="shared" si="4"/>
        <v>-5.8493785035339044E-3</v>
      </c>
      <c r="H117">
        <f t="shared" si="5"/>
        <v>-7.6893128284992122E-3</v>
      </c>
      <c r="K117" s="7">
        <v>44011</v>
      </c>
      <c r="L117" s="8">
        <v>1.216</v>
      </c>
      <c r="M117" s="6"/>
      <c r="N117" s="7">
        <v>44011</v>
      </c>
      <c r="O117" s="8">
        <v>1262.9231</v>
      </c>
    </row>
    <row r="118" spans="1:15" x14ac:dyDescent="0.15">
      <c r="A118" s="5">
        <v>44012</v>
      </c>
      <c r="B118">
        <v>6.9960000000000004</v>
      </c>
      <c r="C118">
        <v>5802.4</v>
      </c>
      <c r="D118">
        <v>4120.6000000000004</v>
      </c>
      <c r="F118">
        <f t="shared" si="3"/>
        <v>1.6860465116279151E-2</v>
      </c>
      <c r="G118">
        <f t="shared" si="4"/>
        <v>1.60753686127551E-2</v>
      </c>
      <c r="H118">
        <f t="shared" si="5"/>
        <v>1.0446297204512105E-2</v>
      </c>
      <c r="K118" s="7">
        <v>44012</v>
      </c>
      <c r="L118" s="8">
        <v>1.2549999999999999</v>
      </c>
      <c r="M118" s="6"/>
      <c r="N118" s="7">
        <v>44012</v>
      </c>
      <c r="O118" s="8">
        <v>1300.7343000000001</v>
      </c>
    </row>
    <row r="119" spans="1:15" x14ac:dyDescent="0.15">
      <c r="A119" s="5">
        <v>44013</v>
      </c>
      <c r="B119">
        <v>7.0890000000000004</v>
      </c>
      <c r="C119">
        <v>5829.4</v>
      </c>
      <c r="D119">
        <v>4218.8</v>
      </c>
      <c r="F119">
        <f t="shared" si="3"/>
        <v>1.329331046312178E-2</v>
      </c>
      <c r="G119">
        <f t="shared" si="4"/>
        <v>4.6532469323038745E-3</v>
      </c>
      <c r="H119">
        <f t="shared" si="5"/>
        <v>2.3831480852303015E-2</v>
      </c>
      <c r="K119" s="7">
        <v>44013</v>
      </c>
      <c r="L119" s="8">
        <v>1.2490000000000001</v>
      </c>
      <c r="M119" s="6"/>
      <c r="N119" s="7">
        <v>44013</v>
      </c>
      <c r="O119" s="8">
        <v>1290.7422999999999</v>
      </c>
    </row>
    <row r="120" spans="1:15" x14ac:dyDescent="0.15">
      <c r="A120" s="5">
        <v>44014</v>
      </c>
      <c r="B120">
        <v>7.0960000000000001</v>
      </c>
      <c r="C120">
        <v>5954.2</v>
      </c>
      <c r="D120">
        <v>4323.2</v>
      </c>
      <c r="F120">
        <f t="shared" si="3"/>
        <v>9.8744533784732302E-4</v>
      </c>
      <c r="G120">
        <f t="shared" si="4"/>
        <v>2.1408721309225682E-2</v>
      </c>
      <c r="H120">
        <f t="shared" si="5"/>
        <v>2.4746373376315453E-2</v>
      </c>
      <c r="K120" s="7">
        <v>44014</v>
      </c>
      <c r="L120" s="8">
        <v>1.246</v>
      </c>
      <c r="M120" s="6"/>
      <c r="N120" s="7">
        <v>44014</v>
      </c>
      <c r="O120" s="8">
        <v>1290.5385000000001</v>
      </c>
    </row>
    <row r="121" spans="1:15" x14ac:dyDescent="0.15">
      <c r="A121" s="5">
        <v>44015</v>
      </c>
      <c r="B121">
        <v>7.157</v>
      </c>
      <c r="C121">
        <v>6034.8</v>
      </c>
      <c r="D121">
        <v>4407</v>
      </c>
      <c r="F121">
        <f t="shared" si="3"/>
        <v>8.5963923337091241E-3</v>
      </c>
      <c r="G121">
        <f t="shared" si="4"/>
        <v>1.3536663195727447E-2</v>
      </c>
      <c r="H121">
        <f t="shared" si="5"/>
        <v>1.9383789785344233E-2</v>
      </c>
      <c r="K121" s="7">
        <v>44015</v>
      </c>
      <c r="L121" s="8">
        <v>1.2629999999999999</v>
      </c>
      <c r="M121" s="6"/>
      <c r="N121" s="7">
        <v>44015</v>
      </c>
      <c r="O121" s="8">
        <v>1311.181</v>
      </c>
    </row>
    <row r="122" spans="1:15" x14ac:dyDescent="0.15">
      <c r="A122" s="5">
        <v>44018</v>
      </c>
      <c r="B122">
        <v>7.4169999999999998</v>
      </c>
      <c r="C122">
        <v>6305.2</v>
      </c>
      <c r="D122">
        <v>4734</v>
      </c>
      <c r="F122">
        <f t="shared" si="3"/>
        <v>3.6328070420567245E-2</v>
      </c>
      <c r="G122">
        <f t="shared" si="4"/>
        <v>4.4806787300324724E-2</v>
      </c>
      <c r="H122">
        <f t="shared" si="5"/>
        <v>7.4200136147038798E-2</v>
      </c>
      <c r="K122" s="7">
        <v>44018</v>
      </c>
      <c r="L122" s="8">
        <v>1.302</v>
      </c>
      <c r="M122" s="6"/>
      <c r="N122" s="7">
        <v>44018</v>
      </c>
      <c r="O122" s="8">
        <v>1344.0522000000001</v>
      </c>
    </row>
    <row r="123" spans="1:15" x14ac:dyDescent="0.15">
      <c r="A123" s="5">
        <v>44019</v>
      </c>
      <c r="B123">
        <v>7.569</v>
      </c>
      <c r="C123">
        <v>6400.4</v>
      </c>
      <c r="D123">
        <v>4712.2</v>
      </c>
      <c r="F123">
        <f t="shared" si="3"/>
        <v>2.0493460968046398E-2</v>
      </c>
      <c r="G123">
        <f t="shared" si="4"/>
        <v>1.5098648734377945E-2</v>
      </c>
      <c r="H123">
        <f t="shared" si="5"/>
        <v>-4.6049852133502704E-3</v>
      </c>
      <c r="K123" s="7">
        <v>44019</v>
      </c>
      <c r="L123" s="8">
        <v>1.333</v>
      </c>
      <c r="M123" s="6"/>
      <c r="N123" s="7">
        <v>44019</v>
      </c>
      <c r="O123" s="8">
        <v>1376.2085999999999</v>
      </c>
    </row>
    <row r="124" spans="1:15" x14ac:dyDescent="0.15">
      <c r="A124" s="5">
        <v>44020</v>
      </c>
      <c r="B124">
        <v>7.5679999999999996</v>
      </c>
      <c r="C124">
        <v>6515.8</v>
      </c>
      <c r="D124">
        <v>4759.6000000000004</v>
      </c>
      <c r="F124">
        <f t="shared" si="3"/>
        <v>-1.3211784912146044E-4</v>
      </c>
      <c r="G124">
        <f t="shared" si="4"/>
        <v>1.8030123117305254E-2</v>
      </c>
      <c r="H124">
        <f t="shared" si="5"/>
        <v>1.0058995798141112E-2</v>
      </c>
      <c r="K124" s="7">
        <v>44020</v>
      </c>
      <c r="L124" s="8">
        <v>1.3580000000000001</v>
      </c>
      <c r="M124" s="6"/>
      <c r="N124" s="7">
        <v>44020</v>
      </c>
      <c r="O124" s="8">
        <v>1409.0762</v>
      </c>
    </row>
    <row r="125" spans="1:15" x14ac:dyDescent="0.15">
      <c r="A125" s="5">
        <v>44021</v>
      </c>
      <c r="B125">
        <v>7.6989999999999998</v>
      </c>
      <c r="C125">
        <v>6707.6</v>
      </c>
      <c r="D125">
        <v>4835.8</v>
      </c>
      <c r="F125">
        <f t="shared" si="3"/>
        <v>1.7309725158562397E-2</v>
      </c>
      <c r="G125">
        <f t="shared" si="4"/>
        <v>2.9436139844685252E-2</v>
      </c>
      <c r="H125">
        <f t="shared" si="5"/>
        <v>1.6009748718379655E-2</v>
      </c>
      <c r="K125" s="7">
        <v>44021</v>
      </c>
      <c r="L125" s="8">
        <v>1.4159999999999999</v>
      </c>
      <c r="M125" s="6"/>
      <c r="N125" s="7">
        <v>44021</v>
      </c>
      <c r="O125" s="8">
        <v>1466.1005</v>
      </c>
    </row>
    <row r="126" spans="1:15" x14ac:dyDescent="0.15">
      <c r="A126" s="5">
        <v>44022</v>
      </c>
      <c r="B126">
        <v>7.7329999999999997</v>
      </c>
      <c r="C126">
        <v>6689.2</v>
      </c>
      <c r="D126">
        <v>4745</v>
      </c>
      <c r="F126">
        <f t="shared" si="3"/>
        <v>4.4161579425899223E-3</v>
      </c>
      <c r="G126">
        <f t="shared" si="4"/>
        <v>-2.7431570159223186E-3</v>
      </c>
      <c r="H126">
        <f t="shared" si="5"/>
        <v>-1.8776624343438558E-2</v>
      </c>
      <c r="K126" s="7">
        <v>44022</v>
      </c>
      <c r="L126" s="8">
        <v>1.4259999999999999</v>
      </c>
      <c r="M126" s="6"/>
      <c r="N126" s="7">
        <v>44022</v>
      </c>
      <c r="O126" s="8">
        <v>1476.1542999999999</v>
      </c>
    </row>
    <row r="127" spans="1:15" x14ac:dyDescent="0.15">
      <c r="A127" s="5">
        <v>44025</v>
      </c>
      <c r="B127">
        <v>7.95</v>
      </c>
      <c r="C127">
        <v>6898.6</v>
      </c>
      <c r="D127">
        <v>4838</v>
      </c>
      <c r="F127">
        <f t="shared" si="3"/>
        <v>2.8061554377343919E-2</v>
      </c>
      <c r="G127">
        <f t="shared" si="4"/>
        <v>3.1304191831609242E-2</v>
      </c>
      <c r="H127">
        <f t="shared" si="5"/>
        <v>1.9599578503688094E-2</v>
      </c>
      <c r="K127" s="7">
        <v>44025</v>
      </c>
      <c r="L127" s="8">
        <v>1.49</v>
      </c>
      <c r="M127" s="6"/>
      <c r="N127" s="7">
        <v>44025</v>
      </c>
      <c r="O127" s="8">
        <v>1539.6412</v>
      </c>
    </row>
    <row r="128" spans="1:15" x14ac:dyDescent="0.15">
      <c r="A128" s="5">
        <v>44026</v>
      </c>
      <c r="B128">
        <v>7.8869999999999996</v>
      </c>
      <c r="C128">
        <v>6791</v>
      </c>
      <c r="D128">
        <v>4793</v>
      </c>
      <c r="F128">
        <f t="shared" si="3"/>
        <v>-7.9245283018868698E-3</v>
      </c>
      <c r="G128">
        <f t="shared" si="4"/>
        <v>-1.559736758182825E-2</v>
      </c>
      <c r="H128">
        <f t="shared" si="5"/>
        <v>-9.3013642000826791E-3</v>
      </c>
      <c r="K128" s="7">
        <v>44026</v>
      </c>
      <c r="L128" s="8">
        <v>1.4810000000000001</v>
      </c>
      <c r="M128" s="6"/>
      <c r="N128" s="7">
        <v>44026</v>
      </c>
      <c r="O128" s="8">
        <v>1532.0531000000001</v>
      </c>
    </row>
    <row r="129" spans="1:15" x14ac:dyDescent="0.15">
      <c r="A129" s="5">
        <v>44027</v>
      </c>
      <c r="B129">
        <v>8.0289999999999999</v>
      </c>
      <c r="C129">
        <v>6635</v>
      </c>
      <c r="D129">
        <v>4736.2</v>
      </c>
      <c r="F129">
        <f t="shared" si="3"/>
        <v>1.8004310891340226E-2</v>
      </c>
      <c r="G129">
        <f t="shared" si="4"/>
        <v>-2.2971580032395817E-2</v>
      </c>
      <c r="H129">
        <f t="shared" si="5"/>
        <v>-1.1850615480909698E-2</v>
      </c>
      <c r="K129" s="7">
        <v>44027</v>
      </c>
      <c r="L129" s="8">
        <v>1.4610000000000001</v>
      </c>
      <c r="M129" s="6"/>
      <c r="N129" s="7">
        <v>44027</v>
      </c>
      <c r="O129" s="8">
        <v>1513.6673000000001</v>
      </c>
    </row>
    <row r="130" spans="1:15" x14ac:dyDescent="0.15">
      <c r="A130" s="5">
        <v>44028</v>
      </c>
      <c r="B130">
        <v>7.4749999999999996</v>
      </c>
      <c r="C130">
        <v>6309.2</v>
      </c>
      <c r="D130">
        <v>4496</v>
      </c>
      <c r="F130">
        <f t="shared" si="3"/>
        <v>-6.8999875451488391E-2</v>
      </c>
      <c r="G130">
        <f t="shared" si="4"/>
        <v>-4.9103240391861369E-2</v>
      </c>
      <c r="H130">
        <f t="shared" si="5"/>
        <v>-5.0715763692411604E-2</v>
      </c>
      <c r="K130" s="7">
        <v>44028</v>
      </c>
      <c r="L130" s="8">
        <v>1.3720000000000001</v>
      </c>
      <c r="M130" s="6"/>
      <c r="N130" s="7">
        <v>44028</v>
      </c>
      <c r="O130" s="8">
        <v>1425.7457999999999</v>
      </c>
    </row>
    <row r="131" spans="1:15" x14ac:dyDescent="0.15">
      <c r="A131" s="5">
        <v>44029</v>
      </c>
      <c r="B131">
        <v>7.7910000000000004</v>
      </c>
      <c r="C131">
        <v>6301</v>
      </c>
      <c r="D131">
        <v>4526.3999999999996</v>
      </c>
      <c r="F131">
        <f t="shared" si="3"/>
        <v>4.2274247491638897E-2</v>
      </c>
      <c r="G131">
        <f t="shared" si="4"/>
        <v>-1.2996893425473624E-3</v>
      </c>
      <c r="H131">
        <f t="shared" si="5"/>
        <v>6.7615658362988511E-3</v>
      </c>
      <c r="K131" s="7">
        <v>44029</v>
      </c>
      <c r="L131" s="8">
        <v>1.3879999999999999</v>
      </c>
      <c r="M131" s="6"/>
      <c r="N131" s="7">
        <v>44029</v>
      </c>
      <c r="O131" s="8">
        <v>1436.2624000000001</v>
      </c>
    </row>
    <row r="132" spans="1:15" x14ac:dyDescent="0.15">
      <c r="A132" s="5">
        <v>44032</v>
      </c>
      <c r="B132">
        <v>7.7789999999999999</v>
      </c>
      <c r="C132">
        <v>6446</v>
      </c>
      <c r="D132">
        <v>4644.8</v>
      </c>
      <c r="F132">
        <f t="shared" ref="F132:F195" si="6">(B132-B131)/B131</f>
        <v>-1.5402387370042939E-3</v>
      </c>
      <c r="G132">
        <f t="shared" ref="G132:G195" si="7">(C132-C131)/C131</f>
        <v>2.3012220282494843E-2</v>
      </c>
      <c r="H132">
        <f t="shared" ref="H132:H195" si="8">(D132-D131)/D131</f>
        <v>2.6157652880876757E-2</v>
      </c>
      <c r="K132" s="7">
        <v>44032</v>
      </c>
      <c r="L132" s="8">
        <v>1.401</v>
      </c>
      <c r="M132" s="6"/>
      <c r="N132" s="7">
        <v>44032</v>
      </c>
      <c r="O132" s="8">
        <v>1453.2996000000001</v>
      </c>
    </row>
    <row r="133" spans="1:15" x14ac:dyDescent="0.15">
      <c r="A133" s="5">
        <v>44033</v>
      </c>
      <c r="B133">
        <v>7.9489999999999998</v>
      </c>
      <c r="C133">
        <v>6491.4</v>
      </c>
      <c r="D133">
        <v>4657.3999999999996</v>
      </c>
      <c r="F133">
        <f t="shared" si="6"/>
        <v>2.1853708702918105E-2</v>
      </c>
      <c r="G133">
        <f t="shared" si="7"/>
        <v>7.0431275209431642E-3</v>
      </c>
      <c r="H133">
        <f t="shared" si="8"/>
        <v>2.7127109886323315E-3</v>
      </c>
      <c r="K133" s="7">
        <v>44033</v>
      </c>
      <c r="L133" s="8">
        <v>1.429</v>
      </c>
      <c r="M133" s="6"/>
      <c r="N133" s="7">
        <v>44033</v>
      </c>
      <c r="O133" s="8">
        <v>1477.4813999999999</v>
      </c>
    </row>
    <row r="134" spans="1:15" x14ac:dyDescent="0.15">
      <c r="A134" s="5">
        <v>44034</v>
      </c>
      <c r="B134">
        <v>8.1199999999999992</v>
      </c>
      <c r="C134">
        <v>6539</v>
      </c>
      <c r="D134">
        <v>4681</v>
      </c>
      <c r="F134">
        <f t="shared" si="6"/>
        <v>2.1512139891810212E-2</v>
      </c>
      <c r="G134">
        <f t="shared" si="7"/>
        <v>7.3327787534276682E-3</v>
      </c>
      <c r="H134">
        <f t="shared" si="8"/>
        <v>5.0672048782583346E-3</v>
      </c>
      <c r="K134" s="7">
        <v>44034</v>
      </c>
      <c r="L134" s="8">
        <v>1.444</v>
      </c>
      <c r="M134" s="6"/>
      <c r="N134" s="7">
        <v>44034</v>
      </c>
      <c r="O134" s="8">
        <v>1497.5922</v>
      </c>
    </row>
    <row r="135" spans="1:15" x14ac:dyDescent="0.15">
      <c r="A135" s="5">
        <v>44035</v>
      </c>
      <c r="B135">
        <v>8.2919999999999998</v>
      </c>
      <c r="C135">
        <v>6548</v>
      </c>
      <c r="D135">
        <v>4688.6000000000004</v>
      </c>
      <c r="F135">
        <f t="shared" si="6"/>
        <v>2.1182266009852291E-2</v>
      </c>
      <c r="G135">
        <f t="shared" si="7"/>
        <v>1.3763572411683743E-3</v>
      </c>
      <c r="H135">
        <f t="shared" si="8"/>
        <v>1.6235847041231283E-3</v>
      </c>
      <c r="K135" s="7">
        <v>44035</v>
      </c>
      <c r="L135" s="8">
        <v>1.464</v>
      </c>
      <c r="M135" s="6"/>
      <c r="N135" s="7">
        <v>44035</v>
      </c>
      <c r="O135" s="8">
        <v>1518.8885</v>
      </c>
    </row>
    <row r="136" spans="1:15" x14ac:dyDescent="0.15">
      <c r="A136" s="5">
        <v>44036</v>
      </c>
      <c r="B136">
        <v>7.88</v>
      </c>
      <c r="C136">
        <v>6204</v>
      </c>
      <c r="D136">
        <v>4465</v>
      </c>
      <c r="F136">
        <f t="shared" si="6"/>
        <v>-4.9686444766039548E-2</v>
      </c>
      <c r="G136">
        <f t="shared" si="7"/>
        <v>-5.2535125229077578E-2</v>
      </c>
      <c r="H136">
        <f t="shared" si="8"/>
        <v>-4.7690142046666453E-2</v>
      </c>
      <c r="K136" s="7">
        <v>44036</v>
      </c>
      <c r="L136" s="8">
        <v>1.3740000000000001</v>
      </c>
      <c r="M136" s="6"/>
      <c r="N136" s="7">
        <v>44036</v>
      </c>
      <c r="O136" s="8">
        <v>1425.0987</v>
      </c>
    </row>
    <row r="137" spans="1:15" x14ac:dyDescent="0.15">
      <c r="A137" s="5">
        <v>44039</v>
      </c>
      <c r="B137">
        <v>7.8890000000000002</v>
      </c>
      <c r="C137">
        <v>6207.6</v>
      </c>
      <c r="D137">
        <v>4497</v>
      </c>
      <c r="F137">
        <f t="shared" si="6"/>
        <v>1.1421319796954747E-3</v>
      </c>
      <c r="G137">
        <f t="shared" si="7"/>
        <v>5.802707930368091E-4</v>
      </c>
      <c r="H137">
        <f t="shared" si="8"/>
        <v>7.166853303471445E-3</v>
      </c>
      <c r="K137" s="7">
        <v>44039</v>
      </c>
      <c r="L137" s="8">
        <v>1.3759999999999999</v>
      </c>
      <c r="M137" s="6"/>
      <c r="N137" s="7">
        <v>44039</v>
      </c>
      <c r="O137" s="8">
        <v>1428.1478999999999</v>
      </c>
    </row>
    <row r="138" spans="1:15" x14ac:dyDescent="0.15">
      <c r="A138" s="5">
        <v>44040</v>
      </c>
      <c r="B138">
        <v>7.9950000000000001</v>
      </c>
      <c r="C138">
        <v>6252</v>
      </c>
      <c r="D138">
        <v>4528.8</v>
      </c>
      <c r="F138">
        <f t="shared" si="6"/>
        <v>1.3436430472810226E-2</v>
      </c>
      <c r="G138">
        <f t="shared" si="7"/>
        <v>7.152522714092344E-3</v>
      </c>
      <c r="H138">
        <f t="shared" si="8"/>
        <v>7.0713809206137826E-3</v>
      </c>
      <c r="K138" s="7">
        <v>44040</v>
      </c>
      <c r="L138" s="8">
        <v>1.397</v>
      </c>
      <c r="M138" s="6"/>
      <c r="N138" s="7">
        <v>44040</v>
      </c>
      <c r="O138" s="8">
        <v>1446.5178000000001</v>
      </c>
    </row>
    <row r="139" spans="1:15" x14ac:dyDescent="0.15">
      <c r="A139" s="5">
        <v>44041</v>
      </c>
      <c r="B139">
        <v>8.1720000000000006</v>
      </c>
      <c r="C139">
        <v>6501.4</v>
      </c>
      <c r="D139">
        <v>4672.3999999999996</v>
      </c>
      <c r="F139">
        <f t="shared" si="6"/>
        <v>2.2138836772983176E-2</v>
      </c>
      <c r="G139">
        <f t="shared" si="7"/>
        <v>3.9891234804862383E-2</v>
      </c>
      <c r="H139">
        <f t="shared" si="8"/>
        <v>3.1708178767002174E-2</v>
      </c>
      <c r="K139" s="7">
        <v>44041</v>
      </c>
      <c r="L139" s="8">
        <v>1.4510000000000001</v>
      </c>
      <c r="M139" s="6"/>
      <c r="N139" s="7">
        <v>44041</v>
      </c>
      <c r="O139" s="8">
        <v>1502.0228</v>
      </c>
    </row>
    <row r="140" spans="1:15" x14ac:dyDescent="0.15">
      <c r="A140" s="5">
        <v>44042</v>
      </c>
      <c r="B140">
        <v>8.2560000000000002</v>
      </c>
      <c r="C140">
        <v>6453</v>
      </c>
      <c r="D140">
        <v>4635</v>
      </c>
      <c r="F140">
        <f t="shared" si="6"/>
        <v>1.0279001468428734E-2</v>
      </c>
      <c r="G140">
        <f t="shared" si="7"/>
        <v>-7.4445504045282003E-3</v>
      </c>
      <c r="H140">
        <f t="shared" si="8"/>
        <v>-8.0044516736580001E-3</v>
      </c>
      <c r="K140" s="7">
        <v>44042</v>
      </c>
      <c r="L140" s="8">
        <v>1.4379999999999999</v>
      </c>
      <c r="M140" s="6"/>
      <c r="N140" s="7">
        <v>44042</v>
      </c>
      <c r="O140" s="8">
        <v>1489.1394</v>
      </c>
    </row>
    <row r="141" spans="1:15" x14ac:dyDescent="0.15">
      <c r="A141" s="5">
        <v>44043</v>
      </c>
      <c r="B141">
        <v>8.3670000000000009</v>
      </c>
      <c r="C141">
        <v>6516</v>
      </c>
      <c r="D141">
        <v>4659.6000000000004</v>
      </c>
      <c r="F141">
        <f t="shared" si="6"/>
        <v>1.3444767441860545E-2</v>
      </c>
      <c r="G141">
        <f t="shared" si="7"/>
        <v>9.7629009762900971E-3</v>
      </c>
      <c r="H141">
        <f t="shared" si="8"/>
        <v>5.3074433656958714E-3</v>
      </c>
      <c r="K141" s="7">
        <v>44043</v>
      </c>
      <c r="L141" s="8">
        <v>1.4670000000000001</v>
      </c>
      <c r="M141" s="6"/>
      <c r="N141" s="7">
        <v>44043</v>
      </c>
      <c r="O141" s="8">
        <v>1521.1971000000001</v>
      </c>
    </row>
    <row r="142" spans="1:15" x14ac:dyDescent="0.15">
      <c r="A142" s="5">
        <v>44046</v>
      </c>
      <c r="B142">
        <v>8.5210000000000008</v>
      </c>
      <c r="C142">
        <v>6668.4</v>
      </c>
      <c r="D142">
        <v>4740.6000000000004</v>
      </c>
      <c r="F142">
        <f t="shared" si="6"/>
        <v>1.8405641209513553E-2</v>
      </c>
      <c r="G142">
        <f t="shared" si="7"/>
        <v>2.3388581952117807E-2</v>
      </c>
      <c r="H142">
        <f t="shared" si="8"/>
        <v>1.7383466391964975E-2</v>
      </c>
      <c r="K142" s="7">
        <v>44046</v>
      </c>
      <c r="L142" s="8">
        <v>1.506</v>
      </c>
      <c r="M142" s="6"/>
      <c r="N142" s="7">
        <v>44046</v>
      </c>
      <c r="O142" s="8">
        <v>1560.9706000000001</v>
      </c>
    </row>
    <row r="143" spans="1:15" x14ac:dyDescent="0.15">
      <c r="A143" s="5">
        <v>44047</v>
      </c>
      <c r="B143">
        <v>8.4350000000000005</v>
      </c>
      <c r="C143">
        <v>6634.4</v>
      </c>
      <c r="D143">
        <v>4756.6000000000004</v>
      </c>
      <c r="F143">
        <f t="shared" si="6"/>
        <v>-1.0092712122990294E-2</v>
      </c>
      <c r="G143">
        <f t="shared" si="7"/>
        <v>-5.0986743446703861E-3</v>
      </c>
      <c r="H143">
        <f t="shared" si="8"/>
        <v>3.3751001982871365E-3</v>
      </c>
      <c r="K143" s="7">
        <v>44047</v>
      </c>
      <c r="L143" s="8">
        <v>1.4870000000000001</v>
      </c>
      <c r="M143" s="6"/>
      <c r="N143" s="7">
        <v>44047</v>
      </c>
      <c r="O143" s="8">
        <v>1540.3094000000001</v>
      </c>
    </row>
    <row r="144" spans="1:15" x14ac:dyDescent="0.15">
      <c r="A144" s="5">
        <v>44048</v>
      </c>
      <c r="B144">
        <v>8.516</v>
      </c>
      <c r="C144">
        <v>6683</v>
      </c>
      <c r="D144">
        <v>4742</v>
      </c>
      <c r="F144">
        <f t="shared" si="6"/>
        <v>9.602845287492532E-3</v>
      </c>
      <c r="G144">
        <f t="shared" si="7"/>
        <v>7.3254552031834629E-3</v>
      </c>
      <c r="H144">
        <f t="shared" si="8"/>
        <v>-3.0694193331371909E-3</v>
      </c>
      <c r="K144" s="7">
        <v>44048</v>
      </c>
      <c r="L144" s="8">
        <v>1.5</v>
      </c>
      <c r="M144" s="6"/>
      <c r="N144" s="7">
        <v>44048</v>
      </c>
      <c r="O144" s="8">
        <v>1556.1886999999999</v>
      </c>
    </row>
    <row r="145" spans="1:15" x14ac:dyDescent="0.15">
      <c r="A145" s="5">
        <v>44049</v>
      </c>
      <c r="B145">
        <v>8.4540000000000006</v>
      </c>
      <c r="C145">
        <v>6693.8</v>
      </c>
      <c r="D145">
        <v>4729.3999999999996</v>
      </c>
      <c r="F145">
        <f t="shared" si="6"/>
        <v>-7.2804133395959827E-3</v>
      </c>
      <c r="G145">
        <f t="shared" si="7"/>
        <v>1.6160407002843308E-3</v>
      </c>
      <c r="H145">
        <f t="shared" si="8"/>
        <v>-2.657106706031287E-3</v>
      </c>
      <c r="K145" s="7">
        <v>44049</v>
      </c>
      <c r="L145" s="8">
        <v>1.476</v>
      </c>
      <c r="M145" s="6"/>
      <c r="N145" s="7">
        <v>44049</v>
      </c>
      <c r="O145" s="8">
        <v>1529.3620000000001</v>
      </c>
    </row>
    <row r="146" spans="1:15" x14ac:dyDescent="0.15">
      <c r="A146" s="5">
        <v>44050</v>
      </c>
      <c r="B146">
        <v>8.391</v>
      </c>
      <c r="C146">
        <v>6622.2</v>
      </c>
      <c r="D146">
        <v>4684</v>
      </c>
      <c r="F146">
        <f t="shared" si="6"/>
        <v>-7.4520936834635209E-3</v>
      </c>
      <c r="G146">
        <f t="shared" si="7"/>
        <v>-1.0696465385879525E-2</v>
      </c>
      <c r="H146">
        <f t="shared" si="8"/>
        <v>-9.5995263669809358E-3</v>
      </c>
      <c r="K146" s="7">
        <v>44050</v>
      </c>
      <c r="L146" s="8">
        <v>1.4419999999999999</v>
      </c>
      <c r="M146" s="6"/>
      <c r="N146" s="7">
        <v>44050</v>
      </c>
      <c r="O146" s="8">
        <v>1493.7174</v>
      </c>
    </row>
    <row r="147" spans="1:15" x14ac:dyDescent="0.15">
      <c r="A147" s="5">
        <v>44053</v>
      </c>
      <c r="B147">
        <v>8.3989999999999991</v>
      </c>
      <c r="C147">
        <v>6663.4</v>
      </c>
      <c r="D147">
        <v>4700</v>
      </c>
      <c r="F147">
        <f t="shared" si="6"/>
        <v>9.5340245501121664E-4</v>
      </c>
      <c r="G147">
        <f t="shared" si="7"/>
        <v>6.2214973875750991E-3</v>
      </c>
      <c r="H147">
        <f t="shared" si="8"/>
        <v>3.4158838599487617E-3</v>
      </c>
      <c r="K147" s="7">
        <v>44053</v>
      </c>
      <c r="L147" s="8">
        <v>1.429</v>
      </c>
      <c r="M147" s="6"/>
      <c r="N147" s="7">
        <v>44053</v>
      </c>
      <c r="O147" s="8">
        <v>1479.5668000000001</v>
      </c>
    </row>
    <row r="148" spans="1:15" x14ac:dyDescent="0.15">
      <c r="A148" s="5">
        <v>44054</v>
      </c>
      <c r="B148">
        <v>8.36</v>
      </c>
      <c r="C148">
        <v>6521</v>
      </c>
      <c r="D148">
        <v>4652.8</v>
      </c>
      <c r="F148">
        <f t="shared" si="6"/>
        <v>-4.6434099297535071E-3</v>
      </c>
      <c r="G148">
        <f t="shared" si="7"/>
        <v>-2.1370471531050161E-2</v>
      </c>
      <c r="H148">
        <f t="shared" si="8"/>
        <v>-1.0042553191489324E-2</v>
      </c>
      <c r="K148" s="7">
        <v>44054</v>
      </c>
      <c r="L148" s="8">
        <v>1.409</v>
      </c>
      <c r="M148" s="6"/>
      <c r="N148" s="7">
        <v>44054</v>
      </c>
      <c r="O148" s="8">
        <v>1457.1713</v>
      </c>
    </row>
    <row r="149" spans="1:15" x14ac:dyDescent="0.15">
      <c r="A149" s="5">
        <v>44055</v>
      </c>
      <c r="B149">
        <v>8.1959999999999997</v>
      </c>
      <c r="C149">
        <v>6447.6</v>
      </c>
      <c r="D149">
        <v>4626.8</v>
      </c>
      <c r="F149">
        <f t="shared" si="6"/>
        <v>-1.9617224880382741E-2</v>
      </c>
      <c r="G149">
        <f t="shared" si="7"/>
        <v>-1.1255942340131825E-2</v>
      </c>
      <c r="H149">
        <f t="shared" si="8"/>
        <v>-5.5880330123796425E-3</v>
      </c>
      <c r="K149" s="7">
        <v>44055</v>
      </c>
      <c r="L149" s="8">
        <v>1.3819999999999999</v>
      </c>
      <c r="M149" s="6"/>
      <c r="N149" s="7">
        <v>44055</v>
      </c>
      <c r="O149" s="8">
        <v>1428.0441000000001</v>
      </c>
    </row>
    <row r="150" spans="1:15" x14ac:dyDescent="0.15">
      <c r="A150" s="5">
        <v>44056</v>
      </c>
      <c r="B150">
        <v>8.18</v>
      </c>
      <c r="C150">
        <v>6475.6</v>
      </c>
      <c r="D150">
        <v>4606.3999999999996</v>
      </c>
      <c r="F150">
        <f t="shared" si="6"/>
        <v>-1.9521717911176201E-3</v>
      </c>
      <c r="G150">
        <f t="shared" si="7"/>
        <v>4.3427011601215957E-3</v>
      </c>
      <c r="H150">
        <f t="shared" si="8"/>
        <v>-4.4090948387655714E-3</v>
      </c>
      <c r="K150" s="7">
        <v>44056</v>
      </c>
      <c r="L150" s="8">
        <v>1.373</v>
      </c>
      <c r="M150" s="6"/>
      <c r="N150" s="7">
        <v>44056</v>
      </c>
      <c r="O150" s="8">
        <v>1418.7717</v>
      </c>
    </row>
    <row r="151" spans="1:15" x14ac:dyDescent="0.15">
      <c r="A151" s="5">
        <v>44057</v>
      </c>
      <c r="B151">
        <v>8.3000000000000007</v>
      </c>
      <c r="C151">
        <v>6630.4</v>
      </c>
      <c r="D151">
        <v>4717.3999999999996</v>
      </c>
      <c r="F151">
        <f t="shared" si="6"/>
        <v>1.466992665036687E-2</v>
      </c>
      <c r="G151">
        <f t="shared" si="7"/>
        <v>2.3905120761010448E-2</v>
      </c>
      <c r="H151">
        <f t="shared" si="8"/>
        <v>2.4096908648836405E-2</v>
      </c>
      <c r="K151" s="7">
        <v>44057</v>
      </c>
      <c r="L151" s="8">
        <v>1.4</v>
      </c>
      <c r="M151" s="6"/>
      <c r="N151" s="7">
        <v>44057</v>
      </c>
      <c r="O151" s="8">
        <v>1447.2242000000001</v>
      </c>
    </row>
    <row r="152" spans="1:15" x14ac:dyDescent="0.15">
      <c r="A152" s="5">
        <v>44060</v>
      </c>
      <c r="B152">
        <v>8.3819999999999997</v>
      </c>
      <c r="C152">
        <v>6713</v>
      </c>
      <c r="D152">
        <v>4812.2</v>
      </c>
      <c r="F152">
        <f t="shared" si="6"/>
        <v>9.879518072289031E-3</v>
      </c>
      <c r="G152">
        <f t="shared" si="7"/>
        <v>1.2457770270270325E-2</v>
      </c>
      <c r="H152">
        <f t="shared" si="8"/>
        <v>2.0095815491584387E-2</v>
      </c>
      <c r="K152" s="7">
        <v>44060</v>
      </c>
      <c r="L152" s="8">
        <v>1.4119999999999999</v>
      </c>
      <c r="M152" s="6"/>
      <c r="N152" s="7">
        <v>44060</v>
      </c>
      <c r="O152" s="8">
        <v>1460.1736000000001</v>
      </c>
    </row>
    <row r="153" spans="1:15" x14ac:dyDescent="0.15">
      <c r="A153" s="5">
        <v>44061</v>
      </c>
      <c r="B153">
        <v>8.5060000000000002</v>
      </c>
      <c r="C153">
        <v>6746.6</v>
      </c>
      <c r="D153">
        <v>4803.6000000000004</v>
      </c>
      <c r="F153">
        <f t="shared" si="6"/>
        <v>1.4793605344786513E-2</v>
      </c>
      <c r="G153">
        <f t="shared" si="7"/>
        <v>5.005213764337906E-3</v>
      </c>
      <c r="H153">
        <f t="shared" si="8"/>
        <v>-1.7871243921697881E-3</v>
      </c>
      <c r="K153" s="7">
        <v>44061</v>
      </c>
      <c r="L153" s="8">
        <v>1.413</v>
      </c>
      <c r="M153" s="6"/>
      <c r="N153" s="7">
        <v>44061</v>
      </c>
      <c r="O153" s="8">
        <v>1462.6937</v>
      </c>
    </row>
    <row r="154" spans="1:15" x14ac:dyDescent="0.15">
      <c r="A154" s="5">
        <v>44062</v>
      </c>
      <c r="B154">
        <v>8.3780000000000001</v>
      </c>
      <c r="C154">
        <v>6639.8</v>
      </c>
      <c r="D154">
        <v>4729.3999999999996</v>
      </c>
      <c r="F154">
        <f t="shared" si="6"/>
        <v>-1.5048201269691995E-2</v>
      </c>
      <c r="G154">
        <f t="shared" si="7"/>
        <v>-1.5830195950552899E-2</v>
      </c>
      <c r="H154">
        <f t="shared" si="8"/>
        <v>-1.5446748272129386E-2</v>
      </c>
      <c r="K154" s="7">
        <v>44062</v>
      </c>
      <c r="L154" s="8">
        <v>1.367</v>
      </c>
      <c r="M154" s="6"/>
      <c r="N154" s="7">
        <v>44062</v>
      </c>
      <c r="O154" s="8">
        <v>1412.6895999999999</v>
      </c>
    </row>
    <row r="155" spans="1:15" x14ac:dyDescent="0.15">
      <c r="A155" s="5">
        <v>44063</v>
      </c>
      <c r="B155">
        <v>8.2769999999999992</v>
      </c>
      <c r="C155">
        <v>6587.2</v>
      </c>
      <c r="D155">
        <v>4682.8</v>
      </c>
      <c r="F155">
        <f t="shared" si="6"/>
        <v>-1.2055383146335745E-2</v>
      </c>
      <c r="G155">
        <f t="shared" si="7"/>
        <v>-7.9219253591976211E-3</v>
      </c>
      <c r="H155">
        <f t="shared" si="8"/>
        <v>-9.853258341438546E-3</v>
      </c>
      <c r="K155" s="7">
        <v>44063</v>
      </c>
      <c r="L155" s="8">
        <v>1.353</v>
      </c>
      <c r="M155" s="6"/>
      <c r="N155" s="7">
        <v>44063</v>
      </c>
      <c r="O155" s="8">
        <v>1398.3553999999999</v>
      </c>
    </row>
    <row r="156" spans="1:15" x14ac:dyDescent="0.15">
      <c r="A156" s="5">
        <v>44064</v>
      </c>
      <c r="B156">
        <v>8.3629999999999995</v>
      </c>
      <c r="C156">
        <v>6522.2</v>
      </c>
      <c r="D156">
        <v>4693</v>
      </c>
      <c r="F156">
        <f t="shared" si="6"/>
        <v>1.0390238008940475E-2</v>
      </c>
      <c r="G156">
        <f t="shared" si="7"/>
        <v>-9.8676220548943403E-3</v>
      </c>
      <c r="H156">
        <f t="shared" si="8"/>
        <v>2.1781839924830907E-3</v>
      </c>
      <c r="K156" s="7">
        <v>44064</v>
      </c>
      <c r="L156" s="8">
        <v>1.3759999999999999</v>
      </c>
      <c r="M156" s="6"/>
      <c r="N156" s="7">
        <v>44064</v>
      </c>
      <c r="O156" s="8">
        <v>1423.8415</v>
      </c>
    </row>
    <row r="157" spans="1:15" x14ac:dyDescent="0.15">
      <c r="A157" s="5">
        <v>44067</v>
      </c>
      <c r="B157">
        <v>8.4160000000000004</v>
      </c>
      <c r="C157">
        <v>6543.4</v>
      </c>
      <c r="D157">
        <v>4711</v>
      </c>
      <c r="F157">
        <f t="shared" si="6"/>
        <v>6.3374387181634375E-3</v>
      </c>
      <c r="G157">
        <f t="shared" si="7"/>
        <v>3.2504369691208211E-3</v>
      </c>
      <c r="H157">
        <f t="shared" si="8"/>
        <v>3.8354996803750267E-3</v>
      </c>
      <c r="K157" s="7">
        <v>44067</v>
      </c>
      <c r="L157" s="8">
        <v>1.41</v>
      </c>
      <c r="M157" s="6"/>
      <c r="N157" s="7">
        <v>44067</v>
      </c>
      <c r="O157" s="8">
        <v>1452.6550999999999</v>
      </c>
    </row>
    <row r="158" spans="1:15" x14ac:dyDescent="0.15">
      <c r="A158" s="5">
        <v>44068</v>
      </c>
      <c r="B158">
        <v>8.4649999999999999</v>
      </c>
      <c r="C158">
        <v>6523.6</v>
      </c>
      <c r="D158">
        <v>4733.3999999999996</v>
      </c>
      <c r="F158">
        <f t="shared" si="6"/>
        <v>5.8222433460075433E-3</v>
      </c>
      <c r="G158">
        <f t="shared" si="7"/>
        <v>-3.0259498120242187E-3</v>
      </c>
      <c r="H158">
        <f t="shared" si="8"/>
        <v>4.7548291233283028E-3</v>
      </c>
      <c r="K158" s="7">
        <v>44068</v>
      </c>
      <c r="L158" s="8">
        <v>1.419</v>
      </c>
      <c r="M158" s="6"/>
      <c r="N158" s="7">
        <v>44068</v>
      </c>
      <c r="O158" s="8">
        <v>1461.4567</v>
      </c>
    </row>
    <row r="159" spans="1:15" x14ac:dyDescent="0.15">
      <c r="A159" s="5">
        <v>44069</v>
      </c>
      <c r="B159">
        <v>8.4309999999999992</v>
      </c>
      <c r="C159">
        <v>6436</v>
      </c>
      <c r="D159">
        <v>4674</v>
      </c>
      <c r="F159">
        <f t="shared" si="6"/>
        <v>-4.0165386887183342E-3</v>
      </c>
      <c r="G159">
        <f t="shared" si="7"/>
        <v>-1.3428168495922552E-2</v>
      </c>
      <c r="H159">
        <f t="shared" si="8"/>
        <v>-1.2549119026492509E-2</v>
      </c>
      <c r="K159" s="7">
        <v>44069</v>
      </c>
      <c r="L159" s="8">
        <v>1.3919999999999999</v>
      </c>
      <c r="M159" s="6"/>
      <c r="N159" s="7">
        <v>44069</v>
      </c>
      <c r="O159" s="8">
        <v>1433.74</v>
      </c>
    </row>
    <row r="160" spans="1:15" x14ac:dyDescent="0.15">
      <c r="A160" s="5">
        <v>44070</v>
      </c>
      <c r="B160">
        <v>8.56</v>
      </c>
      <c r="C160">
        <v>6509.4</v>
      </c>
      <c r="D160">
        <v>4710.3999999999996</v>
      </c>
      <c r="F160">
        <f t="shared" si="6"/>
        <v>1.5300676076384931E-2</v>
      </c>
      <c r="G160">
        <f t="shared" si="7"/>
        <v>1.1404599129894288E-2</v>
      </c>
      <c r="H160">
        <f t="shared" si="8"/>
        <v>7.7877620881471191E-3</v>
      </c>
      <c r="K160" s="7">
        <v>44070</v>
      </c>
      <c r="L160" s="8">
        <v>1.42</v>
      </c>
      <c r="M160" s="6"/>
      <c r="N160" s="7">
        <v>44070</v>
      </c>
      <c r="O160" s="8">
        <v>1458.4174</v>
      </c>
    </row>
    <row r="161" spans="1:15" x14ac:dyDescent="0.15">
      <c r="A161" s="5">
        <v>44071</v>
      </c>
      <c r="B161">
        <v>8.81</v>
      </c>
      <c r="C161">
        <v>6660</v>
      </c>
      <c r="D161">
        <v>4843.6000000000004</v>
      </c>
      <c r="F161">
        <f t="shared" si="6"/>
        <v>2.9205607476635514E-2</v>
      </c>
      <c r="G161">
        <f t="shared" si="7"/>
        <v>2.3135772882293355E-2</v>
      </c>
      <c r="H161">
        <f t="shared" si="8"/>
        <v>2.827785326086972E-2</v>
      </c>
      <c r="K161" s="7">
        <v>44071</v>
      </c>
      <c r="L161" s="8">
        <v>1.4550000000000001</v>
      </c>
      <c r="M161" s="6"/>
      <c r="N161" s="7">
        <v>44071</v>
      </c>
      <c r="O161" s="8">
        <v>1498.7475999999999</v>
      </c>
    </row>
    <row r="162" spans="1:15" x14ac:dyDescent="0.15">
      <c r="A162" s="5">
        <v>44074</v>
      </c>
      <c r="B162">
        <v>8.8550000000000004</v>
      </c>
      <c r="C162">
        <v>6590</v>
      </c>
      <c r="D162">
        <v>4786</v>
      </c>
      <c r="F162">
        <f t="shared" si="6"/>
        <v>5.1078320090805823E-3</v>
      </c>
      <c r="G162">
        <f t="shared" si="7"/>
        <v>-1.0510510510510511E-2</v>
      </c>
      <c r="H162">
        <f t="shared" si="8"/>
        <v>-1.1891981171029888E-2</v>
      </c>
      <c r="K162" s="7">
        <v>44074</v>
      </c>
      <c r="L162" s="8">
        <v>1.4379999999999999</v>
      </c>
      <c r="M162" s="6"/>
      <c r="N162" s="7">
        <v>44074</v>
      </c>
      <c r="O162" s="8">
        <v>1482.203</v>
      </c>
    </row>
    <row r="163" spans="1:15" x14ac:dyDescent="0.15">
      <c r="A163" s="5">
        <v>44075</v>
      </c>
      <c r="B163">
        <v>8.9149999999999991</v>
      </c>
      <c r="C163">
        <v>6655.2</v>
      </c>
      <c r="D163">
        <v>4826</v>
      </c>
      <c r="F163">
        <f t="shared" si="6"/>
        <v>6.7758328627892401E-3</v>
      </c>
      <c r="G163">
        <f t="shared" si="7"/>
        <v>9.8937784522002761E-3</v>
      </c>
      <c r="H163">
        <f t="shared" si="8"/>
        <v>8.3577099874634353E-3</v>
      </c>
      <c r="K163" s="7">
        <v>44075</v>
      </c>
      <c r="L163" s="8">
        <v>1.4550000000000001</v>
      </c>
      <c r="M163" s="6"/>
      <c r="N163" s="7">
        <v>44075</v>
      </c>
      <c r="O163" s="8">
        <v>1495.5174999999999</v>
      </c>
    </row>
    <row r="164" spans="1:15" x14ac:dyDescent="0.15">
      <c r="A164" s="5">
        <v>44076</v>
      </c>
      <c r="B164">
        <v>9.0120000000000005</v>
      </c>
      <c r="C164">
        <v>6619</v>
      </c>
      <c r="D164">
        <v>4808.2</v>
      </c>
      <c r="F164">
        <f t="shared" si="6"/>
        <v>1.088053841839611E-2</v>
      </c>
      <c r="G164">
        <f t="shared" si="7"/>
        <v>-5.439355691789851E-3</v>
      </c>
      <c r="H164">
        <f t="shared" si="8"/>
        <v>-3.6883547451305805E-3</v>
      </c>
      <c r="K164" s="7">
        <v>44076</v>
      </c>
      <c r="L164" s="8">
        <v>1.4630000000000001</v>
      </c>
      <c r="M164" s="6"/>
      <c r="N164" s="7">
        <v>44076</v>
      </c>
      <c r="O164" s="8">
        <v>1501.9567</v>
      </c>
    </row>
    <row r="165" spans="1:15" x14ac:dyDescent="0.15">
      <c r="A165" s="5">
        <v>44077</v>
      </c>
      <c r="B165">
        <v>8.92</v>
      </c>
      <c r="C165">
        <v>6596</v>
      </c>
      <c r="D165">
        <v>4798.6000000000004</v>
      </c>
      <c r="F165">
        <f t="shared" si="6"/>
        <v>-1.0208610741233968E-2</v>
      </c>
      <c r="G165">
        <f t="shared" si="7"/>
        <v>-3.4748451427708115E-3</v>
      </c>
      <c r="H165">
        <f t="shared" si="8"/>
        <v>-1.9965891601845709E-3</v>
      </c>
      <c r="K165" s="7">
        <v>44077</v>
      </c>
      <c r="L165" s="8">
        <v>1.452</v>
      </c>
      <c r="M165" s="6"/>
      <c r="N165" s="7">
        <v>44077</v>
      </c>
      <c r="O165" s="8">
        <v>1488.8797</v>
      </c>
    </row>
    <row r="166" spans="1:15" x14ac:dyDescent="0.15">
      <c r="A166" s="5">
        <v>44078</v>
      </c>
      <c r="B166">
        <v>8.7119999999999997</v>
      </c>
      <c r="C166">
        <v>6578.8</v>
      </c>
      <c r="D166">
        <v>4752.8</v>
      </c>
      <c r="F166">
        <f t="shared" si="6"/>
        <v>-2.3318385650224236E-2</v>
      </c>
      <c r="G166">
        <f t="shared" si="7"/>
        <v>-2.6076409945421193E-3</v>
      </c>
      <c r="H166">
        <f t="shared" si="8"/>
        <v>-9.5444504647189139E-3</v>
      </c>
      <c r="K166" s="7">
        <v>44078</v>
      </c>
      <c r="L166" s="8">
        <v>1.4419999999999999</v>
      </c>
      <c r="M166" s="6"/>
      <c r="N166" s="7">
        <v>44078</v>
      </c>
      <c r="O166" s="8">
        <v>1477.2574</v>
      </c>
    </row>
    <row r="167" spans="1:15" x14ac:dyDescent="0.15">
      <c r="A167" s="5">
        <v>44081</v>
      </c>
      <c r="B167">
        <v>8.4580000000000002</v>
      </c>
      <c r="C167">
        <v>6421</v>
      </c>
      <c r="D167">
        <v>4645.6000000000004</v>
      </c>
      <c r="F167">
        <f t="shared" si="6"/>
        <v>-2.9155188246097287E-2</v>
      </c>
      <c r="G167">
        <f t="shared" si="7"/>
        <v>-2.3986137289475313E-2</v>
      </c>
      <c r="H167">
        <f t="shared" si="8"/>
        <v>-2.2555125399764311E-2</v>
      </c>
      <c r="K167" s="7">
        <v>44081</v>
      </c>
      <c r="L167" s="8">
        <v>1.383</v>
      </c>
      <c r="M167" s="6"/>
      <c r="N167" s="7">
        <v>44081</v>
      </c>
      <c r="O167" s="8">
        <v>1418.896</v>
      </c>
    </row>
    <row r="168" spans="1:15" x14ac:dyDescent="0.15">
      <c r="A168" s="5">
        <v>44082</v>
      </c>
      <c r="B168">
        <v>8.4600000000000009</v>
      </c>
      <c r="C168">
        <v>6491</v>
      </c>
      <c r="D168">
        <v>4680.8</v>
      </c>
      <c r="F168">
        <f t="shared" si="6"/>
        <v>2.3646252069054952E-4</v>
      </c>
      <c r="G168">
        <f t="shared" si="7"/>
        <v>1.0901728702694284E-2</v>
      </c>
      <c r="H168">
        <f t="shared" si="8"/>
        <v>7.5770621663509164E-3</v>
      </c>
      <c r="K168" s="7">
        <v>44082</v>
      </c>
      <c r="L168" s="8">
        <v>1.385</v>
      </c>
      <c r="M168" s="6"/>
      <c r="N168" s="7">
        <v>44082</v>
      </c>
      <c r="O168" s="8">
        <v>1418.9922999999999</v>
      </c>
    </row>
    <row r="169" spans="1:15" x14ac:dyDescent="0.15">
      <c r="A169" s="5">
        <v>44083</v>
      </c>
      <c r="B169">
        <v>8.1969999999999992</v>
      </c>
      <c r="C169">
        <v>6326</v>
      </c>
      <c r="D169">
        <v>4577.2</v>
      </c>
      <c r="F169">
        <f t="shared" si="6"/>
        <v>-3.1087470449172771E-2</v>
      </c>
      <c r="G169">
        <f t="shared" si="7"/>
        <v>-2.5419812047450314E-2</v>
      </c>
      <c r="H169">
        <f t="shared" si="8"/>
        <v>-2.2132968723295239E-2</v>
      </c>
      <c r="K169" s="7">
        <v>44083</v>
      </c>
      <c r="L169" s="8">
        <v>1.3180000000000001</v>
      </c>
      <c r="M169" s="6"/>
      <c r="N169" s="7">
        <v>44083</v>
      </c>
      <c r="O169" s="8">
        <v>1351.0550000000001</v>
      </c>
    </row>
    <row r="170" spans="1:15" x14ac:dyDescent="0.15">
      <c r="A170" s="5">
        <v>44084</v>
      </c>
      <c r="B170">
        <v>8.2479999999999993</v>
      </c>
      <c r="C170">
        <v>6222</v>
      </c>
      <c r="D170">
        <v>4575.2</v>
      </c>
      <c r="F170">
        <f t="shared" si="6"/>
        <v>6.221788459192407E-3</v>
      </c>
      <c r="G170">
        <f t="shared" si="7"/>
        <v>-1.6440088523553588E-2</v>
      </c>
      <c r="H170">
        <f t="shared" si="8"/>
        <v>-4.3694835270471032E-4</v>
      </c>
      <c r="K170" s="7">
        <v>44084</v>
      </c>
      <c r="L170" s="8">
        <v>1.3129999999999999</v>
      </c>
      <c r="M170" s="6"/>
      <c r="N170" s="7">
        <v>44084</v>
      </c>
      <c r="O170" s="8">
        <v>1342.0682999999999</v>
      </c>
    </row>
    <row r="171" spans="1:15" x14ac:dyDescent="0.15">
      <c r="A171" s="5">
        <v>44085</v>
      </c>
      <c r="B171">
        <v>8.4</v>
      </c>
      <c r="C171">
        <v>6280</v>
      </c>
      <c r="D171">
        <v>4612.6000000000004</v>
      </c>
      <c r="F171">
        <f t="shared" si="6"/>
        <v>1.8428709990300805E-2</v>
      </c>
      <c r="G171">
        <f t="shared" si="7"/>
        <v>9.3217614914818392E-3</v>
      </c>
      <c r="H171">
        <f t="shared" si="8"/>
        <v>8.1745060325232877E-3</v>
      </c>
      <c r="K171" s="7">
        <v>44085</v>
      </c>
      <c r="L171" s="8">
        <v>1.34</v>
      </c>
      <c r="M171" s="6"/>
      <c r="N171" s="7">
        <v>44085</v>
      </c>
      <c r="O171" s="8">
        <v>1368.6877999999999</v>
      </c>
    </row>
    <row r="172" spans="1:15" x14ac:dyDescent="0.15">
      <c r="A172" s="5">
        <v>44088</v>
      </c>
      <c r="B172">
        <v>8.43</v>
      </c>
      <c r="C172">
        <v>6332.6</v>
      </c>
      <c r="D172">
        <v>4644.8</v>
      </c>
      <c r="F172">
        <f t="shared" si="6"/>
        <v>3.571428571428495E-3</v>
      </c>
      <c r="G172">
        <f t="shared" si="7"/>
        <v>8.3757961783440076E-3</v>
      </c>
      <c r="H172">
        <f t="shared" si="8"/>
        <v>6.9808784633395085E-3</v>
      </c>
      <c r="K172" s="7">
        <v>44088</v>
      </c>
      <c r="L172" s="8">
        <v>1.35</v>
      </c>
      <c r="M172" s="6"/>
      <c r="N172" s="7">
        <v>44088</v>
      </c>
      <c r="O172" s="8">
        <v>1382.1275000000001</v>
      </c>
    </row>
    <row r="173" spans="1:15" x14ac:dyDescent="0.15">
      <c r="A173" s="5">
        <v>44089</v>
      </c>
      <c r="B173">
        <v>8.5280000000000005</v>
      </c>
      <c r="C173">
        <v>6366.2</v>
      </c>
      <c r="D173">
        <v>4677.6000000000004</v>
      </c>
      <c r="F173">
        <f t="shared" si="6"/>
        <v>1.1625148279952641E-2</v>
      </c>
      <c r="G173">
        <f t="shared" si="7"/>
        <v>5.3058775226604319E-3</v>
      </c>
      <c r="H173">
        <f t="shared" si="8"/>
        <v>7.0616603513607001E-3</v>
      </c>
      <c r="K173" s="7">
        <v>44089</v>
      </c>
      <c r="L173" s="8">
        <v>1.3640000000000001</v>
      </c>
      <c r="M173" s="6"/>
      <c r="N173" s="7">
        <v>44089</v>
      </c>
      <c r="O173" s="8">
        <v>1395.6315999999999</v>
      </c>
    </row>
    <row r="174" spans="1:15" x14ac:dyDescent="0.15">
      <c r="A174" s="5">
        <v>44090</v>
      </c>
      <c r="B174">
        <v>8.4350000000000005</v>
      </c>
      <c r="C174">
        <v>6353.6</v>
      </c>
      <c r="D174">
        <v>4648.2</v>
      </c>
      <c r="F174">
        <f t="shared" si="6"/>
        <v>-1.0905253283302059E-2</v>
      </c>
      <c r="G174">
        <f t="shared" si="7"/>
        <v>-1.9792026640695322E-3</v>
      </c>
      <c r="H174">
        <f t="shared" si="8"/>
        <v>-6.2852744997435742E-3</v>
      </c>
      <c r="K174" s="7">
        <v>44090</v>
      </c>
      <c r="L174" s="8">
        <v>1.341</v>
      </c>
      <c r="M174" s="6"/>
      <c r="N174" s="7">
        <v>44090</v>
      </c>
      <c r="O174" s="8">
        <v>1371.4416000000001</v>
      </c>
    </row>
    <row r="175" spans="1:15" x14ac:dyDescent="0.15">
      <c r="A175" s="5">
        <v>44091</v>
      </c>
      <c r="B175">
        <v>8.3000000000000007</v>
      </c>
      <c r="C175">
        <v>6374</v>
      </c>
      <c r="D175">
        <v>4625.6000000000004</v>
      </c>
      <c r="F175">
        <f t="shared" si="6"/>
        <v>-1.6004742145820958E-2</v>
      </c>
      <c r="G175">
        <f t="shared" si="7"/>
        <v>3.2107781415260067E-3</v>
      </c>
      <c r="H175">
        <f t="shared" si="8"/>
        <v>-4.8620971558881836E-3</v>
      </c>
      <c r="K175" s="7">
        <v>44091</v>
      </c>
      <c r="L175" s="8">
        <v>1.345</v>
      </c>
      <c r="M175" s="6"/>
      <c r="N175" s="7">
        <v>44091</v>
      </c>
      <c r="O175" s="8">
        <v>1370.5734</v>
      </c>
    </row>
    <row r="176" spans="1:15" x14ac:dyDescent="0.15">
      <c r="A176" s="5">
        <v>44092</v>
      </c>
      <c r="B176">
        <v>8.4390000000000001</v>
      </c>
      <c r="C176">
        <v>6437.6</v>
      </c>
      <c r="D176">
        <v>4734.8</v>
      </c>
      <c r="F176">
        <f t="shared" si="6"/>
        <v>1.6746987951807148E-2</v>
      </c>
      <c r="G176">
        <f t="shared" si="7"/>
        <v>9.9780357703169696E-3</v>
      </c>
      <c r="H176">
        <f t="shared" si="8"/>
        <v>2.3607748184019329E-2</v>
      </c>
      <c r="K176" s="7">
        <v>44092</v>
      </c>
      <c r="L176" s="8">
        <v>1.369</v>
      </c>
      <c r="M176" s="6"/>
      <c r="N176" s="7">
        <v>44092</v>
      </c>
      <c r="O176" s="8">
        <v>1393.9653000000001</v>
      </c>
    </row>
    <row r="177" spans="1:15" x14ac:dyDescent="0.15">
      <c r="A177" s="5">
        <v>44095</v>
      </c>
      <c r="B177">
        <v>8.3559999999999999</v>
      </c>
      <c r="C177">
        <v>6373.8</v>
      </c>
      <c r="D177">
        <v>4673.6000000000004</v>
      </c>
      <c r="F177">
        <f t="shared" si="6"/>
        <v>-9.8352885412963838E-3</v>
      </c>
      <c r="G177">
        <f t="shared" si="7"/>
        <v>-9.9105256617373211E-3</v>
      </c>
      <c r="H177">
        <f t="shared" si="8"/>
        <v>-1.2925572357860906E-2</v>
      </c>
      <c r="K177" s="7">
        <v>44095</v>
      </c>
      <c r="L177" s="8">
        <v>1.353</v>
      </c>
      <c r="M177" s="6"/>
      <c r="N177" s="7">
        <v>44095</v>
      </c>
      <c r="O177" s="8">
        <v>1378.5762999999999</v>
      </c>
    </row>
    <row r="178" spans="1:15" x14ac:dyDescent="0.15">
      <c r="A178" s="5">
        <v>44096</v>
      </c>
      <c r="B178">
        <v>8.3190000000000008</v>
      </c>
      <c r="C178">
        <v>6292.2</v>
      </c>
      <c r="D178">
        <v>4617.8</v>
      </c>
      <c r="F178">
        <f t="shared" si="6"/>
        <v>-4.4279559597892575E-3</v>
      </c>
      <c r="G178">
        <f t="shared" si="7"/>
        <v>-1.2802409865386482E-2</v>
      </c>
      <c r="H178">
        <f t="shared" si="8"/>
        <v>-1.1939404313591273E-2</v>
      </c>
      <c r="K178" s="7">
        <v>44096</v>
      </c>
      <c r="L178" s="8">
        <v>1.35</v>
      </c>
      <c r="M178" s="6"/>
      <c r="N178" s="7">
        <v>44096</v>
      </c>
      <c r="O178" s="8">
        <v>1375.8164999999999</v>
      </c>
    </row>
    <row r="179" spans="1:15" x14ac:dyDescent="0.15">
      <c r="A179" s="5">
        <v>44097</v>
      </c>
      <c r="B179">
        <v>8.3989999999999991</v>
      </c>
      <c r="C179">
        <v>6323</v>
      </c>
      <c r="D179">
        <v>4621.2</v>
      </c>
      <c r="F179">
        <f t="shared" si="6"/>
        <v>9.6165404495730609E-3</v>
      </c>
      <c r="G179">
        <f t="shared" si="7"/>
        <v>4.8949493023108265E-3</v>
      </c>
      <c r="H179">
        <f t="shared" si="8"/>
        <v>7.3628134609546455E-4</v>
      </c>
      <c r="K179" s="7">
        <v>44097</v>
      </c>
      <c r="L179" s="8">
        <v>1.3759999999999999</v>
      </c>
      <c r="M179" s="6"/>
      <c r="N179" s="7">
        <v>44097</v>
      </c>
      <c r="O179" s="8">
        <v>1399.8003000000001</v>
      </c>
    </row>
    <row r="180" spans="1:15" x14ac:dyDescent="0.15">
      <c r="A180" s="5">
        <v>44098</v>
      </c>
      <c r="B180">
        <v>8.2620000000000005</v>
      </c>
      <c r="C180">
        <v>6190.2</v>
      </c>
      <c r="D180">
        <v>4548.3999999999996</v>
      </c>
      <c r="F180">
        <f t="shared" si="6"/>
        <v>-1.6311465650672544E-2</v>
      </c>
      <c r="G180">
        <f t="shared" si="7"/>
        <v>-2.1002688597184908E-2</v>
      </c>
      <c r="H180">
        <f t="shared" si="8"/>
        <v>-1.5753483943564482E-2</v>
      </c>
      <c r="K180" s="7">
        <v>44098</v>
      </c>
      <c r="L180" s="8">
        <v>1.347</v>
      </c>
      <c r="M180" s="6"/>
      <c r="N180" s="7">
        <v>44098</v>
      </c>
      <c r="O180" s="8">
        <v>1369.1124</v>
      </c>
    </row>
    <row r="181" spans="1:15" x14ac:dyDescent="0.15">
      <c r="A181" s="5">
        <v>44099</v>
      </c>
      <c r="B181">
        <v>8.2769999999999992</v>
      </c>
      <c r="C181">
        <v>6209.6</v>
      </c>
      <c r="D181">
        <v>4563.3999999999996</v>
      </c>
      <c r="F181">
        <f t="shared" si="6"/>
        <v>1.8155410312271595E-3</v>
      </c>
      <c r="G181">
        <f t="shared" si="7"/>
        <v>3.1339859778360224E-3</v>
      </c>
      <c r="H181">
        <f t="shared" si="8"/>
        <v>3.2978629847858591E-3</v>
      </c>
      <c r="K181" s="7">
        <v>44099</v>
      </c>
      <c r="L181" s="8">
        <v>1.3540000000000001</v>
      </c>
      <c r="M181" s="6"/>
      <c r="N181" s="7">
        <v>44099</v>
      </c>
      <c r="O181" s="8">
        <v>1374.7383</v>
      </c>
    </row>
    <row r="182" spans="1:15" x14ac:dyDescent="0.15">
      <c r="A182" s="5">
        <v>44102</v>
      </c>
      <c r="B182">
        <v>8.2789999999999999</v>
      </c>
      <c r="C182">
        <v>6157.2</v>
      </c>
      <c r="D182">
        <v>4577</v>
      </c>
      <c r="F182">
        <f t="shared" si="6"/>
        <v>2.4163344206846299E-4</v>
      </c>
      <c r="G182">
        <f t="shared" si="7"/>
        <v>-8.4385467662974334E-3</v>
      </c>
      <c r="H182">
        <f t="shared" si="8"/>
        <v>2.9802340360258503E-3</v>
      </c>
      <c r="K182" s="7">
        <v>44102</v>
      </c>
      <c r="L182" s="8">
        <v>1.345</v>
      </c>
      <c r="M182" s="6"/>
      <c r="N182" s="7">
        <v>44102</v>
      </c>
      <c r="O182" s="8">
        <v>1365.2911999999999</v>
      </c>
    </row>
    <row r="183" spans="1:15" x14ac:dyDescent="0.15">
      <c r="A183" s="5">
        <v>44103</v>
      </c>
      <c r="B183">
        <v>8.3469999999999995</v>
      </c>
      <c r="C183">
        <v>6213.4</v>
      </c>
      <c r="D183">
        <v>4586.2</v>
      </c>
      <c r="F183">
        <f t="shared" si="6"/>
        <v>8.2135523613962574E-3</v>
      </c>
      <c r="G183">
        <f t="shared" si="7"/>
        <v>9.1275254986032325E-3</v>
      </c>
      <c r="H183">
        <f t="shared" si="8"/>
        <v>2.0100502512562417E-3</v>
      </c>
      <c r="K183" s="7">
        <v>44103</v>
      </c>
      <c r="L183" s="8">
        <v>1.3660000000000001</v>
      </c>
      <c r="M183" s="6"/>
      <c r="N183" s="7">
        <v>44103</v>
      </c>
      <c r="O183" s="8">
        <v>1388.7085</v>
      </c>
    </row>
    <row r="184" spans="1:15" x14ac:dyDescent="0.15">
      <c r="A184" s="5">
        <v>44104</v>
      </c>
      <c r="B184">
        <v>8.3819999999999997</v>
      </c>
      <c r="C184">
        <v>6163</v>
      </c>
      <c r="D184">
        <v>4555.3999999999996</v>
      </c>
      <c r="F184">
        <f t="shared" si="6"/>
        <v>4.193123277824385E-3</v>
      </c>
      <c r="G184">
        <f t="shared" si="7"/>
        <v>-8.1115009495605697E-3</v>
      </c>
      <c r="H184">
        <f t="shared" si="8"/>
        <v>-6.7157995726309762E-3</v>
      </c>
      <c r="K184" s="7">
        <v>44104</v>
      </c>
      <c r="L184" s="8">
        <v>1.3740000000000001</v>
      </c>
      <c r="M184" s="6"/>
      <c r="N184" s="7">
        <v>44104</v>
      </c>
      <c r="O184" s="8">
        <v>1397.6473000000001</v>
      </c>
    </row>
    <row r="185" spans="1:15" x14ac:dyDescent="0.15">
      <c r="A185" s="5">
        <v>44113</v>
      </c>
      <c r="B185">
        <v>8.5370000000000008</v>
      </c>
      <c r="C185">
        <v>6332.6</v>
      </c>
      <c r="D185">
        <v>4660.3999999999996</v>
      </c>
      <c r="F185">
        <f t="shared" si="6"/>
        <v>1.8492006680983195E-2</v>
      </c>
      <c r="G185">
        <f t="shared" si="7"/>
        <v>2.7519065390232089E-2</v>
      </c>
      <c r="H185">
        <f t="shared" si="8"/>
        <v>2.3049567546208898E-2</v>
      </c>
      <c r="K185" s="7">
        <v>44113</v>
      </c>
      <c r="L185" s="8">
        <v>1.4239999999999999</v>
      </c>
      <c r="M185" s="6"/>
      <c r="N185" s="7">
        <v>44113</v>
      </c>
      <c r="O185" s="8">
        <v>1450.16</v>
      </c>
    </row>
    <row r="186" spans="1:15" x14ac:dyDescent="0.15">
      <c r="A186" s="5">
        <v>44116</v>
      </c>
      <c r="B186">
        <v>8.7859999999999996</v>
      </c>
      <c r="C186">
        <v>6539.8</v>
      </c>
      <c r="D186">
        <v>4819.6000000000004</v>
      </c>
      <c r="F186">
        <f t="shared" si="6"/>
        <v>2.9167154738198284E-2</v>
      </c>
      <c r="G186">
        <f t="shared" si="7"/>
        <v>3.2719578056406504E-2</v>
      </c>
      <c r="H186">
        <f t="shared" si="8"/>
        <v>3.416015792635841E-2</v>
      </c>
      <c r="K186" s="7">
        <v>44116</v>
      </c>
      <c r="L186" s="8">
        <v>1.478</v>
      </c>
      <c r="M186" s="6"/>
      <c r="N186" s="7">
        <v>44116</v>
      </c>
      <c r="O186" s="8">
        <v>1507.9702</v>
      </c>
    </row>
    <row r="187" spans="1:15" x14ac:dyDescent="0.15">
      <c r="A187" s="5">
        <v>44117</v>
      </c>
      <c r="B187">
        <v>8.8460000000000001</v>
      </c>
      <c r="C187">
        <v>6538.4</v>
      </c>
      <c r="D187">
        <v>4832.2</v>
      </c>
      <c r="F187">
        <f t="shared" si="6"/>
        <v>6.8290462098794108E-3</v>
      </c>
      <c r="G187">
        <f t="shared" si="7"/>
        <v>-2.1407382488769467E-4</v>
      </c>
      <c r="H187">
        <f t="shared" si="8"/>
        <v>2.6143248402355906E-3</v>
      </c>
      <c r="K187" s="7">
        <v>44117</v>
      </c>
      <c r="L187" s="8">
        <v>1.4810000000000001</v>
      </c>
      <c r="M187" s="6"/>
      <c r="N187" s="7">
        <v>44117</v>
      </c>
      <c r="O187" s="8">
        <v>1512.0709999999999</v>
      </c>
    </row>
    <row r="188" spans="1:15" x14ac:dyDescent="0.15">
      <c r="A188" s="5">
        <v>44118</v>
      </c>
      <c r="B188">
        <v>8.8170000000000002</v>
      </c>
      <c r="C188">
        <v>6511</v>
      </c>
      <c r="D188">
        <v>4813.6000000000004</v>
      </c>
      <c r="F188">
        <f t="shared" si="6"/>
        <v>-3.2783178837892737E-3</v>
      </c>
      <c r="G188">
        <f t="shared" si="7"/>
        <v>-4.1906276764957237E-3</v>
      </c>
      <c r="H188">
        <f t="shared" si="8"/>
        <v>-3.8491784280450842E-3</v>
      </c>
      <c r="K188" s="7">
        <v>44118</v>
      </c>
      <c r="L188" s="8">
        <v>1.474</v>
      </c>
      <c r="M188" s="6"/>
      <c r="N188" s="7">
        <v>44118</v>
      </c>
      <c r="O188" s="8">
        <v>1502.9188999999999</v>
      </c>
    </row>
    <row r="189" spans="1:15" x14ac:dyDescent="0.15">
      <c r="A189" s="5">
        <v>44119</v>
      </c>
      <c r="B189">
        <v>8.7390000000000008</v>
      </c>
      <c r="C189">
        <v>6466</v>
      </c>
      <c r="D189">
        <v>4802.6000000000004</v>
      </c>
      <c r="F189">
        <f t="shared" si="6"/>
        <v>-8.8465464443687643E-3</v>
      </c>
      <c r="G189">
        <f t="shared" si="7"/>
        <v>-6.9113807402856704E-3</v>
      </c>
      <c r="H189">
        <f t="shared" si="8"/>
        <v>-2.2851919561243141E-3</v>
      </c>
      <c r="K189" s="7">
        <v>44119</v>
      </c>
      <c r="L189" s="8">
        <v>1.464</v>
      </c>
      <c r="M189" s="6"/>
      <c r="N189" s="7">
        <v>44119</v>
      </c>
      <c r="O189" s="8">
        <v>1491.8226</v>
      </c>
    </row>
    <row r="190" spans="1:15" x14ac:dyDescent="0.15">
      <c r="A190" s="5">
        <v>44120</v>
      </c>
      <c r="B190">
        <v>8.7040000000000006</v>
      </c>
      <c r="C190">
        <v>6356</v>
      </c>
      <c r="D190">
        <v>4767.3999999999996</v>
      </c>
      <c r="F190">
        <f t="shared" si="6"/>
        <v>-4.0050349010184389E-3</v>
      </c>
      <c r="G190">
        <f t="shared" si="7"/>
        <v>-1.7012063099288585E-2</v>
      </c>
      <c r="H190">
        <f t="shared" si="8"/>
        <v>-7.3293632615668023E-3</v>
      </c>
      <c r="K190" s="7">
        <v>44120</v>
      </c>
      <c r="L190" s="8">
        <v>1.458</v>
      </c>
      <c r="M190" s="6"/>
      <c r="N190" s="7">
        <v>44120</v>
      </c>
      <c r="O190" s="8">
        <v>1484.0821000000001</v>
      </c>
    </row>
    <row r="191" spans="1:15" x14ac:dyDescent="0.15">
      <c r="A191" s="5">
        <v>44123</v>
      </c>
      <c r="B191">
        <v>8.5359999999999996</v>
      </c>
      <c r="C191">
        <v>6281.6</v>
      </c>
      <c r="D191">
        <v>4731.6000000000004</v>
      </c>
      <c r="F191">
        <f t="shared" si="6"/>
        <v>-1.9301470588235413E-2</v>
      </c>
      <c r="G191">
        <f t="shared" si="7"/>
        <v>-1.1705475141598433E-2</v>
      </c>
      <c r="H191">
        <f t="shared" si="8"/>
        <v>-7.5093342283003893E-3</v>
      </c>
      <c r="K191" s="7">
        <v>44123</v>
      </c>
      <c r="L191" s="8">
        <v>1.4379999999999999</v>
      </c>
      <c r="M191" s="6"/>
      <c r="N191" s="7">
        <v>44123</v>
      </c>
      <c r="O191" s="8">
        <v>1463.6977999999999</v>
      </c>
    </row>
    <row r="192" spans="1:15" x14ac:dyDescent="0.15">
      <c r="A192" s="5">
        <v>44124</v>
      </c>
      <c r="B192">
        <v>8.6910000000000007</v>
      </c>
      <c r="C192">
        <v>6356.4</v>
      </c>
      <c r="D192">
        <v>4762</v>
      </c>
      <c r="F192">
        <f t="shared" si="6"/>
        <v>1.8158388003748964E-2</v>
      </c>
      <c r="G192">
        <f t="shared" si="7"/>
        <v>1.1907794192562288E-2</v>
      </c>
      <c r="H192">
        <f t="shared" si="8"/>
        <v>6.424887987150147E-3</v>
      </c>
      <c r="K192" s="7">
        <v>44124</v>
      </c>
      <c r="L192" s="8">
        <v>1.4670000000000001</v>
      </c>
      <c r="M192" s="6"/>
      <c r="N192" s="7">
        <v>44124</v>
      </c>
      <c r="O192" s="8">
        <v>1493.4780000000001</v>
      </c>
    </row>
    <row r="193" spans="1:15" x14ac:dyDescent="0.15">
      <c r="A193" s="5">
        <v>44125</v>
      </c>
      <c r="B193">
        <v>8.6620000000000008</v>
      </c>
      <c r="C193">
        <v>6289.6</v>
      </c>
      <c r="D193">
        <v>4769.6000000000004</v>
      </c>
      <c r="F193">
        <f t="shared" si="6"/>
        <v>-3.3367851800713282E-3</v>
      </c>
      <c r="G193">
        <f t="shared" si="7"/>
        <v>-1.0509093197407223E-2</v>
      </c>
      <c r="H193">
        <f t="shared" si="8"/>
        <v>1.5959680806384637E-3</v>
      </c>
      <c r="K193" s="7">
        <v>44125</v>
      </c>
      <c r="L193" s="8">
        <v>1.448</v>
      </c>
      <c r="M193" s="6"/>
      <c r="N193" s="7">
        <v>44125</v>
      </c>
      <c r="O193" s="8">
        <v>1474.7644</v>
      </c>
    </row>
    <row r="194" spans="1:15" x14ac:dyDescent="0.15">
      <c r="A194" s="5">
        <v>44126</v>
      </c>
      <c r="B194">
        <v>8.6219999999999999</v>
      </c>
      <c r="C194">
        <v>6261.2</v>
      </c>
      <c r="D194">
        <v>4751</v>
      </c>
      <c r="F194">
        <f t="shared" si="6"/>
        <v>-4.6178711613947031E-3</v>
      </c>
      <c r="G194">
        <f t="shared" si="7"/>
        <v>-4.5153904858815418E-3</v>
      </c>
      <c r="H194">
        <f t="shared" si="8"/>
        <v>-3.899698087890046E-3</v>
      </c>
      <c r="K194" s="7">
        <v>44126</v>
      </c>
      <c r="L194" s="8">
        <v>1.4319999999999999</v>
      </c>
      <c r="M194" s="6"/>
      <c r="N194" s="7">
        <v>44126</v>
      </c>
      <c r="O194" s="8">
        <v>1458.0308</v>
      </c>
    </row>
    <row r="195" spans="1:15" x14ac:dyDescent="0.15">
      <c r="A195" s="5">
        <v>44127</v>
      </c>
      <c r="B195">
        <v>8.5009999999999994</v>
      </c>
      <c r="C195">
        <v>6168.8</v>
      </c>
      <c r="D195">
        <v>4711</v>
      </c>
      <c r="F195">
        <f t="shared" si="6"/>
        <v>-1.4033866852238511E-2</v>
      </c>
      <c r="G195">
        <f t="shared" si="7"/>
        <v>-1.4757554462403316E-2</v>
      </c>
      <c r="H195">
        <f t="shared" si="8"/>
        <v>-8.4192801515470435E-3</v>
      </c>
      <c r="K195" s="7">
        <v>44127</v>
      </c>
      <c r="L195" s="8">
        <v>1.395</v>
      </c>
      <c r="M195" s="6"/>
      <c r="N195" s="7">
        <v>44127</v>
      </c>
      <c r="O195" s="8">
        <v>1416.9967999999999</v>
      </c>
    </row>
    <row r="196" spans="1:15" x14ac:dyDescent="0.15">
      <c r="A196" s="5">
        <v>44130</v>
      </c>
      <c r="B196">
        <v>8.4380000000000006</v>
      </c>
      <c r="C196">
        <v>6180.2</v>
      </c>
      <c r="D196">
        <v>4670</v>
      </c>
      <c r="F196">
        <f t="shared" ref="F196:F242" si="9">(B196-B195)/B195</f>
        <v>-7.4108928361367888E-3</v>
      </c>
      <c r="G196">
        <f t="shared" ref="G196:G242" si="10">(C196-C195)/C195</f>
        <v>1.8480093373102768E-3</v>
      </c>
      <c r="H196">
        <f t="shared" ref="H196:H242" si="11">(D196-D195)/D195</f>
        <v>-8.703035448949268E-3</v>
      </c>
      <c r="K196" s="7">
        <v>44130</v>
      </c>
      <c r="L196" s="8">
        <v>1.4039999999999999</v>
      </c>
      <c r="M196" s="6"/>
      <c r="N196" s="7">
        <v>44130</v>
      </c>
      <c r="O196" s="8">
        <v>1425.0025000000001</v>
      </c>
    </row>
    <row r="197" spans="1:15" x14ac:dyDescent="0.15">
      <c r="A197" s="5">
        <v>44131</v>
      </c>
      <c r="B197">
        <v>8.4670000000000005</v>
      </c>
      <c r="C197">
        <v>6172.8</v>
      </c>
      <c r="D197">
        <v>4680.6000000000004</v>
      </c>
      <c r="F197">
        <f t="shared" si="9"/>
        <v>3.4368333728371551E-3</v>
      </c>
      <c r="G197">
        <f t="shared" si="10"/>
        <v>-1.1973722533250763E-3</v>
      </c>
      <c r="H197">
        <f t="shared" si="11"/>
        <v>2.2698072805139966E-3</v>
      </c>
      <c r="K197" s="7">
        <v>44131</v>
      </c>
      <c r="L197" s="8">
        <v>1.423</v>
      </c>
      <c r="M197" s="6"/>
      <c r="N197" s="7">
        <v>44131</v>
      </c>
      <c r="O197" s="8">
        <v>1447.3831</v>
      </c>
    </row>
    <row r="198" spans="1:15" x14ac:dyDescent="0.15">
      <c r="A198" s="5">
        <v>44132</v>
      </c>
      <c r="B198">
        <v>8.6349999999999998</v>
      </c>
      <c r="C198">
        <v>6211.6</v>
      </c>
      <c r="D198">
        <v>4724.2</v>
      </c>
      <c r="F198">
        <f t="shared" si="9"/>
        <v>1.9841738514231634E-2</v>
      </c>
      <c r="G198">
        <f t="shared" si="10"/>
        <v>6.2856402280974891E-3</v>
      </c>
      <c r="H198">
        <f t="shared" si="11"/>
        <v>9.3150450796905208E-3</v>
      </c>
      <c r="K198" s="7">
        <v>44132</v>
      </c>
      <c r="L198" s="8">
        <v>1.4350000000000001</v>
      </c>
      <c r="M198" s="6"/>
      <c r="N198" s="7">
        <v>44132</v>
      </c>
      <c r="O198" s="8">
        <v>1460.8810000000001</v>
      </c>
    </row>
    <row r="199" spans="1:15" x14ac:dyDescent="0.15">
      <c r="A199" s="5">
        <v>44133</v>
      </c>
      <c r="B199">
        <v>8.7989999999999995</v>
      </c>
      <c r="C199">
        <v>6231</v>
      </c>
      <c r="D199">
        <v>4770.3999999999996</v>
      </c>
      <c r="F199">
        <f t="shared" si="9"/>
        <v>1.8992472495657175E-2</v>
      </c>
      <c r="G199">
        <f t="shared" si="10"/>
        <v>3.123188872432165E-3</v>
      </c>
      <c r="H199">
        <f t="shared" si="11"/>
        <v>9.7794335548875618E-3</v>
      </c>
      <c r="K199" s="7">
        <v>44133</v>
      </c>
      <c r="L199" s="8">
        <v>1.454</v>
      </c>
      <c r="M199" s="6"/>
      <c r="N199" s="7">
        <v>44133</v>
      </c>
      <c r="O199" s="8">
        <v>1479.5469000000001</v>
      </c>
    </row>
    <row r="200" spans="1:15" x14ac:dyDescent="0.15">
      <c r="A200" s="5">
        <v>44134</v>
      </c>
      <c r="B200">
        <v>8.6150000000000002</v>
      </c>
      <c r="C200">
        <v>6068.2</v>
      </c>
      <c r="D200">
        <v>4683.6000000000004</v>
      </c>
      <c r="F200">
        <f t="shared" si="9"/>
        <v>-2.0911467212183121E-2</v>
      </c>
      <c r="G200">
        <f t="shared" si="10"/>
        <v>-2.6127427379232897E-2</v>
      </c>
      <c r="H200">
        <f t="shared" si="11"/>
        <v>-1.8195539158141722E-2</v>
      </c>
      <c r="K200" s="7">
        <v>44134</v>
      </c>
      <c r="L200" s="8">
        <v>1.4319999999999999</v>
      </c>
      <c r="M200" s="6"/>
      <c r="N200" s="7">
        <v>44134</v>
      </c>
      <c r="O200" s="8">
        <v>1455.0798</v>
      </c>
    </row>
    <row r="201" spans="1:15" x14ac:dyDescent="0.15">
      <c r="A201" s="5">
        <v>44137</v>
      </c>
      <c r="B201">
        <v>8.6039999999999992</v>
      </c>
      <c r="C201">
        <v>6109.8</v>
      </c>
      <c r="D201">
        <v>4711</v>
      </c>
      <c r="F201">
        <f t="shared" si="9"/>
        <v>-1.2768427161928043E-3</v>
      </c>
      <c r="G201">
        <f t="shared" si="10"/>
        <v>6.855410171055727E-3</v>
      </c>
      <c r="H201">
        <f t="shared" si="11"/>
        <v>5.8502007003159179E-3</v>
      </c>
      <c r="K201" s="7">
        <v>44137</v>
      </c>
      <c r="L201" s="8">
        <v>1.46</v>
      </c>
      <c r="M201" s="6"/>
      <c r="N201" s="7">
        <v>44137</v>
      </c>
      <c r="O201" s="8">
        <v>1485.2519</v>
      </c>
    </row>
    <row r="202" spans="1:15" x14ac:dyDescent="0.15">
      <c r="A202" s="5">
        <v>44138</v>
      </c>
      <c r="B202">
        <v>8.6869999999999994</v>
      </c>
      <c r="C202">
        <v>6209.2</v>
      </c>
      <c r="D202">
        <v>4756.8</v>
      </c>
      <c r="F202">
        <f t="shared" si="9"/>
        <v>9.6466759646676187E-3</v>
      </c>
      <c r="G202">
        <f t="shared" si="10"/>
        <v>1.6268944973648832E-2</v>
      </c>
      <c r="H202">
        <f t="shared" si="11"/>
        <v>9.7219274039482446E-3</v>
      </c>
      <c r="K202" s="7">
        <v>44138</v>
      </c>
      <c r="L202" s="8">
        <v>1.4770000000000001</v>
      </c>
      <c r="M202" s="6"/>
      <c r="N202" s="7">
        <v>44138</v>
      </c>
      <c r="O202" s="8">
        <v>1503.9428</v>
      </c>
    </row>
    <row r="203" spans="1:15" x14ac:dyDescent="0.15">
      <c r="A203" s="5">
        <v>44139</v>
      </c>
      <c r="B203">
        <v>8.7799999999999994</v>
      </c>
      <c r="C203">
        <v>6200.2</v>
      </c>
      <c r="D203">
        <v>4799.2</v>
      </c>
      <c r="F203">
        <f t="shared" si="9"/>
        <v>1.0705652123863242E-2</v>
      </c>
      <c r="G203">
        <f t="shared" si="10"/>
        <v>-1.4494620885138183E-3</v>
      </c>
      <c r="H203">
        <f t="shared" si="11"/>
        <v>8.9135553313150935E-3</v>
      </c>
      <c r="K203" s="7">
        <v>44139</v>
      </c>
      <c r="L203" s="8">
        <v>1.4870000000000001</v>
      </c>
      <c r="M203" s="6"/>
      <c r="N203" s="7">
        <v>44139</v>
      </c>
      <c r="O203" s="8">
        <v>1515.4755</v>
      </c>
    </row>
    <row r="204" spans="1:15" x14ac:dyDescent="0.15">
      <c r="A204" s="5">
        <v>44140</v>
      </c>
      <c r="B204">
        <v>8.9209999999999994</v>
      </c>
      <c r="C204">
        <v>6333.8</v>
      </c>
      <c r="D204">
        <v>4875</v>
      </c>
      <c r="F204">
        <f t="shared" si="9"/>
        <v>1.6059225512528478E-2</v>
      </c>
      <c r="G204">
        <f t="shared" si="10"/>
        <v>2.1547692009935223E-2</v>
      </c>
      <c r="H204">
        <f t="shared" si="11"/>
        <v>1.5794299049841677E-2</v>
      </c>
      <c r="K204" s="7">
        <v>44140</v>
      </c>
      <c r="L204" s="8">
        <v>1.5049999999999999</v>
      </c>
      <c r="M204" s="6"/>
      <c r="N204" s="7">
        <v>44140</v>
      </c>
      <c r="O204" s="8">
        <v>1534.1378999999999</v>
      </c>
    </row>
    <row r="205" spans="1:15" x14ac:dyDescent="0.15">
      <c r="A205" s="5">
        <v>44141</v>
      </c>
      <c r="B205">
        <v>8.8409999999999993</v>
      </c>
      <c r="C205">
        <v>6288.4</v>
      </c>
      <c r="D205">
        <v>4879.8</v>
      </c>
      <c r="F205">
        <f t="shared" si="9"/>
        <v>-8.9676045286402953E-3</v>
      </c>
      <c r="G205">
        <f t="shared" si="10"/>
        <v>-7.1678928921027731E-3</v>
      </c>
      <c r="H205">
        <f t="shared" si="11"/>
        <v>9.8461538461542186E-4</v>
      </c>
      <c r="K205" s="7">
        <v>44141</v>
      </c>
      <c r="L205" s="8">
        <v>1.478</v>
      </c>
      <c r="M205" s="6"/>
      <c r="N205" s="7">
        <v>44141</v>
      </c>
      <c r="O205" s="8">
        <v>1502.9491</v>
      </c>
    </row>
    <row r="206" spans="1:15" x14ac:dyDescent="0.15">
      <c r="A206" s="5">
        <v>44144</v>
      </c>
      <c r="B206">
        <v>8.9220000000000006</v>
      </c>
      <c r="C206">
        <v>6383.2</v>
      </c>
      <c r="D206">
        <v>4974.3999999999996</v>
      </c>
      <c r="F206">
        <f t="shared" si="9"/>
        <v>9.1618595181542015E-3</v>
      </c>
      <c r="G206">
        <f t="shared" si="10"/>
        <v>1.5075376884422141E-2</v>
      </c>
      <c r="H206">
        <f t="shared" si="11"/>
        <v>1.938604041149216E-2</v>
      </c>
      <c r="K206" s="7">
        <v>44144</v>
      </c>
      <c r="L206" s="8">
        <v>1.524</v>
      </c>
      <c r="M206" s="6"/>
      <c r="N206" s="7">
        <v>44144</v>
      </c>
      <c r="O206" s="8">
        <v>1547.7181</v>
      </c>
    </row>
    <row r="207" spans="1:15" x14ac:dyDescent="0.15">
      <c r="A207" s="5">
        <v>44145</v>
      </c>
      <c r="B207">
        <v>8.8889999999999993</v>
      </c>
      <c r="C207">
        <v>6344.2</v>
      </c>
      <c r="D207">
        <v>4950</v>
      </c>
      <c r="F207">
        <f t="shared" si="9"/>
        <v>-3.6987222595831933E-3</v>
      </c>
      <c r="G207">
        <f t="shared" si="10"/>
        <v>-6.1097881940092745E-3</v>
      </c>
      <c r="H207">
        <f t="shared" si="11"/>
        <v>-4.9051141846252087E-3</v>
      </c>
      <c r="K207" s="7">
        <v>44145</v>
      </c>
      <c r="L207" s="8">
        <v>1.4950000000000001</v>
      </c>
      <c r="M207" s="6"/>
      <c r="N207" s="7">
        <v>44145</v>
      </c>
      <c r="O207" s="8">
        <v>1524.3598999999999</v>
      </c>
    </row>
    <row r="208" spans="1:15" x14ac:dyDescent="0.15">
      <c r="A208" s="5">
        <v>44146</v>
      </c>
      <c r="B208">
        <v>8.7850000000000001</v>
      </c>
      <c r="C208">
        <v>6268.4</v>
      </c>
      <c r="D208">
        <v>4907.3999999999996</v>
      </c>
      <c r="F208">
        <f t="shared" si="9"/>
        <v>-1.1699853751828013E-2</v>
      </c>
      <c r="G208">
        <f t="shared" si="10"/>
        <v>-1.1947920935657795E-2</v>
      </c>
      <c r="H208">
        <f t="shared" si="11"/>
        <v>-8.6060606060606795E-3</v>
      </c>
      <c r="K208" s="7">
        <v>44146</v>
      </c>
      <c r="L208" s="8">
        <v>1.4470000000000001</v>
      </c>
      <c r="M208" s="6"/>
      <c r="N208" s="7">
        <v>44146</v>
      </c>
      <c r="O208" s="8">
        <v>1473.7268999999999</v>
      </c>
    </row>
    <row r="209" spans="1:15" x14ac:dyDescent="0.15">
      <c r="A209" s="5">
        <v>44147</v>
      </c>
      <c r="B209">
        <v>8.8580000000000005</v>
      </c>
      <c r="C209">
        <v>6290.2</v>
      </c>
      <c r="D209">
        <v>4902.6000000000004</v>
      </c>
      <c r="F209">
        <f t="shared" si="9"/>
        <v>8.30961866818445E-3</v>
      </c>
      <c r="G209">
        <f t="shared" si="10"/>
        <v>3.4777614702316672E-3</v>
      </c>
      <c r="H209">
        <f t="shared" si="11"/>
        <v>-9.7811468394654456E-4</v>
      </c>
      <c r="K209" s="7">
        <v>44147</v>
      </c>
      <c r="L209" s="8">
        <v>1.462</v>
      </c>
      <c r="M209" s="6"/>
      <c r="N209" s="7">
        <v>44147</v>
      </c>
      <c r="O209" s="8">
        <v>1483.6568</v>
      </c>
    </row>
    <row r="210" spans="1:15" x14ac:dyDescent="0.15">
      <c r="A210" s="5">
        <v>44148</v>
      </c>
      <c r="B210">
        <v>8.734</v>
      </c>
      <c r="C210">
        <v>6292.2</v>
      </c>
      <c r="D210">
        <v>4850.6000000000004</v>
      </c>
      <c r="F210">
        <f t="shared" si="9"/>
        <v>-1.3998645292391121E-2</v>
      </c>
      <c r="G210">
        <f t="shared" si="10"/>
        <v>3.1795491399319576E-4</v>
      </c>
      <c r="H210">
        <f t="shared" si="11"/>
        <v>-1.060661689715661E-2</v>
      </c>
      <c r="K210" s="7">
        <v>44148</v>
      </c>
      <c r="L210" s="8">
        <v>1.464</v>
      </c>
      <c r="M210" s="6"/>
      <c r="N210" s="7">
        <v>44148</v>
      </c>
      <c r="O210" s="8">
        <v>1486.0170000000001</v>
      </c>
    </row>
    <row r="211" spans="1:15" x14ac:dyDescent="0.15">
      <c r="A211" s="5">
        <v>44151</v>
      </c>
      <c r="B211">
        <v>8.7859999999999996</v>
      </c>
      <c r="C211">
        <v>6370.8</v>
      </c>
      <c r="D211">
        <v>4904.6000000000004</v>
      </c>
      <c r="F211">
        <f t="shared" si="9"/>
        <v>5.9537439890084273E-3</v>
      </c>
      <c r="G211">
        <f t="shared" si="10"/>
        <v>1.2491656336416574E-2</v>
      </c>
      <c r="H211">
        <f t="shared" si="11"/>
        <v>1.1132643384323588E-2</v>
      </c>
      <c r="K211" s="7">
        <v>44151</v>
      </c>
      <c r="L211" s="8">
        <v>1.462</v>
      </c>
      <c r="M211" s="6"/>
      <c r="N211" s="7">
        <v>44151</v>
      </c>
      <c r="O211" s="8">
        <v>1492.6188999999999</v>
      </c>
    </row>
    <row r="212" spans="1:15" x14ac:dyDescent="0.15">
      <c r="A212" s="5">
        <v>44152</v>
      </c>
      <c r="B212">
        <v>8.6790000000000003</v>
      </c>
      <c r="C212">
        <v>6334</v>
      </c>
      <c r="D212">
        <v>4891.6000000000004</v>
      </c>
      <c r="F212">
        <f t="shared" si="9"/>
        <v>-1.2178465740951437E-2</v>
      </c>
      <c r="G212">
        <f t="shared" si="10"/>
        <v>-5.7763546179443997E-3</v>
      </c>
      <c r="H212">
        <f t="shared" si="11"/>
        <v>-2.6505729315336622E-3</v>
      </c>
      <c r="K212" s="7">
        <v>44152</v>
      </c>
      <c r="L212" s="8">
        <v>1.4390000000000001</v>
      </c>
      <c r="M212" s="6"/>
      <c r="N212" s="7">
        <v>44152</v>
      </c>
      <c r="O212" s="8">
        <v>1460.4963</v>
      </c>
    </row>
    <row r="213" spans="1:15" x14ac:dyDescent="0.15">
      <c r="A213" s="5">
        <v>44153</v>
      </c>
      <c r="B213">
        <v>8.5719999999999992</v>
      </c>
      <c r="C213">
        <v>6330.4</v>
      </c>
      <c r="D213">
        <v>4885.6000000000004</v>
      </c>
      <c r="F213">
        <f t="shared" si="9"/>
        <v>-1.2328609286784318E-2</v>
      </c>
      <c r="G213">
        <f t="shared" si="10"/>
        <v>-5.6836122513425388E-4</v>
      </c>
      <c r="H213">
        <f t="shared" si="11"/>
        <v>-1.2265925259628751E-3</v>
      </c>
      <c r="K213" s="7">
        <v>44153</v>
      </c>
      <c r="L213" s="8">
        <v>1.4139999999999999</v>
      </c>
      <c r="M213" s="6"/>
      <c r="N213" s="7">
        <v>44153</v>
      </c>
      <c r="O213" s="8">
        <v>1434.6932999999999</v>
      </c>
    </row>
    <row r="214" spans="1:15" x14ac:dyDescent="0.15">
      <c r="A214" s="5">
        <v>44154</v>
      </c>
      <c r="B214">
        <v>8.6959999999999997</v>
      </c>
      <c r="C214">
        <v>6373</v>
      </c>
      <c r="D214">
        <v>4933.6000000000004</v>
      </c>
      <c r="F214">
        <f t="shared" si="9"/>
        <v>1.4465702286514299E-2</v>
      </c>
      <c r="G214">
        <f t="shared" si="10"/>
        <v>6.7294325792999444E-3</v>
      </c>
      <c r="H214">
        <f t="shared" si="11"/>
        <v>9.8247912231865069E-3</v>
      </c>
      <c r="K214" s="7">
        <v>44154</v>
      </c>
      <c r="L214" s="8">
        <v>1.429</v>
      </c>
      <c r="M214" s="6"/>
      <c r="N214" s="7">
        <v>44154</v>
      </c>
      <c r="O214" s="8">
        <v>1450.0525</v>
      </c>
    </row>
    <row r="215" spans="1:15" x14ac:dyDescent="0.15">
      <c r="A215" s="5">
        <v>44155</v>
      </c>
      <c r="B215">
        <v>8.7840000000000007</v>
      </c>
      <c r="C215">
        <v>6379.2</v>
      </c>
      <c r="D215">
        <v>4937.2</v>
      </c>
      <c r="F215">
        <f t="shared" si="9"/>
        <v>1.0119595216191464E-2</v>
      </c>
      <c r="G215">
        <f t="shared" si="10"/>
        <v>9.7285422877762715E-4</v>
      </c>
      <c r="H215">
        <f t="shared" si="11"/>
        <v>7.2969028701140224E-4</v>
      </c>
      <c r="K215" s="7">
        <v>44155</v>
      </c>
      <c r="L215" s="8">
        <v>1.4410000000000001</v>
      </c>
      <c r="M215" s="6"/>
      <c r="N215" s="7">
        <v>44155</v>
      </c>
      <c r="O215" s="8">
        <v>1461.4965999999999</v>
      </c>
    </row>
    <row r="216" spans="1:15" x14ac:dyDescent="0.15">
      <c r="A216" s="5">
        <v>44158</v>
      </c>
      <c r="B216">
        <v>8.8249999999999993</v>
      </c>
      <c r="C216">
        <v>6434</v>
      </c>
      <c r="D216">
        <v>4995</v>
      </c>
      <c r="F216">
        <f t="shared" si="9"/>
        <v>4.6675774134788926E-3</v>
      </c>
      <c r="G216">
        <f t="shared" si="10"/>
        <v>8.5904188612992514E-3</v>
      </c>
      <c r="H216">
        <f t="shared" si="11"/>
        <v>1.1707040427772864E-2</v>
      </c>
      <c r="K216" s="7">
        <v>44158</v>
      </c>
      <c r="L216" s="8">
        <v>1.4450000000000001</v>
      </c>
      <c r="M216" s="6"/>
      <c r="N216" s="7">
        <v>44158</v>
      </c>
      <c r="O216" s="8">
        <v>1469.2067999999999</v>
      </c>
    </row>
    <row r="217" spans="1:15" x14ac:dyDescent="0.15">
      <c r="A217" s="5">
        <v>44159</v>
      </c>
      <c r="B217">
        <v>8.7609999999999992</v>
      </c>
      <c r="C217">
        <v>6425.2</v>
      </c>
      <c r="D217">
        <v>4971.8</v>
      </c>
      <c r="F217">
        <f t="shared" si="9"/>
        <v>-7.2521246458923582E-3</v>
      </c>
      <c r="G217">
        <f t="shared" si="10"/>
        <v>-1.3677339135841128E-3</v>
      </c>
      <c r="H217">
        <f t="shared" si="11"/>
        <v>-4.6446446446446084E-3</v>
      </c>
      <c r="K217" s="7">
        <v>44159</v>
      </c>
      <c r="L217" s="8">
        <v>1.4350000000000001</v>
      </c>
      <c r="M217" s="6"/>
      <c r="N217" s="7">
        <v>44159</v>
      </c>
      <c r="O217" s="8">
        <v>1458.6812</v>
      </c>
    </row>
    <row r="218" spans="1:15" x14ac:dyDescent="0.15">
      <c r="A218" s="5">
        <v>44160</v>
      </c>
      <c r="B218">
        <v>8.6020000000000003</v>
      </c>
      <c r="C218">
        <v>6325.4</v>
      </c>
      <c r="D218">
        <v>4910</v>
      </c>
      <c r="F218">
        <f t="shared" si="9"/>
        <v>-1.8148613172012204E-2</v>
      </c>
      <c r="G218">
        <f t="shared" si="10"/>
        <v>-1.5532590425200801E-2</v>
      </c>
      <c r="H218">
        <f t="shared" si="11"/>
        <v>-1.2430105796693387E-2</v>
      </c>
      <c r="K218" s="7">
        <v>44160</v>
      </c>
      <c r="L218" s="8">
        <v>1.405</v>
      </c>
      <c r="M218" s="6"/>
      <c r="N218" s="7">
        <v>44160</v>
      </c>
      <c r="O218" s="8">
        <v>1424.7245</v>
      </c>
    </row>
    <row r="219" spans="1:15" x14ac:dyDescent="0.15">
      <c r="A219" s="5">
        <v>44161</v>
      </c>
      <c r="B219">
        <v>8.5820000000000007</v>
      </c>
      <c r="C219">
        <v>6314.4</v>
      </c>
      <c r="D219">
        <v>4914</v>
      </c>
      <c r="F219">
        <f t="shared" si="9"/>
        <v>-2.3250406882119939E-3</v>
      </c>
      <c r="G219">
        <f t="shared" si="10"/>
        <v>-1.7390204572042876E-3</v>
      </c>
      <c r="H219">
        <f t="shared" si="11"/>
        <v>8.1466395112016296E-4</v>
      </c>
      <c r="K219" s="7">
        <v>44161</v>
      </c>
      <c r="L219" s="8">
        <v>1.405</v>
      </c>
      <c r="M219" s="6"/>
      <c r="N219" s="7">
        <v>44161</v>
      </c>
      <c r="O219" s="8">
        <v>1423.2077999999999</v>
      </c>
    </row>
    <row r="220" spans="1:15" x14ac:dyDescent="0.15">
      <c r="A220" s="5">
        <v>44162</v>
      </c>
      <c r="B220">
        <v>8.6609999999999996</v>
      </c>
      <c r="C220">
        <v>6344</v>
      </c>
      <c r="D220">
        <v>4987.8</v>
      </c>
      <c r="F220">
        <f t="shared" si="9"/>
        <v>9.2053134467488754E-3</v>
      </c>
      <c r="G220">
        <f t="shared" si="10"/>
        <v>4.6876979602179722E-3</v>
      </c>
      <c r="H220">
        <f t="shared" si="11"/>
        <v>1.5018315018315055E-2</v>
      </c>
      <c r="K220" s="7">
        <v>44162</v>
      </c>
      <c r="L220" s="8">
        <v>1.409</v>
      </c>
      <c r="M220" s="6"/>
      <c r="N220" s="7">
        <v>44162</v>
      </c>
      <c r="O220" s="8">
        <v>1430.9474</v>
      </c>
    </row>
    <row r="221" spans="1:15" x14ac:dyDescent="0.15">
      <c r="A221" s="5">
        <v>44165</v>
      </c>
      <c r="B221">
        <v>8.5960000000000001</v>
      </c>
      <c r="C221">
        <v>6293</v>
      </c>
      <c r="D221">
        <v>4961.2</v>
      </c>
      <c r="F221">
        <f t="shared" si="9"/>
        <v>-7.5049070546125739E-3</v>
      </c>
      <c r="G221">
        <f t="shared" si="10"/>
        <v>-8.0390920554854976E-3</v>
      </c>
      <c r="H221">
        <f t="shared" si="11"/>
        <v>-5.3330125506235943E-3</v>
      </c>
      <c r="K221" s="7">
        <v>44165</v>
      </c>
      <c r="L221" s="8">
        <v>1.4159999999999999</v>
      </c>
      <c r="M221" s="6"/>
      <c r="N221" s="7">
        <v>44165</v>
      </c>
      <c r="O221" s="8">
        <v>1437.6251</v>
      </c>
    </row>
    <row r="222" spans="1:15" x14ac:dyDescent="0.15">
      <c r="A222" s="5">
        <v>44166</v>
      </c>
      <c r="B222">
        <v>8.7430000000000003</v>
      </c>
      <c r="C222">
        <v>6406.6</v>
      </c>
      <c r="D222">
        <v>5075</v>
      </c>
      <c r="F222">
        <f t="shared" si="9"/>
        <v>1.7100977198697097E-2</v>
      </c>
      <c r="G222">
        <f t="shared" si="10"/>
        <v>1.8051803591291968E-2</v>
      </c>
      <c r="H222">
        <f t="shared" si="11"/>
        <v>2.2937998871240865E-2</v>
      </c>
      <c r="K222" s="7">
        <v>44166</v>
      </c>
      <c r="L222" s="8">
        <v>1.452</v>
      </c>
      <c r="M222" s="6"/>
      <c r="N222" s="7">
        <v>44166</v>
      </c>
      <c r="O222" s="8">
        <v>1477.5424</v>
      </c>
    </row>
    <row r="223" spans="1:15" x14ac:dyDescent="0.15">
      <c r="A223" s="5">
        <v>44167</v>
      </c>
      <c r="B223">
        <v>8.7149999999999999</v>
      </c>
      <c r="C223">
        <v>6402</v>
      </c>
      <c r="D223">
        <v>5064.3999999999996</v>
      </c>
      <c r="F223">
        <f t="shared" si="9"/>
        <v>-3.2025620496397653E-3</v>
      </c>
      <c r="G223">
        <f t="shared" si="10"/>
        <v>-7.1800955264888762E-4</v>
      </c>
      <c r="H223">
        <f t="shared" si="11"/>
        <v>-2.088669950738988E-3</v>
      </c>
      <c r="K223" s="7">
        <v>44167</v>
      </c>
      <c r="L223" s="8">
        <v>1.4430000000000001</v>
      </c>
      <c r="M223" s="6"/>
      <c r="N223" s="7">
        <v>44167</v>
      </c>
      <c r="O223" s="8">
        <v>1468.2125000000001</v>
      </c>
    </row>
    <row r="224" spans="1:15" x14ac:dyDescent="0.15">
      <c r="A224" s="5">
        <v>44168</v>
      </c>
      <c r="B224">
        <v>8.8079999999999998</v>
      </c>
      <c r="C224">
        <v>6429.4</v>
      </c>
      <c r="D224">
        <v>5062.2</v>
      </c>
      <c r="F224">
        <f t="shared" si="9"/>
        <v>1.0671256454388982E-2</v>
      </c>
      <c r="G224">
        <f t="shared" si="10"/>
        <v>4.2799125273351507E-3</v>
      </c>
      <c r="H224">
        <f t="shared" si="11"/>
        <v>-4.3440486533445583E-4</v>
      </c>
      <c r="K224" s="7">
        <v>44168</v>
      </c>
      <c r="L224" s="8">
        <v>1.4630000000000001</v>
      </c>
      <c r="M224" s="6"/>
      <c r="N224" s="7">
        <v>44168</v>
      </c>
      <c r="O224" s="8">
        <v>1487.1595</v>
      </c>
    </row>
    <row r="225" spans="1:15" x14ac:dyDescent="0.15">
      <c r="A225" s="5">
        <v>44169</v>
      </c>
      <c r="B225">
        <v>8.9280000000000008</v>
      </c>
      <c r="C225">
        <v>6458.4</v>
      </c>
      <c r="D225">
        <v>5072.3999999999996</v>
      </c>
      <c r="F225">
        <f t="shared" si="9"/>
        <v>1.362397820163499E-2</v>
      </c>
      <c r="G225">
        <f t="shared" si="10"/>
        <v>4.5105297539428258E-3</v>
      </c>
      <c r="H225">
        <f t="shared" si="11"/>
        <v>2.0149342183240129E-3</v>
      </c>
      <c r="K225" s="7">
        <v>44169</v>
      </c>
      <c r="L225" s="8">
        <v>1.478</v>
      </c>
      <c r="M225" s="6"/>
      <c r="N225" s="7">
        <v>44169</v>
      </c>
      <c r="O225" s="8">
        <v>1499.0183999999999</v>
      </c>
    </row>
    <row r="226" spans="1:15" x14ac:dyDescent="0.15">
      <c r="A226" s="5">
        <v>44172</v>
      </c>
      <c r="B226">
        <v>8.9320000000000004</v>
      </c>
      <c r="C226">
        <v>6397.6</v>
      </c>
      <c r="D226">
        <v>5028.2</v>
      </c>
      <c r="F226">
        <f t="shared" si="9"/>
        <v>4.4802867383507606E-4</v>
      </c>
      <c r="G226">
        <f t="shared" si="10"/>
        <v>-9.4140963706179984E-3</v>
      </c>
      <c r="H226">
        <f t="shared" si="11"/>
        <v>-8.7138238309281257E-3</v>
      </c>
      <c r="K226" s="7">
        <v>44172</v>
      </c>
      <c r="L226" s="8">
        <v>1.474</v>
      </c>
      <c r="M226" s="6"/>
      <c r="N226" s="7">
        <v>44172</v>
      </c>
      <c r="O226" s="8">
        <v>1496.9155000000001</v>
      </c>
    </row>
    <row r="227" spans="1:15" x14ac:dyDescent="0.15">
      <c r="A227" s="5">
        <v>44173</v>
      </c>
      <c r="B227">
        <v>8.9670000000000005</v>
      </c>
      <c r="C227">
        <v>6402.8</v>
      </c>
      <c r="D227">
        <v>5013.8</v>
      </c>
      <c r="F227">
        <f t="shared" si="9"/>
        <v>3.9184952978056587E-3</v>
      </c>
      <c r="G227">
        <f t="shared" si="10"/>
        <v>8.128048018006468E-4</v>
      </c>
      <c r="H227">
        <f t="shared" si="11"/>
        <v>-2.8638478978560192E-3</v>
      </c>
      <c r="K227" s="7">
        <v>44173</v>
      </c>
      <c r="L227" s="8">
        <v>1.484</v>
      </c>
      <c r="M227" s="6"/>
      <c r="N227" s="7">
        <v>44173</v>
      </c>
      <c r="O227" s="8">
        <v>1506.9819</v>
      </c>
    </row>
    <row r="228" spans="1:15" x14ac:dyDescent="0.15">
      <c r="A228" s="5">
        <v>44174</v>
      </c>
      <c r="B228">
        <v>8.8629999999999995</v>
      </c>
      <c r="C228">
        <v>6305</v>
      </c>
      <c r="D228">
        <v>4954</v>
      </c>
      <c r="F228">
        <f t="shared" si="9"/>
        <v>-1.1598081855693205E-2</v>
      </c>
      <c r="G228">
        <f t="shared" si="10"/>
        <v>-1.527456737677269E-2</v>
      </c>
      <c r="H228">
        <f t="shared" si="11"/>
        <v>-1.1927081255734209E-2</v>
      </c>
      <c r="K228" s="7">
        <v>44174</v>
      </c>
      <c r="L228" s="8">
        <v>1.456</v>
      </c>
      <c r="M228" s="6"/>
      <c r="N228" s="7">
        <v>44174</v>
      </c>
      <c r="O228" s="8">
        <v>1481.9476</v>
      </c>
    </row>
    <row r="229" spans="1:15" x14ac:dyDescent="0.15">
      <c r="A229" s="5">
        <v>44175</v>
      </c>
      <c r="B229">
        <v>8.9079999999999995</v>
      </c>
      <c r="C229">
        <v>6315.6</v>
      </c>
      <c r="D229">
        <v>4943.8</v>
      </c>
      <c r="F229">
        <f t="shared" si="9"/>
        <v>5.0772876001353865E-3</v>
      </c>
      <c r="G229">
        <f t="shared" si="10"/>
        <v>1.6812053925456564E-3</v>
      </c>
      <c r="H229">
        <f t="shared" si="11"/>
        <v>-2.0589422688736007E-3</v>
      </c>
      <c r="K229" s="7">
        <v>44175</v>
      </c>
      <c r="L229" s="8">
        <v>1.47</v>
      </c>
      <c r="M229" s="6"/>
      <c r="N229" s="7">
        <v>44175</v>
      </c>
      <c r="O229" s="8">
        <v>1491.915</v>
      </c>
    </row>
    <row r="230" spans="1:15" x14ac:dyDescent="0.15">
      <c r="A230" s="5">
        <v>44176</v>
      </c>
      <c r="B230">
        <v>8.8729999999999993</v>
      </c>
      <c r="C230">
        <v>6196.4</v>
      </c>
      <c r="D230">
        <v>4887.3999999999996</v>
      </c>
      <c r="F230">
        <f t="shared" si="9"/>
        <v>-3.9290525370453688E-3</v>
      </c>
      <c r="G230">
        <f t="shared" si="10"/>
        <v>-1.8873899550319956E-2</v>
      </c>
      <c r="H230">
        <f t="shared" si="11"/>
        <v>-1.1408228488207562E-2</v>
      </c>
      <c r="K230" s="7">
        <v>44176</v>
      </c>
      <c r="L230" s="8">
        <v>1.4590000000000001</v>
      </c>
      <c r="M230" s="6"/>
      <c r="N230" s="7">
        <v>44176</v>
      </c>
      <c r="O230" s="8">
        <v>1480.2551000000001</v>
      </c>
    </row>
    <row r="231" spans="1:15" x14ac:dyDescent="0.15">
      <c r="A231" s="5">
        <v>44179</v>
      </c>
      <c r="B231">
        <v>9.0660000000000007</v>
      </c>
      <c r="C231">
        <v>6253.2</v>
      </c>
      <c r="D231">
        <v>4931.8</v>
      </c>
      <c r="F231">
        <f t="shared" si="9"/>
        <v>2.1751380592809805E-2</v>
      </c>
      <c r="G231">
        <f t="shared" si="10"/>
        <v>9.1666128719902172E-3</v>
      </c>
      <c r="H231">
        <f t="shared" si="11"/>
        <v>9.0845848508410501E-3</v>
      </c>
      <c r="K231" s="7">
        <v>44179</v>
      </c>
      <c r="L231" s="8">
        <v>1.48</v>
      </c>
      <c r="M231" s="6"/>
      <c r="N231" s="7">
        <v>44179</v>
      </c>
      <c r="O231" s="8">
        <v>1500.4920999999999</v>
      </c>
    </row>
    <row r="232" spans="1:15" x14ac:dyDescent="0.15">
      <c r="A232" s="5">
        <v>44180</v>
      </c>
      <c r="B232">
        <v>9.1720000000000006</v>
      </c>
      <c r="C232">
        <v>6256.8</v>
      </c>
      <c r="D232">
        <v>4943.6000000000004</v>
      </c>
      <c r="F232">
        <f t="shared" si="9"/>
        <v>1.1692036179130803E-2</v>
      </c>
      <c r="G232">
        <f t="shared" si="10"/>
        <v>5.7570523891773231E-4</v>
      </c>
      <c r="H232">
        <f t="shared" si="11"/>
        <v>2.3926355488868528E-3</v>
      </c>
      <c r="K232" s="7">
        <v>44180</v>
      </c>
      <c r="L232" s="8">
        <v>1.498</v>
      </c>
      <c r="M232" s="6"/>
      <c r="N232" s="7">
        <v>44180</v>
      </c>
      <c r="O232" s="8">
        <v>1523.6709000000001</v>
      </c>
    </row>
    <row r="233" spans="1:15" x14ac:dyDescent="0.15">
      <c r="A233" s="5">
        <v>44181</v>
      </c>
      <c r="B233">
        <v>9.2590000000000003</v>
      </c>
      <c r="C233">
        <v>6239.6</v>
      </c>
      <c r="D233">
        <v>4955</v>
      </c>
      <c r="F233">
        <f t="shared" si="9"/>
        <v>9.4853903183601991E-3</v>
      </c>
      <c r="G233">
        <f t="shared" si="10"/>
        <v>-2.7490090781229731E-3</v>
      </c>
      <c r="H233">
        <f t="shared" si="11"/>
        <v>2.3060118132534257E-3</v>
      </c>
      <c r="K233" s="7">
        <v>44181</v>
      </c>
      <c r="L233" s="8">
        <v>1.5009999999999999</v>
      </c>
      <c r="M233" s="6"/>
      <c r="N233" s="7">
        <v>44181</v>
      </c>
      <c r="O233" s="8">
        <v>1529.0376000000001</v>
      </c>
    </row>
    <row r="234" spans="1:15" x14ac:dyDescent="0.15">
      <c r="A234" s="5">
        <v>44182</v>
      </c>
      <c r="B234">
        <v>9.41</v>
      </c>
      <c r="C234">
        <v>6313.8</v>
      </c>
      <c r="D234">
        <v>5029.8</v>
      </c>
      <c r="F234">
        <f t="shared" si="9"/>
        <v>1.6308456636785807E-2</v>
      </c>
      <c r="G234">
        <f t="shared" si="10"/>
        <v>1.1891787935124017E-2</v>
      </c>
      <c r="H234">
        <f t="shared" si="11"/>
        <v>1.5095862764883993E-2</v>
      </c>
      <c r="K234" s="7">
        <v>44182</v>
      </c>
      <c r="L234" s="8">
        <v>1.5169999999999999</v>
      </c>
      <c r="M234" s="6"/>
      <c r="N234" s="7">
        <v>44182</v>
      </c>
      <c r="O234" s="8">
        <v>1542.664</v>
      </c>
    </row>
    <row r="235" spans="1:15" x14ac:dyDescent="0.15">
      <c r="A235" s="5">
        <v>44183</v>
      </c>
      <c r="B235">
        <v>9.3789999999999996</v>
      </c>
      <c r="C235">
        <v>6246.6</v>
      </c>
      <c r="D235">
        <v>4993</v>
      </c>
      <c r="F235">
        <f t="shared" si="9"/>
        <v>-3.2943676939426762E-3</v>
      </c>
      <c r="G235">
        <f t="shared" si="10"/>
        <v>-1.0643352656086638E-2</v>
      </c>
      <c r="H235">
        <f t="shared" si="11"/>
        <v>-7.3163942900314489E-3</v>
      </c>
      <c r="K235" s="7">
        <v>44183</v>
      </c>
      <c r="L235" s="8">
        <v>1.516</v>
      </c>
      <c r="M235" s="6"/>
      <c r="N235" s="7">
        <v>44183</v>
      </c>
      <c r="O235" s="8">
        <v>1542.1563000000001</v>
      </c>
    </row>
    <row r="236" spans="1:15" x14ac:dyDescent="0.15">
      <c r="A236" s="5">
        <v>44186</v>
      </c>
      <c r="B236">
        <v>9.4629999999999992</v>
      </c>
      <c r="C236">
        <v>6354.8</v>
      </c>
      <c r="D236">
        <v>5040.8</v>
      </c>
      <c r="F236">
        <f t="shared" si="9"/>
        <v>8.9561786970892027E-3</v>
      </c>
      <c r="G236">
        <f t="shared" si="10"/>
        <v>1.7321422854032563E-2</v>
      </c>
      <c r="H236">
        <f t="shared" si="11"/>
        <v>9.5734027638694538E-3</v>
      </c>
      <c r="K236" s="7">
        <v>44186</v>
      </c>
      <c r="L236" s="8">
        <v>1.5720000000000001</v>
      </c>
      <c r="M236" s="6"/>
      <c r="N236" s="7">
        <v>44186</v>
      </c>
      <c r="O236" s="8">
        <v>1602.3286000000001</v>
      </c>
    </row>
    <row r="237" spans="1:15" x14ac:dyDescent="0.15">
      <c r="A237" s="5">
        <v>44187</v>
      </c>
      <c r="B237">
        <v>9.4209999999999994</v>
      </c>
      <c r="C237">
        <v>6238.8</v>
      </c>
      <c r="D237">
        <v>4965</v>
      </c>
      <c r="F237">
        <f t="shared" si="9"/>
        <v>-4.4383387931945283E-3</v>
      </c>
      <c r="G237">
        <f t="shared" si="10"/>
        <v>-1.8253918297979479E-2</v>
      </c>
      <c r="H237">
        <f t="shared" si="11"/>
        <v>-1.5037295667354424E-2</v>
      </c>
      <c r="K237" s="7">
        <v>44187</v>
      </c>
      <c r="L237" s="8">
        <v>1.536</v>
      </c>
      <c r="M237" s="6"/>
      <c r="N237" s="7">
        <v>44187</v>
      </c>
      <c r="O237" s="8">
        <v>1564.2963</v>
      </c>
    </row>
    <row r="238" spans="1:15" x14ac:dyDescent="0.15">
      <c r="A238" s="5">
        <v>44188</v>
      </c>
      <c r="B238">
        <v>9.51</v>
      </c>
      <c r="C238">
        <v>6270.6</v>
      </c>
      <c r="D238">
        <v>5001.8</v>
      </c>
      <c r="F238">
        <f t="shared" si="9"/>
        <v>9.4469801507271432E-3</v>
      </c>
      <c r="G238">
        <f t="shared" si="10"/>
        <v>5.097134064243153E-3</v>
      </c>
      <c r="H238">
        <f t="shared" si="11"/>
        <v>7.4118831822759679E-3</v>
      </c>
      <c r="K238" s="7">
        <v>44188</v>
      </c>
      <c r="L238" s="8">
        <v>1.56</v>
      </c>
      <c r="M238" s="6"/>
      <c r="N238" s="7">
        <v>44188</v>
      </c>
      <c r="O238" s="8">
        <v>1583.0217</v>
      </c>
    </row>
    <row r="239" spans="1:15" x14ac:dyDescent="0.15">
      <c r="A239" s="5">
        <v>44189</v>
      </c>
      <c r="B239">
        <v>9.4920000000000009</v>
      </c>
      <c r="C239">
        <v>6191.2</v>
      </c>
      <c r="D239">
        <v>5002.6000000000004</v>
      </c>
      <c r="F239">
        <f t="shared" si="9"/>
        <v>-1.892744479495153E-3</v>
      </c>
      <c r="G239">
        <f t="shared" si="10"/>
        <v>-1.2662265173986626E-2</v>
      </c>
      <c r="H239">
        <f t="shared" si="11"/>
        <v>1.599424207285741E-4</v>
      </c>
      <c r="K239" s="7">
        <v>44189</v>
      </c>
      <c r="L239" s="8">
        <v>1.5489999999999999</v>
      </c>
      <c r="M239" s="6"/>
      <c r="N239" s="7">
        <v>44189</v>
      </c>
      <c r="O239" s="8">
        <v>1576.2611999999999</v>
      </c>
    </row>
    <row r="240" spans="1:15" x14ac:dyDescent="0.15">
      <c r="A240" s="5">
        <v>44190</v>
      </c>
      <c r="B240">
        <v>9.6999999999999993</v>
      </c>
      <c r="C240">
        <v>6262</v>
      </c>
      <c r="D240">
        <v>5043.3999999999996</v>
      </c>
      <c r="F240">
        <f t="shared" si="9"/>
        <v>2.1913190054782806E-2</v>
      </c>
      <c r="G240">
        <f t="shared" si="10"/>
        <v>1.1435585993022385E-2</v>
      </c>
      <c r="H240">
        <f t="shared" si="11"/>
        <v>8.1557590053170891E-3</v>
      </c>
      <c r="K240" s="7">
        <v>44190</v>
      </c>
      <c r="L240" s="8">
        <v>1.5629999999999999</v>
      </c>
      <c r="M240" s="6"/>
      <c r="N240" s="7">
        <v>44190</v>
      </c>
      <c r="O240" s="8">
        <v>1588.8833</v>
      </c>
    </row>
    <row r="241" spans="1:15" x14ac:dyDescent="0.15">
      <c r="A241" s="5">
        <v>44193</v>
      </c>
      <c r="B241">
        <v>9.6969999999999992</v>
      </c>
      <c r="C241">
        <v>6214.8</v>
      </c>
      <c r="D241">
        <v>5064.2</v>
      </c>
      <c r="F241">
        <f t="shared" si="9"/>
        <v>-3.0927835051547566E-4</v>
      </c>
      <c r="G241">
        <f t="shared" si="10"/>
        <v>-7.5375279463429923E-3</v>
      </c>
      <c r="H241">
        <f t="shared" si="11"/>
        <v>4.1242019272713214E-3</v>
      </c>
      <c r="K241" s="7">
        <v>44193</v>
      </c>
      <c r="L241" s="8">
        <v>1.5660000000000001</v>
      </c>
      <c r="M241" s="6"/>
      <c r="N241" s="7">
        <v>44193</v>
      </c>
      <c r="O241" s="8">
        <v>1590.0854999999999</v>
      </c>
    </row>
    <row r="242" spans="1:15" x14ac:dyDescent="0.15">
      <c r="A242" s="5">
        <v>44194</v>
      </c>
      <c r="B242">
        <v>9.5609999999999999</v>
      </c>
      <c r="C242">
        <v>6198.4</v>
      </c>
      <c r="D242">
        <v>5052.2</v>
      </c>
      <c r="F242">
        <f t="shared" si="9"/>
        <v>-1.4024956172011884E-2</v>
      </c>
      <c r="G242">
        <f t="shared" si="10"/>
        <v>-2.6388620711850011E-3</v>
      </c>
      <c r="H242">
        <f t="shared" si="11"/>
        <v>-2.3695746613482879E-3</v>
      </c>
      <c r="K242" s="7">
        <v>44194</v>
      </c>
      <c r="L242" s="8">
        <v>1.544</v>
      </c>
      <c r="M242" s="6"/>
      <c r="N242" s="7">
        <v>44194</v>
      </c>
      <c r="O242" s="8">
        <v>1569.1504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193"/>
  <sheetViews>
    <sheetView workbookViewId="0">
      <selection activeCell="R12" sqref="R12"/>
    </sheetView>
  </sheetViews>
  <sheetFormatPr defaultRowHeight="13.5" x14ac:dyDescent="0.15"/>
  <cols>
    <col min="1" max="1" width="11.5" customWidth="1"/>
    <col min="5" max="5" width="11.75" bestFit="1" customWidth="1"/>
    <col min="9" max="9" width="16.375" customWidth="1"/>
    <col min="10" max="10" width="16.5" customWidth="1"/>
    <col min="11" max="11" width="11.625" bestFit="1" customWidth="1"/>
    <col min="15" max="15" width="11.125" customWidth="1"/>
  </cols>
  <sheetData>
    <row r="1" spans="1:19" x14ac:dyDescent="0.15">
      <c r="C1" t="s">
        <v>19</v>
      </c>
      <c r="D1" t="s">
        <v>20</v>
      </c>
      <c r="O1" t="s">
        <v>21</v>
      </c>
      <c r="P1" t="s">
        <v>22</v>
      </c>
      <c r="Q1" t="s">
        <v>23</v>
      </c>
      <c r="S1" t="s">
        <v>24</v>
      </c>
    </row>
    <row r="2" spans="1:19" x14ac:dyDescent="0.15">
      <c r="A2" s="5">
        <v>43909</v>
      </c>
      <c r="B2">
        <v>5.13</v>
      </c>
      <c r="C2">
        <v>5147.3999999999996</v>
      </c>
      <c r="D2">
        <v>3584</v>
      </c>
      <c r="F2">
        <v>-1.3271783035199068E-2</v>
      </c>
      <c r="G2">
        <v>1.1793843613633684E-2</v>
      </c>
      <c r="H2">
        <v>-7.2022160664819944E-3</v>
      </c>
      <c r="K2" s="5">
        <v>43909</v>
      </c>
      <c r="M2">
        <v>1000</v>
      </c>
      <c r="O2">
        <f>STDEV(L27:L193)</f>
        <v>0.15385954555241024</v>
      </c>
      <c r="P2">
        <f>STDEV(D27:D193)</f>
        <v>397.13018388635589</v>
      </c>
      <c r="Q2">
        <f>CORREL(D27:D193,L27:L193)</f>
        <v>0.96597139371974028</v>
      </c>
      <c r="S2">
        <f>Q2*O2/P2</f>
        <v>3.7424483377188555E-4</v>
      </c>
    </row>
    <row r="3" spans="1:19" x14ac:dyDescent="0.15">
      <c r="A3" s="5">
        <v>43910</v>
      </c>
      <c r="B3">
        <v>5.3410000000000002</v>
      </c>
      <c r="C3">
        <v>5166.8</v>
      </c>
      <c r="D3">
        <v>3624</v>
      </c>
      <c r="F3">
        <v>4.1130604288499087E-2</v>
      </c>
      <c r="G3">
        <v>3.7688930333761796E-3</v>
      </c>
      <c r="H3">
        <v>1.1160714285714286E-2</v>
      </c>
      <c r="K3" s="5">
        <v>43910</v>
      </c>
      <c r="M3">
        <v>1011.948</v>
      </c>
    </row>
    <row r="4" spans="1:19" x14ac:dyDescent="0.15">
      <c r="A4" s="5">
        <v>43913</v>
      </c>
      <c r="B4">
        <v>5.1529999999999996</v>
      </c>
      <c r="C4">
        <v>4964.2</v>
      </c>
      <c r="D4">
        <v>3508.6</v>
      </c>
      <c r="F4">
        <v>-3.5199400861262047E-2</v>
      </c>
      <c r="G4">
        <v>-3.921189130603088E-2</v>
      </c>
      <c r="H4">
        <v>-3.1843267108167796E-2</v>
      </c>
      <c r="K4" s="5">
        <v>43913</v>
      </c>
      <c r="M4">
        <v>969.43849999999998</v>
      </c>
    </row>
    <row r="5" spans="1:19" x14ac:dyDescent="0.15">
      <c r="A5" s="5">
        <v>43914</v>
      </c>
      <c r="B5">
        <v>5.2779999999999996</v>
      </c>
      <c r="C5">
        <v>5030</v>
      </c>
      <c r="D5">
        <v>3598</v>
      </c>
      <c r="F5">
        <v>2.4257713953037066E-2</v>
      </c>
      <c r="G5">
        <v>1.3254905120663992E-2</v>
      </c>
      <c r="H5">
        <v>2.5480248532178104E-2</v>
      </c>
      <c r="K5" s="5">
        <v>43914</v>
      </c>
      <c r="M5">
        <v>998.14210000000003</v>
      </c>
    </row>
    <row r="6" spans="1:19" x14ac:dyDescent="0.15">
      <c r="A6" s="5">
        <v>43915</v>
      </c>
      <c r="B6">
        <v>5.4359999999999999</v>
      </c>
      <c r="C6">
        <v>5141.6000000000004</v>
      </c>
      <c r="D6">
        <v>3687.2</v>
      </c>
      <c r="F6">
        <v>2.993558165971966E-2</v>
      </c>
      <c r="G6">
        <v>2.2186878727634265E-2</v>
      </c>
      <c r="H6">
        <v>2.4791550861589722E-2</v>
      </c>
      <c r="K6" s="5">
        <v>43915</v>
      </c>
      <c r="M6">
        <v>1033.9259</v>
      </c>
    </row>
    <row r="7" spans="1:19" x14ac:dyDescent="0.15">
      <c r="A7" s="5">
        <v>43916</v>
      </c>
      <c r="B7">
        <v>5.4470000000000001</v>
      </c>
      <c r="C7">
        <v>5089</v>
      </c>
      <c r="D7">
        <v>3663.4</v>
      </c>
      <c r="F7">
        <v>2.0235467255335028E-3</v>
      </c>
      <c r="G7">
        <v>-1.0230278512525354E-2</v>
      </c>
      <c r="H7">
        <v>-6.4547624213494598E-3</v>
      </c>
      <c r="K7" s="5">
        <v>43916</v>
      </c>
      <c r="M7">
        <v>1027.4564</v>
      </c>
    </row>
    <row r="8" spans="1:19" x14ac:dyDescent="0.15">
      <c r="A8" s="5">
        <v>43917</v>
      </c>
      <c r="B8">
        <v>5.5010000000000003</v>
      </c>
      <c r="C8">
        <v>5053.6000000000004</v>
      </c>
      <c r="D8">
        <v>3680.2</v>
      </c>
      <c r="F8">
        <v>9.9137139709932574E-3</v>
      </c>
      <c r="G8">
        <v>-6.9561799960698835E-3</v>
      </c>
      <c r="H8">
        <v>4.5859038052082019E-3</v>
      </c>
      <c r="K8" s="5">
        <v>43917</v>
      </c>
      <c r="M8">
        <v>1015.6118</v>
      </c>
    </row>
    <row r="9" spans="1:19" x14ac:dyDescent="0.15">
      <c r="A9" s="5">
        <v>43920</v>
      </c>
      <c r="B9">
        <v>5.4180000000000001</v>
      </c>
      <c r="C9">
        <v>4975.2</v>
      </c>
      <c r="D9">
        <v>3662.8</v>
      </c>
      <c r="F9">
        <v>-1.5088165788038571E-2</v>
      </c>
      <c r="G9">
        <v>-1.5513693208801754E-2</v>
      </c>
      <c r="H9">
        <v>-4.7280039128307257E-3</v>
      </c>
      <c r="K9" s="5">
        <v>43920</v>
      </c>
      <c r="M9">
        <v>997.89480000000003</v>
      </c>
    </row>
    <row r="10" spans="1:19" x14ac:dyDescent="0.15">
      <c r="A10" s="5">
        <v>43921</v>
      </c>
      <c r="B10">
        <v>5.5170000000000003</v>
      </c>
      <c r="C10">
        <v>4958.8</v>
      </c>
      <c r="D10">
        <v>3652</v>
      </c>
      <c r="F10">
        <v>1.8272425249169472E-2</v>
      </c>
      <c r="G10">
        <v>-3.2963498954815158E-3</v>
      </c>
      <c r="H10">
        <v>-2.9485639401551221E-3</v>
      </c>
      <c r="K10" s="5">
        <v>43921</v>
      </c>
      <c r="M10">
        <v>1006.2093</v>
      </c>
    </row>
    <row r="11" spans="1:19" x14ac:dyDescent="0.15">
      <c r="A11" s="5">
        <v>43922</v>
      </c>
      <c r="B11">
        <v>5.45</v>
      </c>
      <c r="C11">
        <v>4950.3999999999996</v>
      </c>
      <c r="D11">
        <v>3648.2</v>
      </c>
      <c r="F11">
        <v>-1.2144281312307444E-2</v>
      </c>
      <c r="G11">
        <v>-1.6939582156974562E-3</v>
      </c>
      <c r="H11">
        <v>-1.0405257393209699E-3</v>
      </c>
      <c r="K11" s="5">
        <v>43922</v>
      </c>
      <c r="M11">
        <v>1002.4640000000001</v>
      </c>
    </row>
    <row r="12" spans="1:19" x14ac:dyDescent="0.15">
      <c r="A12" s="5">
        <v>43923</v>
      </c>
      <c r="B12">
        <v>5.5030000000000001</v>
      </c>
      <c r="C12">
        <v>5130.3999999999996</v>
      </c>
      <c r="D12">
        <v>3726.8</v>
      </c>
      <c r="F12">
        <v>9.7247706422018236E-3</v>
      </c>
      <c r="G12">
        <v>3.636069812540401E-2</v>
      </c>
      <c r="H12">
        <v>2.1544871443451664E-2</v>
      </c>
      <c r="K12" s="5">
        <v>43923</v>
      </c>
      <c r="M12">
        <v>1026.4192</v>
      </c>
    </row>
    <row r="13" spans="1:19" x14ac:dyDescent="0.15">
      <c r="A13" s="5">
        <v>43924</v>
      </c>
      <c r="B13">
        <v>5.5309999999999997</v>
      </c>
      <c r="C13">
        <v>5061.6000000000004</v>
      </c>
      <c r="D13">
        <v>3694.6</v>
      </c>
      <c r="F13">
        <v>5.0881337452297979E-3</v>
      </c>
      <c r="G13">
        <v>-1.3410260408545002E-2</v>
      </c>
      <c r="H13">
        <v>-8.640120210368217E-3</v>
      </c>
      <c r="K13" s="5">
        <v>43924</v>
      </c>
      <c r="M13">
        <v>1021.3787</v>
      </c>
    </row>
    <row r="14" spans="1:19" x14ac:dyDescent="0.15">
      <c r="A14" s="5">
        <v>43928</v>
      </c>
      <c r="B14">
        <v>5.6719999999999997</v>
      </c>
      <c r="C14">
        <v>5213</v>
      </c>
      <c r="D14">
        <v>3775.6</v>
      </c>
      <c r="F14">
        <v>2.5492677635147357E-2</v>
      </c>
      <c r="G14">
        <v>2.9911490437806155E-2</v>
      </c>
      <c r="H14">
        <v>2.1923888918962811E-2</v>
      </c>
      <c r="K14" s="5">
        <v>43928</v>
      </c>
      <c r="M14">
        <v>1056.8361</v>
      </c>
    </row>
    <row r="15" spans="1:19" x14ac:dyDescent="0.15">
      <c r="A15" s="5">
        <v>43929</v>
      </c>
      <c r="B15">
        <v>5.641</v>
      </c>
      <c r="C15">
        <v>5229.2</v>
      </c>
      <c r="D15">
        <v>3764.8</v>
      </c>
      <c r="F15">
        <v>-5.4654442877291425E-3</v>
      </c>
      <c r="G15">
        <v>3.1076155764434717E-3</v>
      </c>
      <c r="H15">
        <v>-2.8604725076808264E-3</v>
      </c>
      <c r="K15" s="5">
        <v>43929</v>
      </c>
      <c r="M15">
        <v>1054.0519999999999</v>
      </c>
    </row>
    <row r="16" spans="1:19" x14ac:dyDescent="0.15">
      <c r="A16" s="5">
        <v>43930</v>
      </c>
      <c r="B16">
        <v>5.7240000000000002</v>
      </c>
      <c r="C16">
        <v>5273.2</v>
      </c>
      <c r="D16">
        <v>3779.6</v>
      </c>
      <c r="F16">
        <v>1.4713703244105687E-2</v>
      </c>
      <c r="G16">
        <v>8.4142889925801281E-3</v>
      </c>
      <c r="H16">
        <v>3.9311517212068971E-3</v>
      </c>
      <c r="K16" s="5">
        <v>43930</v>
      </c>
      <c r="M16">
        <v>1071.9659999999999</v>
      </c>
    </row>
    <row r="17" spans="1:13" x14ac:dyDescent="0.15">
      <c r="A17" s="5">
        <v>43931</v>
      </c>
      <c r="B17">
        <v>5.7089999999999996</v>
      </c>
      <c r="C17">
        <v>5195.8</v>
      </c>
      <c r="D17">
        <v>3763.2</v>
      </c>
      <c r="F17">
        <v>-2.6205450733753611E-3</v>
      </c>
      <c r="G17">
        <v>-1.4677994386710089E-2</v>
      </c>
      <c r="H17">
        <v>-4.3390835008995906E-3</v>
      </c>
      <c r="K17" s="5">
        <v>43931</v>
      </c>
      <c r="M17">
        <v>1052.3758</v>
      </c>
    </row>
    <row r="18" spans="1:13" x14ac:dyDescent="0.15">
      <c r="A18" s="5">
        <v>43934</v>
      </c>
      <c r="B18">
        <v>5.6680000000000001</v>
      </c>
      <c r="C18">
        <v>5139.8</v>
      </c>
      <c r="D18">
        <v>3745</v>
      </c>
      <c r="F18">
        <v>-7.181643019793218E-3</v>
      </c>
      <c r="G18">
        <v>-1.0777936025251164E-2</v>
      </c>
      <c r="H18">
        <v>-4.8363095238094754E-3</v>
      </c>
      <c r="K18" s="5">
        <v>43934</v>
      </c>
      <c r="M18">
        <v>1038.9819</v>
      </c>
    </row>
    <row r="19" spans="1:13" x14ac:dyDescent="0.15">
      <c r="A19" s="5">
        <v>43935</v>
      </c>
      <c r="B19">
        <v>5.76</v>
      </c>
      <c r="C19">
        <v>5262</v>
      </c>
      <c r="D19">
        <v>3812</v>
      </c>
      <c r="F19">
        <v>1.6231474947071212E-2</v>
      </c>
      <c r="G19">
        <v>2.3775244172924981E-2</v>
      </c>
      <c r="H19">
        <v>1.7890520694259011E-2</v>
      </c>
      <c r="K19" s="5">
        <v>43935</v>
      </c>
      <c r="M19">
        <v>1069.7682</v>
      </c>
    </row>
    <row r="20" spans="1:13" x14ac:dyDescent="0.15">
      <c r="A20" s="5">
        <v>43936</v>
      </c>
      <c r="B20">
        <v>5.7080000000000002</v>
      </c>
      <c r="C20">
        <v>5251.4</v>
      </c>
      <c r="D20">
        <v>3789.4</v>
      </c>
      <c r="F20">
        <v>-9.0277777777777093E-3</v>
      </c>
      <c r="G20">
        <v>-2.014443177499119E-3</v>
      </c>
      <c r="H20">
        <v>-5.9286463798530718E-3</v>
      </c>
      <c r="K20" s="5">
        <v>43936</v>
      </c>
      <c r="M20">
        <v>1063.2488000000001</v>
      </c>
    </row>
    <row r="21" spans="1:13" x14ac:dyDescent="0.15">
      <c r="A21" s="5">
        <v>43937</v>
      </c>
      <c r="B21">
        <v>5.7190000000000003</v>
      </c>
      <c r="C21">
        <v>5308.4</v>
      </c>
      <c r="D21">
        <v>3796.8</v>
      </c>
      <c r="F21">
        <v>1.9271198318150176E-3</v>
      </c>
      <c r="G21">
        <v>1.0854248390905282E-2</v>
      </c>
      <c r="H21">
        <v>1.9528157491951472E-3</v>
      </c>
      <c r="K21" s="5">
        <v>43937</v>
      </c>
      <c r="M21">
        <v>1074.0908999999999</v>
      </c>
    </row>
    <row r="22" spans="1:13" x14ac:dyDescent="0.15">
      <c r="A22" s="5">
        <v>43938</v>
      </c>
      <c r="B22">
        <v>5.742</v>
      </c>
      <c r="C22">
        <v>5251.8</v>
      </c>
      <c r="D22">
        <v>3796.6</v>
      </c>
      <c r="F22">
        <v>4.0216821122573332E-3</v>
      </c>
      <c r="G22">
        <v>-1.0662346469745961E-2</v>
      </c>
      <c r="H22">
        <v>-5.2675937631761702E-5</v>
      </c>
      <c r="K22" s="5">
        <v>43938</v>
      </c>
      <c r="M22">
        <v>1083.4002</v>
      </c>
    </row>
    <row r="23" spans="1:13" x14ac:dyDescent="0.15">
      <c r="A23" s="5">
        <v>43941</v>
      </c>
      <c r="B23">
        <v>5.7850000000000001</v>
      </c>
      <c r="C23">
        <v>5295.2</v>
      </c>
      <c r="D23">
        <v>3807.4</v>
      </c>
      <c r="F23">
        <v>7.4886799024730319E-3</v>
      </c>
      <c r="G23">
        <v>8.2638333523743536E-3</v>
      </c>
      <c r="H23">
        <v>2.8446504767423962E-3</v>
      </c>
      <c r="K23" s="5">
        <v>43941</v>
      </c>
      <c r="M23">
        <v>1091.6061</v>
      </c>
    </row>
    <row r="24" spans="1:13" x14ac:dyDescent="0.15">
      <c r="A24" s="5">
        <v>43942</v>
      </c>
      <c r="B24">
        <v>5.718</v>
      </c>
      <c r="C24">
        <v>5255.8</v>
      </c>
      <c r="D24">
        <v>3762.4</v>
      </c>
      <c r="F24">
        <v>-1.1581676750216105E-2</v>
      </c>
      <c r="G24">
        <v>-7.4407010122374299E-3</v>
      </c>
      <c r="H24">
        <v>-1.1819089142196775E-2</v>
      </c>
      <c r="K24" s="5">
        <v>43942</v>
      </c>
      <c r="M24">
        <v>1079.8943999999999</v>
      </c>
    </row>
    <row r="25" spans="1:13" x14ac:dyDescent="0.15">
      <c r="A25" s="5">
        <v>43943</v>
      </c>
      <c r="B25">
        <v>5.8179999999999996</v>
      </c>
      <c r="C25">
        <v>5319</v>
      </c>
      <c r="D25">
        <v>3801.6</v>
      </c>
      <c r="F25">
        <v>1.7488632388947122E-2</v>
      </c>
      <c r="G25">
        <v>1.2024810685338068E-2</v>
      </c>
      <c r="H25">
        <v>1.0418881564958489E-2</v>
      </c>
      <c r="K25" s="5">
        <v>43943</v>
      </c>
      <c r="M25">
        <v>1091.4222</v>
      </c>
    </row>
    <row r="26" spans="1:13" x14ac:dyDescent="0.15">
      <c r="A26" s="5">
        <v>43944</v>
      </c>
      <c r="B26">
        <v>5.8239999999999998</v>
      </c>
      <c r="C26">
        <v>5282.6</v>
      </c>
      <c r="D26">
        <v>3788.8</v>
      </c>
      <c r="F26">
        <v>1.0312822275696507E-3</v>
      </c>
      <c r="G26">
        <v>-6.8433916149651507E-3</v>
      </c>
      <c r="H26">
        <v>-3.3670033670032953E-3</v>
      </c>
      <c r="K26" s="5">
        <v>43944</v>
      </c>
      <c r="M26">
        <v>1082.9885999999999</v>
      </c>
    </row>
    <row r="27" spans="1:13" x14ac:dyDescent="0.15">
      <c r="A27" s="5">
        <v>43945</v>
      </c>
      <c r="B27">
        <v>5.7880000000000003</v>
      </c>
      <c r="C27">
        <v>5216.2</v>
      </c>
      <c r="D27">
        <v>3775</v>
      </c>
      <c r="F27">
        <v>-6.1813186813186108E-3</v>
      </c>
      <c r="G27">
        <v>-1.2569568015749922E-2</v>
      </c>
      <c r="H27">
        <v>-3.642314189189237E-3</v>
      </c>
      <c r="K27" s="5">
        <v>43945</v>
      </c>
      <c r="L27">
        <v>1.0309999999999999</v>
      </c>
      <c r="M27">
        <v>1074.3398999999999</v>
      </c>
    </row>
    <row r="28" spans="1:13" x14ac:dyDescent="0.15">
      <c r="A28" s="5">
        <v>43948</v>
      </c>
      <c r="B28">
        <v>5.83</v>
      </c>
      <c r="C28">
        <v>5202.8</v>
      </c>
      <c r="D28">
        <v>3795.2</v>
      </c>
      <c r="F28">
        <v>7.2563925362819307E-3</v>
      </c>
      <c r="G28">
        <v>-2.5689199033778684E-3</v>
      </c>
      <c r="H28">
        <v>5.3509933774833953E-3</v>
      </c>
      <c r="K28" s="5">
        <v>43948</v>
      </c>
      <c r="L28">
        <v>1.0409999999999999</v>
      </c>
      <c r="M28">
        <v>1084.5685000000001</v>
      </c>
    </row>
    <row r="29" spans="1:13" x14ac:dyDescent="0.15">
      <c r="A29" s="5">
        <v>43949</v>
      </c>
      <c r="B29">
        <v>5.8739999999999997</v>
      </c>
      <c r="C29">
        <v>5162.2</v>
      </c>
      <c r="D29">
        <v>3816.8</v>
      </c>
      <c r="F29">
        <v>7.5471698113206854E-3</v>
      </c>
      <c r="G29">
        <v>-7.8034904282310224E-3</v>
      </c>
      <c r="H29">
        <v>5.691399662731968E-3</v>
      </c>
      <c r="K29" s="5">
        <v>43949</v>
      </c>
      <c r="L29">
        <v>1.05</v>
      </c>
      <c r="M29">
        <v>1093.9045000000001</v>
      </c>
    </row>
    <row r="30" spans="1:13" x14ac:dyDescent="0.15">
      <c r="A30" s="5">
        <v>43950</v>
      </c>
      <c r="B30">
        <v>5.8150000000000004</v>
      </c>
      <c r="C30">
        <v>5188.2</v>
      </c>
      <c r="D30">
        <v>3838.4</v>
      </c>
      <c r="F30">
        <v>-1.0044262853251494E-2</v>
      </c>
      <c r="G30">
        <v>5.0366122970826391E-3</v>
      </c>
      <c r="H30">
        <v>5.6591909452944631E-3</v>
      </c>
      <c r="K30" s="5">
        <v>43950</v>
      </c>
      <c r="L30">
        <v>1.0469999999999999</v>
      </c>
      <c r="M30">
        <v>1091.3424</v>
      </c>
    </row>
    <row r="31" spans="1:13" x14ac:dyDescent="0.15">
      <c r="A31" s="5">
        <v>43951</v>
      </c>
      <c r="B31">
        <v>5.8410000000000002</v>
      </c>
      <c r="C31">
        <v>5332</v>
      </c>
      <c r="D31">
        <v>3904.6</v>
      </c>
      <c r="F31">
        <v>4.4711951848666895E-3</v>
      </c>
      <c r="G31">
        <v>2.7716741837246095E-2</v>
      </c>
      <c r="H31">
        <v>1.7246769487286321E-2</v>
      </c>
      <c r="K31" s="5">
        <v>43951</v>
      </c>
      <c r="L31">
        <v>1.0649999999999999</v>
      </c>
      <c r="M31">
        <v>1110.2817</v>
      </c>
    </row>
    <row r="32" spans="1:13" x14ac:dyDescent="0.15">
      <c r="A32" s="5">
        <v>43957</v>
      </c>
      <c r="B32">
        <v>5.8940000000000001</v>
      </c>
      <c r="C32">
        <v>5413.6</v>
      </c>
      <c r="D32">
        <v>3916.4</v>
      </c>
      <c r="F32">
        <v>9.0737887348056722E-3</v>
      </c>
      <c r="G32">
        <v>1.530382595648919E-2</v>
      </c>
      <c r="H32">
        <v>3.022076525124259E-3</v>
      </c>
      <c r="K32" s="5">
        <v>43957</v>
      </c>
      <c r="L32">
        <v>1.0840000000000001</v>
      </c>
      <c r="M32">
        <v>1130.5274999999999</v>
      </c>
    </row>
    <row r="33" spans="1:13" x14ac:dyDescent="0.15">
      <c r="A33" s="5">
        <v>43958</v>
      </c>
      <c r="B33">
        <v>5.9329999999999998</v>
      </c>
      <c r="C33">
        <v>5402.6</v>
      </c>
      <c r="D33">
        <v>3908.6</v>
      </c>
      <c r="F33">
        <v>6.6168985408889885E-3</v>
      </c>
      <c r="G33">
        <v>-2.0319196098714347E-3</v>
      </c>
      <c r="H33">
        <v>-1.9916249616995663E-3</v>
      </c>
      <c r="K33" s="5">
        <v>43958</v>
      </c>
      <c r="L33">
        <v>1.079</v>
      </c>
      <c r="M33">
        <v>1128.1061</v>
      </c>
    </row>
    <row r="34" spans="1:13" x14ac:dyDescent="0.15">
      <c r="A34" s="5">
        <v>43959</v>
      </c>
      <c r="B34">
        <v>6.01</v>
      </c>
      <c r="C34">
        <v>5479.8</v>
      </c>
      <c r="D34">
        <v>3949</v>
      </c>
      <c r="F34">
        <v>1.2978257205460975E-2</v>
      </c>
      <c r="G34">
        <v>1.4289416207011404E-2</v>
      </c>
      <c r="H34">
        <v>1.0336181753057384E-2</v>
      </c>
      <c r="K34" s="5">
        <v>43959</v>
      </c>
      <c r="L34">
        <v>1.089</v>
      </c>
      <c r="M34">
        <v>1136.1934000000001</v>
      </c>
    </row>
    <row r="35" spans="1:13" x14ac:dyDescent="0.15">
      <c r="A35" s="5">
        <v>43962</v>
      </c>
      <c r="B35">
        <v>5.9610000000000003</v>
      </c>
      <c r="C35">
        <v>5468.2</v>
      </c>
      <c r="D35">
        <v>3947</v>
      </c>
      <c r="F35">
        <v>-8.1530782029949241E-3</v>
      </c>
      <c r="G35">
        <v>-2.1168655790357975E-3</v>
      </c>
      <c r="H35">
        <v>-5.0645733096986575E-4</v>
      </c>
      <c r="K35" s="5">
        <v>43962</v>
      </c>
      <c r="L35">
        <v>1.0740000000000001</v>
      </c>
      <c r="M35">
        <v>1120.5035</v>
      </c>
    </row>
    <row r="36" spans="1:13" x14ac:dyDescent="0.15">
      <c r="A36" s="5">
        <v>43963</v>
      </c>
      <c r="B36">
        <v>6.0170000000000003</v>
      </c>
      <c r="C36">
        <v>5486</v>
      </c>
      <c r="D36">
        <v>3948</v>
      </c>
      <c r="F36">
        <v>9.3943969132695929E-3</v>
      </c>
      <c r="G36">
        <v>3.2551845214147585E-3</v>
      </c>
      <c r="H36">
        <v>2.533569799847986E-4</v>
      </c>
      <c r="K36" s="5">
        <v>43963</v>
      </c>
      <c r="L36">
        <v>1.0840000000000001</v>
      </c>
      <c r="M36">
        <v>1131.5447999999999</v>
      </c>
    </row>
    <row r="37" spans="1:13" x14ac:dyDescent="0.15">
      <c r="A37" s="5">
        <v>43964</v>
      </c>
      <c r="B37">
        <v>6.0549999999999997</v>
      </c>
      <c r="C37">
        <v>5519</v>
      </c>
      <c r="D37">
        <v>3958.8</v>
      </c>
      <c r="F37">
        <v>6.3154395878343636E-3</v>
      </c>
      <c r="G37">
        <v>6.0153117025154943E-3</v>
      </c>
      <c r="H37">
        <v>2.7355623100304414E-3</v>
      </c>
      <c r="K37" s="5">
        <v>43964</v>
      </c>
      <c r="L37">
        <v>1.093</v>
      </c>
      <c r="M37">
        <v>1142.2996000000001</v>
      </c>
    </row>
    <row r="38" spans="1:13" x14ac:dyDescent="0.15">
      <c r="A38" s="5">
        <v>43965</v>
      </c>
      <c r="B38">
        <v>6.0460000000000003</v>
      </c>
      <c r="C38">
        <v>5490.4</v>
      </c>
      <c r="D38">
        <v>3928</v>
      </c>
      <c r="F38">
        <v>-1.4863748967794308E-3</v>
      </c>
      <c r="G38">
        <v>-5.1820982061968404E-3</v>
      </c>
      <c r="H38">
        <v>-7.7801353945640547E-3</v>
      </c>
      <c r="K38" s="5">
        <v>43965</v>
      </c>
      <c r="L38">
        <v>1.083</v>
      </c>
      <c r="M38">
        <v>1129.7493999999999</v>
      </c>
    </row>
    <row r="39" spans="1:13" x14ac:dyDescent="0.15">
      <c r="A39" s="5">
        <v>43966</v>
      </c>
      <c r="B39">
        <v>5.9539999999999997</v>
      </c>
      <c r="C39">
        <v>5404.6</v>
      </c>
      <c r="D39">
        <v>3861</v>
      </c>
      <c r="F39">
        <v>-1.5216672179953775E-2</v>
      </c>
      <c r="G39">
        <v>-1.562727670115097E-2</v>
      </c>
      <c r="H39">
        <v>-1.7057026476578412E-2</v>
      </c>
      <c r="K39" s="5">
        <v>43966</v>
      </c>
      <c r="L39">
        <v>1.085</v>
      </c>
      <c r="M39">
        <v>1131.4282000000001</v>
      </c>
    </row>
    <row r="40" spans="1:13" x14ac:dyDescent="0.15">
      <c r="A40" s="5">
        <v>43969</v>
      </c>
      <c r="B40">
        <v>6.0590000000000002</v>
      </c>
      <c r="C40">
        <v>5389.4</v>
      </c>
      <c r="D40">
        <v>3881.4</v>
      </c>
      <c r="F40">
        <v>1.7635203224722947E-2</v>
      </c>
      <c r="G40">
        <v>-2.8124190504386498E-3</v>
      </c>
      <c r="H40">
        <v>5.283605283605307E-3</v>
      </c>
      <c r="K40" s="5">
        <v>43969</v>
      </c>
      <c r="L40">
        <v>1.0840000000000001</v>
      </c>
      <c r="M40">
        <v>1130.6445000000001</v>
      </c>
    </row>
    <row r="41" spans="1:13" x14ac:dyDescent="0.15">
      <c r="A41" s="5">
        <v>43970</v>
      </c>
      <c r="B41">
        <v>6.0860000000000003</v>
      </c>
      <c r="C41">
        <v>5454.2</v>
      </c>
      <c r="D41">
        <v>3911.8</v>
      </c>
      <c r="F41">
        <v>4.4561808879353248E-3</v>
      </c>
      <c r="G41">
        <v>1.2023601885182058E-2</v>
      </c>
      <c r="H41">
        <v>7.832225485649531E-3</v>
      </c>
      <c r="K41" s="5">
        <v>43970</v>
      </c>
      <c r="L41">
        <v>1.097</v>
      </c>
      <c r="M41">
        <v>1144.8249000000001</v>
      </c>
    </row>
    <row r="42" spans="1:13" x14ac:dyDescent="0.15">
      <c r="A42" s="5">
        <v>43971</v>
      </c>
      <c r="B42">
        <v>6.05</v>
      </c>
      <c r="C42">
        <v>5410.2</v>
      </c>
      <c r="D42">
        <v>3898.6</v>
      </c>
      <c r="F42">
        <v>-5.9152152481104954E-3</v>
      </c>
      <c r="G42">
        <v>-8.0671775879139016E-3</v>
      </c>
      <c r="H42">
        <v>-3.3744056444604204E-3</v>
      </c>
      <c r="K42" s="5">
        <v>43971</v>
      </c>
      <c r="L42">
        <v>1.089</v>
      </c>
      <c r="M42">
        <v>1133.5808</v>
      </c>
    </row>
    <row r="43" spans="1:13" x14ac:dyDescent="0.15">
      <c r="A43" s="5">
        <v>43972</v>
      </c>
      <c r="B43">
        <v>6.0590000000000002</v>
      </c>
      <c r="C43">
        <v>5343.2</v>
      </c>
      <c r="D43">
        <v>3870.2</v>
      </c>
      <c r="F43">
        <v>1.4876033057851805E-3</v>
      </c>
      <c r="G43">
        <v>-1.2384015378359396E-2</v>
      </c>
      <c r="H43">
        <v>-7.2846662904632667E-3</v>
      </c>
      <c r="K43" s="5">
        <v>43972</v>
      </c>
      <c r="L43">
        <v>1.079</v>
      </c>
      <c r="M43">
        <v>1124.4927</v>
      </c>
    </row>
    <row r="44" spans="1:13" x14ac:dyDescent="0.15">
      <c r="A44" s="5">
        <v>43973</v>
      </c>
      <c r="B44">
        <v>5.9320000000000004</v>
      </c>
      <c r="C44">
        <v>5267.8</v>
      </c>
      <c r="D44">
        <v>3783</v>
      </c>
      <c r="F44">
        <v>-2.0960554546954908E-2</v>
      </c>
      <c r="G44">
        <v>-1.4111393921245628E-2</v>
      </c>
      <c r="H44">
        <v>-2.2531135341842753E-2</v>
      </c>
      <c r="K44" s="5">
        <v>43973</v>
      </c>
      <c r="L44">
        <v>1.052</v>
      </c>
      <c r="M44">
        <v>1094.9306999999999</v>
      </c>
    </row>
    <row r="45" spans="1:13" x14ac:dyDescent="0.15">
      <c r="A45" s="5">
        <v>43976</v>
      </c>
      <c r="B45">
        <v>5.9939999999999998</v>
      </c>
      <c r="C45">
        <v>5254.6</v>
      </c>
      <c r="D45">
        <v>3792.6</v>
      </c>
      <c r="F45">
        <v>1.0451786918408527E-2</v>
      </c>
      <c r="G45">
        <v>-2.5057898933140625E-3</v>
      </c>
      <c r="H45">
        <v>2.5376685170499362E-3</v>
      </c>
      <c r="K45" s="5">
        <v>43976</v>
      </c>
      <c r="L45">
        <v>1.0569999999999999</v>
      </c>
      <c r="M45">
        <v>1100.1335999999999</v>
      </c>
    </row>
    <row r="46" spans="1:13" x14ac:dyDescent="0.15">
      <c r="A46" s="5">
        <v>43977</v>
      </c>
      <c r="B46">
        <v>6.0789999999999997</v>
      </c>
      <c r="C46">
        <v>5343.6</v>
      </c>
      <c r="D46">
        <v>3828.8</v>
      </c>
      <c r="F46">
        <v>1.4180847514180842E-2</v>
      </c>
      <c r="G46">
        <v>1.6937540440756668E-2</v>
      </c>
      <c r="H46">
        <v>9.5449032326109465E-3</v>
      </c>
      <c r="K46" s="5">
        <v>43977</v>
      </c>
      <c r="L46">
        <v>1.0840000000000001</v>
      </c>
      <c r="M46">
        <v>1129.3489</v>
      </c>
    </row>
    <row r="47" spans="1:13" x14ac:dyDescent="0.15">
      <c r="A47" s="5">
        <v>43978</v>
      </c>
      <c r="B47">
        <v>6.0350000000000001</v>
      </c>
      <c r="C47">
        <v>5301.4</v>
      </c>
      <c r="D47">
        <v>3811.2</v>
      </c>
      <c r="F47">
        <v>-7.2380325711465035E-3</v>
      </c>
      <c r="G47">
        <v>-7.8972977019239315E-3</v>
      </c>
      <c r="H47">
        <v>-4.5967404931049841E-3</v>
      </c>
      <c r="K47" s="5">
        <v>43978</v>
      </c>
      <c r="L47">
        <v>1.0660000000000001</v>
      </c>
      <c r="M47">
        <v>1107.6588999999999</v>
      </c>
    </row>
    <row r="48" spans="1:13" x14ac:dyDescent="0.15">
      <c r="A48" s="5">
        <v>43979</v>
      </c>
      <c r="B48">
        <v>5.9950000000000001</v>
      </c>
      <c r="C48">
        <v>5282.6</v>
      </c>
      <c r="D48">
        <v>3815.8</v>
      </c>
      <c r="F48">
        <v>-6.6280033140016627E-3</v>
      </c>
      <c r="G48">
        <v>-3.5462330705095398E-3</v>
      </c>
      <c r="H48">
        <v>1.2069689336692811E-3</v>
      </c>
      <c r="K48" s="5">
        <v>43979</v>
      </c>
      <c r="L48">
        <v>1.0569999999999999</v>
      </c>
      <c r="M48">
        <v>1098.8794</v>
      </c>
    </row>
    <row r="49" spans="1:13" x14ac:dyDescent="0.15">
      <c r="A49" s="5">
        <v>43980</v>
      </c>
      <c r="B49">
        <v>6.0919999999999996</v>
      </c>
      <c r="C49">
        <v>5318.8</v>
      </c>
      <c r="D49">
        <v>3820</v>
      </c>
      <c r="F49">
        <v>1.6180150125104174E-2</v>
      </c>
      <c r="G49">
        <v>6.8526861772611625E-3</v>
      </c>
      <c r="H49">
        <v>1.1006866187954867E-3</v>
      </c>
      <c r="K49" s="5">
        <v>43980</v>
      </c>
      <c r="L49">
        <v>1.07</v>
      </c>
      <c r="M49">
        <v>1115.4576999999999</v>
      </c>
    </row>
    <row r="50" spans="1:13" x14ac:dyDescent="0.15">
      <c r="A50" s="5">
        <v>43983</v>
      </c>
      <c r="B50">
        <v>6.2249999999999996</v>
      </c>
      <c r="C50">
        <v>5524.2</v>
      </c>
      <c r="D50">
        <v>3938.8</v>
      </c>
      <c r="F50">
        <v>2.1831910702560738E-2</v>
      </c>
      <c r="G50">
        <v>3.8617733323305939E-2</v>
      </c>
      <c r="H50">
        <v>3.1099476439790625E-2</v>
      </c>
      <c r="K50" s="5">
        <v>43983</v>
      </c>
      <c r="L50">
        <v>1.1060000000000001</v>
      </c>
      <c r="M50">
        <v>1149.787</v>
      </c>
    </row>
    <row r="51" spans="1:13" x14ac:dyDescent="0.15">
      <c r="A51" s="5">
        <v>43984</v>
      </c>
      <c r="B51">
        <v>6.1749999999999998</v>
      </c>
      <c r="C51">
        <v>5523</v>
      </c>
      <c r="D51">
        <v>3955</v>
      </c>
      <c r="F51">
        <v>-8.0321285140561964E-3</v>
      </c>
      <c r="G51">
        <v>-2.1722602367760366E-4</v>
      </c>
      <c r="H51">
        <v>4.1129277952675477E-3</v>
      </c>
      <c r="K51" s="5">
        <v>43984</v>
      </c>
      <c r="L51">
        <v>1.099</v>
      </c>
      <c r="M51">
        <v>1142.2141999999999</v>
      </c>
    </row>
    <row r="52" spans="1:13" x14ac:dyDescent="0.15">
      <c r="A52" s="5">
        <v>43985</v>
      </c>
      <c r="B52">
        <v>6.1980000000000004</v>
      </c>
      <c r="C52">
        <v>5512</v>
      </c>
      <c r="D52">
        <v>3951</v>
      </c>
      <c r="F52">
        <v>3.7246963562753968E-3</v>
      </c>
      <c r="G52">
        <v>-1.991671193192106E-3</v>
      </c>
      <c r="H52">
        <v>-1.011378002528445E-3</v>
      </c>
      <c r="K52" s="5">
        <v>43985</v>
      </c>
      <c r="L52">
        <v>1.095</v>
      </c>
      <c r="M52">
        <v>1139.1611</v>
      </c>
    </row>
    <row r="53" spans="1:13" x14ac:dyDescent="0.15">
      <c r="A53" s="5">
        <v>43986</v>
      </c>
      <c r="B53">
        <v>6.2270000000000003</v>
      </c>
      <c r="C53">
        <v>5517.4</v>
      </c>
      <c r="D53">
        <v>3952</v>
      </c>
      <c r="F53">
        <v>4.6789286866731061E-3</v>
      </c>
      <c r="G53">
        <v>9.796806966617627E-4</v>
      </c>
      <c r="H53">
        <v>2.531004808909137E-4</v>
      </c>
      <c r="K53" s="5">
        <v>43986</v>
      </c>
      <c r="L53">
        <v>1.097</v>
      </c>
      <c r="M53">
        <v>1143.1204</v>
      </c>
    </row>
    <row r="54" spans="1:13" x14ac:dyDescent="0.15">
      <c r="A54" s="5">
        <v>43987</v>
      </c>
      <c r="B54">
        <v>6.2679999999999998</v>
      </c>
      <c r="C54">
        <v>5541</v>
      </c>
      <c r="D54">
        <v>3979</v>
      </c>
      <c r="F54">
        <v>6.5842299662758116E-3</v>
      </c>
      <c r="G54">
        <v>4.2773770254105857E-3</v>
      </c>
      <c r="H54">
        <v>6.8319838056680165E-3</v>
      </c>
      <c r="K54" s="5">
        <v>43987</v>
      </c>
      <c r="L54">
        <v>1.1060000000000001</v>
      </c>
      <c r="M54">
        <v>1151.3459</v>
      </c>
    </row>
    <row r="55" spans="1:13" x14ac:dyDescent="0.15">
      <c r="A55" s="5">
        <v>43990</v>
      </c>
      <c r="B55">
        <v>6.2750000000000004</v>
      </c>
      <c r="C55">
        <v>5522.2</v>
      </c>
      <c r="D55">
        <v>3991.4</v>
      </c>
      <c r="F55">
        <v>1.1167836630505044E-3</v>
      </c>
      <c r="G55">
        <v>-3.3928893701498253E-3</v>
      </c>
      <c r="H55">
        <v>3.116360894697183E-3</v>
      </c>
      <c r="K55" s="5">
        <v>43990</v>
      </c>
      <c r="L55">
        <v>1.099</v>
      </c>
      <c r="M55">
        <v>1143.1298999999999</v>
      </c>
    </row>
    <row r="56" spans="1:13" x14ac:dyDescent="0.15">
      <c r="A56" s="5">
        <v>43991</v>
      </c>
      <c r="B56">
        <v>6.4130000000000003</v>
      </c>
      <c r="C56">
        <v>5559.2</v>
      </c>
      <c r="D56">
        <v>4014.8</v>
      </c>
      <c r="F56">
        <v>2.1992031872509941E-2</v>
      </c>
      <c r="G56">
        <v>6.7002281699322739E-3</v>
      </c>
      <c r="H56">
        <v>5.8626045998897858E-3</v>
      </c>
      <c r="K56" s="5">
        <v>43991</v>
      </c>
      <c r="L56">
        <v>1.111</v>
      </c>
      <c r="M56">
        <v>1158.3912</v>
      </c>
    </row>
    <row r="57" spans="1:13" x14ac:dyDescent="0.15">
      <c r="A57" s="5">
        <v>43992</v>
      </c>
      <c r="B57">
        <v>6.4</v>
      </c>
      <c r="C57">
        <v>5563.4</v>
      </c>
      <c r="D57">
        <v>4013.8</v>
      </c>
      <c r="F57">
        <v>-2.0271323873382037E-3</v>
      </c>
      <c r="G57">
        <v>7.5550438912070413E-4</v>
      </c>
      <c r="H57">
        <v>-2.490784098834313E-4</v>
      </c>
      <c r="K57" s="5">
        <v>43992</v>
      </c>
      <c r="L57">
        <v>1.1259999999999999</v>
      </c>
      <c r="M57">
        <v>1171.3447000000001</v>
      </c>
    </row>
    <row r="58" spans="1:13" x14ac:dyDescent="0.15">
      <c r="A58" s="5">
        <v>43993</v>
      </c>
      <c r="B58">
        <v>6.3479999999999999</v>
      </c>
      <c r="C58">
        <v>5556.6</v>
      </c>
      <c r="D58">
        <v>3965</v>
      </c>
      <c r="F58">
        <v>-8.1250000000000766E-3</v>
      </c>
      <c r="G58">
        <v>-1.22227414890162E-3</v>
      </c>
      <c r="H58">
        <v>-1.2158054711246246E-2</v>
      </c>
      <c r="K58" s="5">
        <v>43993</v>
      </c>
      <c r="L58">
        <v>1.123</v>
      </c>
      <c r="M58">
        <v>1163.8209999999999</v>
      </c>
    </row>
    <row r="59" spans="1:13" x14ac:dyDescent="0.15">
      <c r="A59" s="5">
        <v>43994</v>
      </c>
      <c r="B59">
        <v>6.407</v>
      </c>
      <c r="C59">
        <v>5578.2</v>
      </c>
      <c r="D59">
        <v>3986.2</v>
      </c>
      <c r="F59">
        <v>9.2942659105230245E-3</v>
      </c>
      <c r="G59">
        <v>3.8872691933915437E-3</v>
      </c>
      <c r="H59">
        <v>5.3467843631777598E-3</v>
      </c>
      <c r="K59" s="5">
        <v>43994</v>
      </c>
      <c r="L59">
        <v>1.1259999999999999</v>
      </c>
      <c r="M59">
        <v>1165.3110999999999</v>
      </c>
    </row>
    <row r="60" spans="1:13" x14ac:dyDescent="0.15">
      <c r="A60" s="5">
        <v>43997</v>
      </c>
      <c r="B60">
        <v>6.39</v>
      </c>
      <c r="C60">
        <v>5557</v>
      </c>
      <c r="D60">
        <v>3929.4</v>
      </c>
      <c r="F60">
        <v>-2.6533479007336269E-3</v>
      </c>
      <c r="G60">
        <v>-3.8005091248072532E-3</v>
      </c>
      <c r="H60">
        <v>-1.4249159600622079E-2</v>
      </c>
      <c r="K60" s="5">
        <v>43997</v>
      </c>
      <c r="L60">
        <v>1.131</v>
      </c>
      <c r="M60">
        <v>1170.6045999999999</v>
      </c>
    </row>
    <row r="61" spans="1:13" x14ac:dyDescent="0.15">
      <c r="A61" s="5">
        <v>43998</v>
      </c>
      <c r="B61">
        <v>6.5049999999999999</v>
      </c>
      <c r="C61">
        <v>5678.8</v>
      </c>
      <c r="D61">
        <v>4000</v>
      </c>
      <c r="F61">
        <v>1.79968701095462E-2</v>
      </c>
      <c r="G61">
        <v>2.1918301241677197E-2</v>
      </c>
      <c r="H61">
        <v>1.7967119662034892E-2</v>
      </c>
      <c r="K61" s="5">
        <v>43998</v>
      </c>
      <c r="L61">
        <v>1.1479999999999999</v>
      </c>
      <c r="M61">
        <v>1190.9864</v>
      </c>
    </row>
    <row r="62" spans="1:13" x14ac:dyDescent="0.15">
      <c r="A62" s="5">
        <v>43999</v>
      </c>
      <c r="B62">
        <v>6.5789999999999997</v>
      </c>
      <c r="C62">
        <v>5706</v>
      </c>
      <c r="D62">
        <v>4007</v>
      </c>
      <c r="F62">
        <v>1.1375864719446556E-2</v>
      </c>
      <c r="G62">
        <v>4.7897443121785975E-3</v>
      </c>
      <c r="H62">
        <v>1.75E-3</v>
      </c>
      <c r="K62" s="5">
        <v>43999</v>
      </c>
      <c r="L62">
        <v>1.1479999999999999</v>
      </c>
      <c r="M62">
        <v>1189.2282</v>
      </c>
    </row>
    <row r="63" spans="1:13" x14ac:dyDescent="0.15">
      <c r="A63" s="5">
        <v>44000</v>
      </c>
      <c r="B63">
        <v>6.649</v>
      </c>
      <c r="C63">
        <v>5743.2</v>
      </c>
      <c r="D63">
        <v>4042</v>
      </c>
      <c r="F63">
        <v>1.0639914880680999E-2</v>
      </c>
      <c r="G63">
        <v>6.5194532071503365E-3</v>
      </c>
      <c r="H63">
        <v>8.7347142500623903E-3</v>
      </c>
      <c r="K63" s="5">
        <v>44000</v>
      </c>
      <c r="L63">
        <v>1.1599999999999999</v>
      </c>
      <c r="M63">
        <v>1196.4611</v>
      </c>
    </row>
    <row r="64" spans="1:13" x14ac:dyDescent="0.15">
      <c r="A64" s="5">
        <v>44001</v>
      </c>
      <c r="B64">
        <v>6.7069999999999999</v>
      </c>
      <c r="C64">
        <v>5713.8</v>
      </c>
      <c r="D64">
        <v>4046.8</v>
      </c>
      <c r="F64">
        <v>8.7231162580838975E-3</v>
      </c>
      <c r="G64">
        <v>-5.119097367321291E-3</v>
      </c>
      <c r="H64">
        <v>1.1875309252845575E-3</v>
      </c>
      <c r="K64" s="5">
        <v>44001</v>
      </c>
      <c r="L64">
        <v>1.1850000000000001</v>
      </c>
      <c r="M64">
        <v>1230.5336</v>
      </c>
    </row>
    <row r="65" spans="1:13" x14ac:dyDescent="0.15">
      <c r="A65" s="5">
        <v>44004</v>
      </c>
      <c r="B65">
        <v>6.7039999999999997</v>
      </c>
      <c r="C65">
        <v>5711.4</v>
      </c>
      <c r="D65">
        <v>4051.2</v>
      </c>
      <c r="F65">
        <v>-4.4729387207396954E-4</v>
      </c>
      <c r="G65">
        <v>-4.2003570303485345E-4</v>
      </c>
      <c r="H65">
        <v>1.087278837599989E-3</v>
      </c>
      <c r="K65" s="5">
        <v>44004</v>
      </c>
      <c r="L65">
        <v>1.202</v>
      </c>
      <c r="M65">
        <v>1243.9584</v>
      </c>
    </row>
    <row r="66" spans="1:13" x14ac:dyDescent="0.15">
      <c r="A66" s="5">
        <v>44005</v>
      </c>
      <c r="B66">
        <v>6.8049999999999997</v>
      </c>
      <c r="C66">
        <v>5737.2</v>
      </c>
      <c r="D66">
        <v>4074</v>
      </c>
      <c r="F66">
        <v>1.5065632458233887E-2</v>
      </c>
      <c r="G66">
        <v>4.5172812270196771E-3</v>
      </c>
      <c r="H66">
        <v>5.627962085308102E-3</v>
      </c>
      <c r="K66" s="5">
        <v>44005</v>
      </c>
      <c r="L66">
        <v>1.224</v>
      </c>
      <c r="M66">
        <v>1266.0884000000001</v>
      </c>
    </row>
    <row r="67" spans="1:13" x14ac:dyDescent="0.15">
      <c r="A67" s="5">
        <v>44006</v>
      </c>
      <c r="B67">
        <v>6.8339999999999996</v>
      </c>
      <c r="C67">
        <v>5744.2</v>
      </c>
      <c r="D67">
        <v>4109.6000000000004</v>
      </c>
      <c r="F67">
        <v>4.2615723732549468E-3</v>
      </c>
      <c r="G67">
        <v>1.2201073694485115E-3</v>
      </c>
      <c r="H67">
        <v>8.7383406971036724E-3</v>
      </c>
      <c r="K67" s="5">
        <v>44006</v>
      </c>
      <c r="L67">
        <v>1.228</v>
      </c>
      <c r="M67">
        <v>1266.6539</v>
      </c>
    </row>
    <row r="68" spans="1:13" x14ac:dyDescent="0.15">
      <c r="A68" s="5">
        <v>44011</v>
      </c>
      <c r="B68">
        <v>6.88</v>
      </c>
      <c r="C68">
        <v>5710.6</v>
      </c>
      <c r="D68">
        <v>4078</v>
      </c>
      <c r="F68">
        <v>6.7310506292069458E-3</v>
      </c>
      <c r="G68">
        <v>-5.8493785035339044E-3</v>
      </c>
      <c r="H68">
        <v>-7.6893128284992122E-3</v>
      </c>
      <c r="K68" s="5">
        <v>44011</v>
      </c>
      <c r="L68">
        <v>1.216</v>
      </c>
      <c r="M68">
        <v>1262.9231</v>
      </c>
    </row>
    <row r="69" spans="1:13" x14ac:dyDescent="0.15">
      <c r="A69" s="5">
        <v>44012</v>
      </c>
      <c r="B69">
        <v>6.9960000000000004</v>
      </c>
      <c r="C69">
        <v>5802.4</v>
      </c>
      <c r="D69">
        <v>4120.6000000000004</v>
      </c>
      <c r="F69">
        <v>1.6860465116279151E-2</v>
      </c>
      <c r="G69">
        <v>1.60753686127551E-2</v>
      </c>
      <c r="H69">
        <v>1.0446297204512105E-2</v>
      </c>
      <c r="K69" s="5">
        <v>44012</v>
      </c>
      <c r="L69">
        <v>1.2549999999999999</v>
      </c>
      <c r="M69">
        <v>1300.7343000000001</v>
      </c>
    </row>
    <row r="70" spans="1:13" x14ac:dyDescent="0.15">
      <c r="A70" s="5">
        <v>44013</v>
      </c>
      <c r="B70">
        <v>7.0890000000000004</v>
      </c>
      <c r="C70">
        <v>5829.4</v>
      </c>
      <c r="D70">
        <v>4218.8</v>
      </c>
      <c r="F70">
        <v>1.329331046312178E-2</v>
      </c>
      <c r="G70">
        <v>4.6532469323038745E-3</v>
      </c>
      <c r="H70">
        <v>2.3831480852303015E-2</v>
      </c>
      <c r="K70" s="5">
        <v>44013</v>
      </c>
      <c r="L70">
        <v>1.2490000000000001</v>
      </c>
      <c r="M70">
        <v>1290.7422999999999</v>
      </c>
    </row>
    <row r="71" spans="1:13" x14ac:dyDescent="0.15">
      <c r="A71" s="5">
        <v>44014</v>
      </c>
      <c r="B71">
        <v>7.0960000000000001</v>
      </c>
      <c r="C71">
        <v>5954.2</v>
      </c>
      <c r="D71">
        <v>4323.2</v>
      </c>
      <c r="F71">
        <v>9.8744533784732302E-4</v>
      </c>
      <c r="G71">
        <v>2.1408721309225682E-2</v>
      </c>
      <c r="H71">
        <v>2.4746373376315453E-2</v>
      </c>
      <c r="K71" s="5">
        <v>44014</v>
      </c>
      <c r="L71">
        <v>1.246</v>
      </c>
      <c r="M71">
        <v>1290.5385000000001</v>
      </c>
    </row>
    <row r="72" spans="1:13" x14ac:dyDescent="0.15">
      <c r="A72" s="5">
        <v>44015</v>
      </c>
      <c r="B72">
        <v>7.157</v>
      </c>
      <c r="C72">
        <v>6034.8</v>
      </c>
      <c r="D72">
        <v>4407</v>
      </c>
      <c r="F72">
        <v>8.5963923337091241E-3</v>
      </c>
      <c r="G72">
        <v>1.3536663195727447E-2</v>
      </c>
      <c r="H72">
        <v>1.9383789785344233E-2</v>
      </c>
      <c r="K72" s="5">
        <v>44015</v>
      </c>
      <c r="L72">
        <v>1.2629999999999999</v>
      </c>
      <c r="M72">
        <v>1311.181</v>
      </c>
    </row>
    <row r="73" spans="1:13" x14ac:dyDescent="0.15">
      <c r="A73" s="5">
        <v>44018</v>
      </c>
      <c r="B73">
        <v>7.4169999999999998</v>
      </c>
      <c r="C73">
        <v>6305.2</v>
      </c>
      <c r="D73">
        <v>4734</v>
      </c>
      <c r="F73">
        <v>3.6328070420567245E-2</v>
      </c>
      <c r="G73">
        <v>4.4806787300324724E-2</v>
      </c>
      <c r="H73">
        <v>7.4200136147038798E-2</v>
      </c>
      <c r="K73" s="5">
        <v>44018</v>
      </c>
      <c r="L73">
        <v>1.302</v>
      </c>
      <c r="M73">
        <v>1344.0522000000001</v>
      </c>
    </row>
    <row r="74" spans="1:13" x14ac:dyDescent="0.15">
      <c r="A74" s="5">
        <v>44019</v>
      </c>
      <c r="B74">
        <v>7.569</v>
      </c>
      <c r="C74">
        <v>6400.4</v>
      </c>
      <c r="D74">
        <v>4712.2</v>
      </c>
      <c r="F74">
        <v>2.0493460968046398E-2</v>
      </c>
      <c r="G74">
        <v>1.5098648734377945E-2</v>
      </c>
      <c r="H74">
        <v>-4.6049852133502704E-3</v>
      </c>
      <c r="K74" s="5">
        <v>44019</v>
      </c>
      <c r="L74">
        <v>1.333</v>
      </c>
      <c r="M74">
        <v>1376.2085999999999</v>
      </c>
    </row>
    <row r="75" spans="1:13" x14ac:dyDescent="0.15">
      <c r="A75" s="5">
        <v>44020</v>
      </c>
      <c r="B75">
        <v>7.5679999999999996</v>
      </c>
      <c r="C75">
        <v>6515.8</v>
      </c>
      <c r="D75">
        <v>4759.6000000000004</v>
      </c>
      <c r="F75">
        <v>-1.3211784912146044E-4</v>
      </c>
      <c r="G75">
        <v>1.8030123117305254E-2</v>
      </c>
      <c r="H75">
        <v>1.0058995798141112E-2</v>
      </c>
      <c r="K75" s="5">
        <v>44020</v>
      </c>
      <c r="L75">
        <v>1.3580000000000001</v>
      </c>
      <c r="M75">
        <v>1409.0762</v>
      </c>
    </row>
    <row r="76" spans="1:13" x14ac:dyDescent="0.15">
      <c r="A76" s="5">
        <v>44021</v>
      </c>
      <c r="B76">
        <v>7.6989999999999998</v>
      </c>
      <c r="C76">
        <v>6707.6</v>
      </c>
      <c r="D76">
        <v>4835.8</v>
      </c>
      <c r="F76">
        <v>1.7309725158562397E-2</v>
      </c>
      <c r="G76">
        <v>2.9436139844685252E-2</v>
      </c>
      <c r="H76">
        <v>1.6009748718379655E-2</v>
      </c>
      <c r="K76" s="5">
        <v>44021</v>
      </c>
      <c r="L76">
        <v>1.4159999999999999</v>
      </c>
      <c r="M76">
        <v>1466.1005</v>
      </c>
    </row>
    <row r="77" spans="1:13" x14ac:dyDescent="0.15">
      <c r="A77" s="5">
        <v>44022</v>
      </c>
      <c r="B77">
        <v>7.7329999999999997</v>
      </c>
      <c r="C77">
        <v>6689.2</v>
      </c>
      <c r="D77">
        <v>4745</v>
      </c>
      <c r="F77">
        <v>4.4161579425899223E-3</v>
      </c>
      <c r="G77">
        <v>-2.7431570159223186E-3</v>
      </c>
      <c r="H77">
        <v>-1.8776624343438558E-2</v>
      </c>
      <c r="K77" s="5">
        <v>44022</v>
      </c>
      <c r="L77">
        <v>1.4259999999999999</v>
      </c>
      <c r="M77">
        <v>1476.1542999999999</v>
      </c>
    </row>
    <row r="78" spans="1:13" x14ac:dyDescent="0.15">
      <c r="A78" s="5">
        <v>44025</v>
      </c>
      <c r="B78">
        <v>7.95</v>
      </c>
      <c r="C78">
        <v>6898.6</v>
      </c>
      <c r="D78">
        <v>4838</v>
      </c>
      <c r="F78">
        <v>2.8061554377343919E-2</v>
      </c>
      <c r="G78">
        <v>3.1304191831609242E-2</v>
      </c>
      <c r="H78">
        <v>1.9599578503688094E-2</v>
      </c>
      <c r="K78" s="5">
        <v>44025</v>
      </c>
      <c r="L78">
        <v>1.49</v>
      </c>
      <c r="M78">
        <v>1539.6412</v>
      </c>
    </row>
    <row r="79" spans="1:13" x14ac:dyDescent="0.15">
      <c r="A79" s="5">
        <v>44026</v>
      </c>
      <c r="B79">
        <v>7.8869999999999996</v>
      </c>
      <c r="C79">
        <v>6791</v>
      </c>
      <c r="D79">
        <v>4793</v>
      </c>
      <c r="F79">
        <v>-7.9245283018868698E-3</v>
      </c>
      <c r="G79">
        <v>-1.559736758182825E-2</v>
      </c>
      <c r="H79">
        <v>-9.3013642000826791E-3</v>
      </c>
      <c r="K79" s="5">
        <v>44026</v>
      </c>
      <c r="L79">
        <v>1.4810000000000001</v>
      </c>
      <c r="M79">
        <v>1532.0531000000001</v>
      </c>
    </row>
    <row r="80" spans="1:13" x14ac:dyDescent="0.15">
      <c r="A80" s="5">
        <v>44027</v>
      </c>
      <c r="B80">
        <v>8.0289999999999999</v>
      </c>
      <c r="C80">
        <v>6635</v>
      </c>
      <c r="D80">
        <v>4736.2</v>
      </c>
      <c r="F80">
        <v>1.8004310891340226E-2</v>
      </c>
      <c r="G80">
        <v>-2.2971580032395817E-2</v>
      </c>
      <c r="H80">
        <v>-1.1850615480909698E-2</v>
      </c>
      <c r="K80" s="5">
        <v>44027</v>
      </c>
      <c r="L80">
        <v>1.4610000000000001</v>
      </c>
      <c r="M80">
        <v>1513.6673000000001</v>
      </c>
    </row>
    <row r="81" spans="1:13" x14ac:dyDescent="0.15">
      <c r="A81" s="5">
        <v>44028</v>
      </c>
      <c r="B81">
        <v>7.4749999999999996</v>
      </c>
      <c r="C81">
        <v>6309.2</v>
      </c>
      <c r="D81">
        <v>4496</v>
      </c>
      <c r="F81">
        <v>-6.8999875451488391E-2</v>
      </c>
      <c r="G81">
        <v>-4.9103240391861369E-2</v>
      </c>
      <c r="H81">
        <v>-5.0715763692411604E-2</v>
      </c>
      <c r="K81" s="5">
        <v>44028</v>
      </c>
      <c r="L81">
        <v>1.3720000000000001</v>
      </c>
      <c r="M81">
        <v>1425.7457999999999</v>
      </c>
    </row>
    <row r="82" spans="1:13" x14ac:dyDescent="0.15">
      <c r="A82" s="5">
        <v>44029</v>
      </c>
      <c r="B82">
        <v>7.7910000000000004</v>
      </c>
      <c r="C82">
        <v>6301</v>
      </c>
      <c r="D82">
        <v>4526.3999999999996</v>
      </c>
      <c r="F82">
        <v>4.2274247491638897E-2</v>
      </c>
      <c r="G82">
        <v>-1.2996893425473624E-3</v>
      </c>
      <c r="H82">
        <v>6.7615658362988511E-3</v>
      </c>
      <c r="K82" s="5">
        <v>44029</v>
      </c>
      <c r="L82">
        <v>1.3879999999999999</v>
      </c>
      <c r="M82">
        <v>1436.2624000000001</v>
      </c>
    </row>
    <row r="83" spans="1:13" x14ac:dyDescent="0.15">
      <c r="A83" s="5">
        <v>44032</v>
      </c>
      <c r="B83">
        <v>7.7789999999999999</v>
      </c>
      <c r="C83">
        <v>6446</v>
      </c>
      <c r="D83">
        <v>4644.8</v>
      </c>
      <c r="F83">
        <v>-1.5402387370042939E-3</v>
      </c>
      <c r="G83">
        <v>2.3012220282494843E-2</v>
      </c>
      <c r="H83">
        <v>2.6157652880876757E-2</v>
      </c>
      <c r="K83" s="5">
        <v>44032</v>
      </c>
      <c r="L83">
        <v>1.401</v>
      </c>
      <c r="M83">
        <v>1453.2996000000001</v>
      </c>
    </row>
    <row r="84" spans="1:13" x14ac:dyDescent="0.15">
      <c r="A84" s="5">
        <v>44033</v>
      </c>
      <c r="B84">
        <v>7.9489999999999998</v>
      </c>
      <c r="C84">
        <v>6491.4</v>
      </c>
      <c r="D84">
        <v>4657.3999999999996</v>
      </c>
      <c r="F84">
        <v>2.1853708702918105E-2</v>
      </c>
      <c r="G84">
        <v>7.0431275209431642E-3</v>
      </c>
      <c r="H84">
        <v>2.7127109886323315E-3</v>
      </c>
      <c r="K84" s="5">
        <v>44033</v>
      </c>
      <c r="L84">
        <v>1.429</v>
      </c>
      <c r="M84">
        <v>1477.4813999999999</v>
      </c>
    </row>
    <row r="85" spans="1:13" x14ac:dyDescent="0.15">
      <c r="A85" s="5">
        <v>44034</v>
      </c>
      <c r="B85">
        <v>8.1199999999999992</v>
      </c>
      <c r="C85">
        <v>6539</v>
      </c>
      <c r="D85">
        <v>4681</v>
      </c>
      <c r="F85">
        <v>2.1512139891810212E-2</v>
      </c>
      <c r="G85">
        <v>7.3327787534276682E-3</v>
      </c>
      <c r="H85">
        <v>5.0672048782583346E-3</v>
      </c>
      <c r="K85" s="5">
        <v>44034</v>
      </c>
      <c r="L85">
        <v>1.444</v>
      </c>
      <c r="M85">
        <v>1497.5922</v>
      </c>
    </row>
    <row r="86" spans="1:13" x14ac:dyDescent="0.15">
      <c r="A86" s="5">
        <v>44035</v>
      </c>
      <c r="B86">
        <v>8.2919999999999998</v>
      </c>
      <c r="C86">
        <v>6548</v>
      </c>
      <c r="D86">
        <v>4688.6000000000004</v>
      </c>
      <c r="F86">
        <v>2.1182266009852291E-2</v>
      </c>
      <c r="G86">
        <v>1.3763572411683743E-3</v>
      </c>
      <c r="H86">
        <v>1.6235847041231283E-3</v>
      </c>
      <c r="K86" s="5">
        <v>44035</v>
      </c>
      <c r="L86">
        <v>1.464</v>
      </c>
      <c r="M86">
        <v>1518.8885</v>
      </c>
    </row>
    <row r="87" spans="1:13" x14ac:dyDescent="0.15">
      <c r="A87" s="5">
        <v>44036</v>
      </c>
      <c r="B87">
        <v>7.88</v>
      </c>
      <c r="C87">
        <v>6204</v>
      </c>
      <c r="D87">
        <v>4465</v>
      </c>
      <c r="F87">
        <v>-4.9686444766039548E-2</v>
      </c>
      <c r="G87">
        <v>-5.2535125229077578E-2</v>
      </c>
      <c r="H87">
        <v>-4.7690142046666453E-2</v>
      </c>
      <c r="K87" s="5">
        <v>44036</v>
      </c>
      <c r="L87">
        <v>1.3740000000000001</v>
      </c>
      <c r="M87">
        <v>1425.0987</v>
      </c>
    </row>
    <row r="88" spans="1:13" x14ac:dyDescent="0.15">
      <c r="A88" s="5">
        <v>44039</v>
      </c>
      <c r="B88">
        <v>7.8890000000000002</v>
      </c>
      <c r="C88">
        <v>6207.6</v>
      </c>
      <c r="D88">
        <v>4497</v>
      </c>
      <c r="F88">
        <v>1.1421319796954747E-3</v>
      </c>
      <c r="G88">
        <v>5.802707930368091E-4</v>
      </c>
      <c r="H88">
        <v>7.166853303471445E-3</v>
      </c>
      <c r="K88" s="5">
        <v>44039</v>
      </c>
      <c r="L88">
        <v>1.3759999999999999</v>
      </c>
      <c r="M88">
        <v>1428.1478999999999</v>
      </c>
    </row>
    <row r="89" spans="1:13" x14ac:dyDescent="0.15">
      <c r="A89" s="5">
        <v>44040</v>
      </c>
      <c r="B89">
        <v>7.9950000000000001</v>
      </c>
      <c r="C89">
        <v>6252</v>
      </c>
      <c r="D89">
        <v>4528.8</v>
      </c>
      <c r="F89">
        <v>1.3436430472810226E-2</v>
      </c>
      <c r="G89">
        <v>7.152522714092344E-3</v>
      </c>
      <c r="H89">
        <v>7.0713809206137826E-3</v>
      </c>
      <c r="K89" s="5">
        <v>44040</v>
      </c>
      <c r="L89">
        <v>1.397</v>
      </c>
      <c r="M89">
        <v>1446.5178000000001</v>
      </c>
    </row>
    <row r="90" spans="1:13" x14ac:dyDescent="0.15">
      <c r="A90" s="5">
        <v>44041</v>
      </c>
      <c r="B90">
        <v>8.1720000000000006</v>
      </c>
      <c r="C90">
        <v>6501.4</v>
      </c>
      <c r="D90">
        <v>4672.3999999999996</v>
      </c>
      <c r="F90">
        <v>2.2138836772983176E-2</v>
      </c>
      <c r="G90">
        <v>3.9891234804862383E-2</v>
      </c>
      <c r="H90">
        <v>3.1708178767002174E-2</v>
      </c>
      <c r="K90" s="5">
        <v>44041</v>
      </c>
      <c r="L90">
        <v>1.4510000000000001</v>
      </c>
      <c r="M90">
        <v>1502.0228</v>
      </c>
    </row>
    <row r="91" spans="1:13" x14ac:dyDescent="0.15">
      <c r="A91" s="5">
        <v>44042</v>
      </c>
      <c r="B91">
        <v>8.2560000000000002</v>
      </c>
      <c r="C91">
        <v>6453</v>
      </c>
      <c r="D91">
        <v>4635</v>
      </c>
      <c r="F91">
        <v>1.0279001468428734E-2</v>
      </c>
      <c r="G91">
        <v>-7.4445504045282003E-3</v>
      </c>
      <c r="H91">
        <v>-8.0044516736580001E-3</v>
      </c>
      <c r="K91" s="5">
        <v>44042</v>
      </c>
      <c r="L91">
        <v>1.4379999999999999</v>
      </c>
      <c r="M91">
        <v>1489.1394</v>
      </c>
    </row>
    <row r="92" spans="1:13" x14ac:dyDescent="0.15">
      <c r="A92" s="5">
        <v>44043</v>
      </c>
      <c r="B92">
        <v>8.3670000000000009</v>
      </c>
      <c r="C92">
        <v>6516</v>
      </c>
      <c r="D92">
        <v>4659.6000000000004</v>
      </c>
      <c r="F92">
        <v>1.3444767441860545E-2</v>
      </c>
      <c r="G92">
        <v>9.7629009762900971E-3</v>
      </c>
      <c r="H92">
        <v>5.3074433656958714E-3</v>
      </c>
      <c r="K92" s="5">
        <v>44043</v>
      </c>
      <c r="L92">
        <v>1.4670000000000001</v>
      </c>
      <c r="M92">
        <v>1521.1971000000001</v>
      </c>
    </row>
    <row r="93" spans="1:13" x14ac:dyDescent="0.15">
      <c r="A93" s="5">
        <v>44046</v>
      </c>
      <c r="B93">
        <v>8.5210000000000008</v>
      </c>
      <c r="C93">
        <v>6668.4</v>
      </c>
      <c r="D93">
        <v>4740.6000000000004</v>
      </c>
      <c r="F93">
        <v>1.8405641209513553E-2</v>
      </c>
      <c r="G93">
        <v>2.3388581952117807E-2</v>
      </c>
      <c r="H93">
        <v>1.7383466391964975E-2</v>
      </c>
      <c r="K93" s="5">
        <v>44046</v>
      </c>
      <c r="L93">
        <v>1.506</v>
      </c>
      <c r="M93">
        <v>1560.9706000000001</v>
      </c>
    </row>
    <row r="94" spans="1:13" x14ac:dyDescent="0.15">
      <c r="A94" s="5">
        <v>44047</v>
      </c>
      <c r="B94">
        <v>8.4350000000000005</v>
      </c>
      <c r="C94">
        <v>6634.4</v>
      </c>
      <c r="D94">
        <v>4756.6000000000004</v>
      </c>
      <c r="F94">
        <v>-1.0092712122990294E-2</v>
      </c>
      <c r="G94">
        <v>-5.0986743446703861E-3</v>
      </c>
      <c r="H94">
        <v>3.3751001982871365E-3</v>
      </c>
      <c r="K94" s="5">
        <v>44047</v>
      </c>
      <c r="L94">
        <v>1.4870000000000001</v>
      </c>
      <c r="M94">
        <v>1540.3094000000001</v>
      </c>
    </row>
    <row r="95" spans="1:13" x14ac:dyDescent="0.15">
      <c r="A95" s="5">
        <v>44048</v>
      </c>
      <c r="B95">
        <v>8.516</v>
      </c>
      <c r="C95">
        <v>6683</v>
      </c>
      <c r="D95">
        <v>4742</v>
      </c>
      <c r="F95">
        <v>9.602845287492532E-3</v>
      </c>
      <c r="G95">
        <v>7.3254552031834629E-3</v>
      </c>
      <c r="H95">
        <v>-3.0694193331371909E-3</v>
      </c>
      <c r="K95" s="5">
        <v>44048</v>
      </c>
      <c r="L95">
        <v>1.5</v>
      </c>
      <c r="M95">
        <v>1556.1886999999999</v>
      </c>
    </row>
    <row r="96" spans="1:13" x14ac:dyDescent="0.15">
      <c r="A96" s="5">
        <v>44049</v>
      </c>
      <c r="B96">
        <v>8.4540000000000006</v>
      </c>
      <c r="C96">
        <v>6693.8</v>
      </c>
      <c r="D96">
        <v>4729.3999999999996</v>
      </c>
      <c r="F96">
        <v>-7.2804133395959827E-3</v>
      </c>
      <c r="G96">
        <v>1.6160407002843308E-3</v>
      </c>
      <c r="H96">
        <v>-2.657106706031287E-3</v>
      </c>
      <c r="K96" s="5">
        <v>44049</v>
      </c>
      <c r="L96">
        <v>1.476</v>
      </c>
      <c r="M96">
        <v>1529.3620000000001</v>
      </c>
    </row>
    <row r="97" spans="1:13" x14ac:dyDescent="0.15">
      <c r="A97" s="5">
        <v>44050</v>
      </c>
      <c r="B97">
        <v>8.391</v>
      </c>
      <c r="C97">
        <v>6622.2</v>
      </c>
      <c r="D97">
        <v>4684</v>
      </c>
      <c r="F97">
        <v>-7.4520936834635209E-3</v>
      </c>
      <c r="G97">
        <v>-1.0696465385879525E-2</v>
      </c>
      <c r="H97">
        <v>-9.5995263669809358E-3</v>
      </c>
      <c r="K97" s="5">
        <v>44050</v>
      </c>
      <c r="L97">
        <v>1.4419999999999999</v>
      </c>
      <c r="M97">
        <v>1493.7174</v>
      </c>
    </row>
    <row r="98" spans="1:13" x14ac:dyDescent="0.15">
      <c r="A98" s="5">
        <v>44053</v>
      </c>
      <c r="B98">
        <v>8.3989999999999991</v>
      </c>
      <c r="C98">
        <v>6663.4</v>
      </c>
      <c r="D98">
        <v>4700</v>
      </c>
      <c r="F98">
        <v>9.5340245501121664E-4</v>
      </c>
      <c r="G98">
        <v>6.2214973875750991E-3</v>
      </c>
      <c r="H98">
        <v>3.4158838599487617E-3</v>
      </c>
      <c r="K98" s="5">
        <v>44053</v>
      </c>
      <c r="L98">
        <v>1.429</v>
      </c>
      <c r="M98">
        <v>1479.5668000000001</v>
      </c>
    </row>
    <row r="99" spans="1:13" x14ac:dyDescent="0.15">
      <c r="A99" s="5">
        <v>44054</v>
      </c>
      <c r="B99">
        <v>8.36</v>
      </c>
      <c r="C99">
        <v>6521</v>
      </c>
      <c r="D99">
        <v>4652.8</v>
      </c>
      <c r="F99">
        <v>-4.6434099297535071E-3</v>
      </c>
      <c r="G99">
        <v>-2.1370471531050161E-2</v>
      </c>
      <c r="H99">
        <v>-1.0042553191489324E-2</v>
      </c>
      <c r="K99" s="5">
        <v>44054</v>
      </c>
      <c r="L99">
        <v>1.409</v>
      </c>
      <c r="M99">
        <v>1457.1713</v>
      </c>
    </row>
    <row r="100" spans="1:13" x14ac:dyDescent="0.15">
      <c r="A100" s="5">
        <v>44055</v>
      </c>
      <c r="B100">
        <v>8.1959999999999997</v>
      </c>
      <c r="C100">
        <v>6447.6</v>
      </c>
      <c r="D100">
        <v>4626.8</v>
      </c>
      <c r="F100">
        <v>-1.9617224880382741E-2</v>
      </c>
      <c r="G100">
        <v>-1.1255942340131825E-2</v>
      </c>
      <c r="H100">
        <v>-5.5880330123796425E-3</v>
      </c>
      <c r="K100" s="5">
        <v>44055</v>
      </c>
      <c r="L100">
        <v>1.3819999999999999</v>
      </c>
      <c r="M100">
        <v>1428.0441000000001</v>
      </c>
    </row>
    <row r="101" spans="1:13" x14ac:dyDescent="0.15">
      <c r="A101" s="5">
        <v>44056</v>
      </c>
      <c r="B101">
        <v>8.18</v>
      </c>
      <c r="C101">
        <v>6475.6</v>
      </c>
      <c r="D101">
        <v>4606.3999999999996</v>
      </c>
      <c r="F101">
        <v>-1.9521717911176201E-3</v>
      </c>
      <c r="G101">
        <v>4.3427011601215957E-3</v>
      </c>
      <c r="H101">
        <v>-4.4090948387655714E-3</v>
      </c>
      <c r="K101" s="5">
        <v>44056</v>
      </c>
      <c r="L101">
        <v>1.373</v>
      </c>
      <c r="M101">
        <v>1418.7717</v>
      </c>
    </row>
    <row r="102" spans="1:13" x14ac:dyDescent="0.15">
      <c r="A102" s="5">
        <v>44057</v>
      </c>
      <c r="B102">
        <v>8.3000000000000007</v>
      </c>
      <c r="C102">
        <v>6630.4</v>
      </c>
      <c r="D102">
        <v>4717.3999999999996</v>
      </c>
      <c r="F102">
        <v>1.466992665036687E-2</v>
      </c>
      <c r="G102">
        <v>2.3905120761010448E-2</v>
      </c>
      <c r="H102">
        <v>2.4096908648836405E-2</v>
      </c>
      <c r="K102" s="5">
        <v>44057</v>
      </c>
      <c r="L102">
        <v>1.4</v>
      </c>
      <c r="M102">
        <v>1447.2242000000001</v>
      </c>
    </row>
    <row r="103" spans="1:13" x14ac:dyDescent="0.15">
      <c r="A103" s="5">
        <v>44060</v>
      </c>
      <c r="B103">
        <v>8.3819999999999997</v>
      </c>
      <c r="C103">
        <v>6713</v>
      </c>
      <c r="D103">
        <v>4812.2</v>
      </c>
      <c r="F103">
        <v>9.879518072289031E-3</v>
      </c>
      <c r="G103">
        <v>1.2457770270270325E-2</v>
      </c>
      <c r="H103">
        <v>2.0095815491584387E-2</v>
      </c>
      <c r="K103" s="5">
        <v>44060</v>
      </c>
      <c r="L103">
        <v>1.4119999999999999</v>
      </c>
      <c r="M103">
        <v>1460.1736000000001</v>
      </c>
    </row>
    <row r="104" spans="1:13" x14ac:dyDescent="0.15">
      <c r="A104" s="5">
        <v>44061</v>
      </c>
      <c r="B104">
        <v>8.5060000000000002</v>
      </c>
      <c r="C104">
        <v>6746.6</v>
      </c>
      <c r="D104">
        <v>4803.6000000000004</v>
      </c>
      <c r="F104">
        <v>1.4793605344786513E-2</v>
      </c>
      <c r="G104">
        <v>5.005213764337906E-3</v>
      </c>
      <c r="H104">
        <v>-1.7871243921697881E-3</v>
      </c>
      <c r="K104" s="5">
        <v>44061</v>
      </c>
      <c r="L104">
        <v>1.413</v>
      </c>
      <c r="M104">
        <v>1462.6937</v>
      </c>
    </row>
    <row r="105" spans="1:13" x14ac:dyDescent="0.15">
      <c r="A105" s="5">
        <v>44062</v>
      </c>
      <c r="B105">
        <v>8.3780000000000001</v>
      </c>
      <c r="C105">
        <v>6639.8</v>
      </c>
      <c r="D105">
        <v>4729.3999999999996</v>
      </c>
      <c r="F105">
        <v>-1.5048201269691995E-2</v>
      </c>
      <c r="G105">
        <v>-1.5830195950552899E-2</v>
      </c>
      <c r="H105">
        <v>-1.5446748272129386E-2</v>
      </c>
      <c r="K105" s="5">
        <v>44062</v>
      </c>
      <c r="L105">
        <v>1.367</v>
      </c>
      <c r="M105">
        <v>1412.6895999999999</v>
      </c>
    </row>
    <row r="106" spans="1:13" x14ac:dyDescent="0.15">
      <c r="A106" s="5">
        <v>44063</v>
      </c>
      <c r="B106">
        <v>8.2769999999999992</v>
      </c>
      <c r="C106">
        <v>6587.2</v>
      </c>
      <c r="D106">
        <v>4682.8</v>
      </c>
      <c r="F106">
        <v>-1.2055383146335745E-2</v>
      </c>
      <c r="G106">
        <v>-7.9219253591976211E-3</v>
      </c>
      <c r="H106">
        <v>-9.853258341438546E-3</v>
      </c>
      <c r="K106" s="5">
        <v>44063</v>
      </c>
      <c r="L106">
        <v>1.353</v>
      </c>
      <c r="M106">
        <v>1398.3553999999999</v>
      </c>
    </row>
    <row r="107" spans="1:13" x14ac:dyDescent="0.15">
      <c r="A107" s="5">
        <v>44064</v>
      </c>
      <c r="B107">
        <v>8.3629999999999995</v>
      </c>
      <c r="C107">
        <v>6522.2</v>
      </c>
      <c r="D107">
        <v>4693</v>
      </c>
      <c r="F107">
        <v>1.0390238008940475E-2</v>
      </c>
      <c r="G107">
        <v>-9.8676220548943403E-3</v>
      </c>
      <c r="H107">
        <v>2.1781839924830907E-3</v>
      </c>
      <c r="K107" s="5">
        <v>44064</v>
      </c>
      <c r="L107">
        <v>1.3759999999999999</v>
      </c>
      <c r="M107">
        <v>1423.8415</v>
      </c>
    </row>
    <row r="108" spans="1:13" x14ac:dyDescent="0.15">
      <c r="A108" s="5">
        <v>44067</v>
      </c>
      <c r="B108">
        <v>8.4160000000000004</v>
      </c>
      <c r="C108">
        <v>6543.4</v>
      </c>
      <c r="D108">
        <v>4711</v>
      </c>
      <c r="F108">
        <v>6.3374387181634375E-3</v>
      </c>
      <c r="G108">
        <v>3.2504369691208211E-3</v>
      </c>
      <c r="H108">
        <v>3.8354996803750267E-3</v>
      </c>
      <c r="K108" s="5">
        <v>44067</v>
      </c>
      <c r="L108">
        <v>1.41</v>
      </c>
      <c r="M108">
        <v>1452.6550999999999</v>
      </c>
    </row>
    <row r="109" spans="1:13" x14ac:dyDescent="0.15">
      <c r="A109" s="5">
        <v>44068</v>
      </c>
      <c r="B109">
        <v>8.4649999999999999</v>
      </c>
      <c r="C109">
        <v>6523.6</v>
      </c>
      <c r="D109">
        <v>4733.3999999999996</v>
      </c>
      <c r="F109">
        <v>5.8222433460075433E-3</v>
      </c>
      <c r="G109">
        <v>-3.0259498120242187E-3</v>
      </c>
      <c r="H109">
        <v>4.7548291233283028E-3</v>
      </c>
      <c r="K109" s="5">
        <v>44068</v>
      </c>
      <c r="L109">
        <v>1.419</v>
      </c>
      <c r="M109">
        <v>1461.4567</v>
      </c>
    </row>
    <row r="110" spans="1:13" x14ac:dyDescent="0.15">
      <c r="A110" s="5">
        <v>44069</v>
      </c>
      <c r="B110">
        <v>8.4309999999999992</v>
      </c>
      <c r="C110">
        <v>6436</v>
      </c>
      <c r="D110">
        <v>4674</v>
      </c>
      <c r="F110">
        <v>-4.0165386887183342E-3</v>
      </c>
      <c r="G110">
        <v>-1.3428168495922552E-2</v>
      </c>
      <c r="H110">
        <v>-1.2549119026492509E-2</v>
      </c>
      <c r="K110" s="5">
        <v>44069</v>
      </c>
      <c r="L110">
        <v>1.3919999999999999</v>
      </c>
      <c r="M110">
        <v>1433.74</v>
      </c>
    </row>
    <row r="111" spans="1:13" x14ac:dyDescent="0.15">
      <c r="A111" s="5">
        <v>44070</v>
      </c>
      <c r="B111">
        <v>8.56</v>
      </c>
      <c r="C111">
        <v>6509.4</v>
      </c>
      <c r="D111">
        <v>4710.3999999999996</v>
      </c>
      <c r="F111">
        <v>1.5300676076384931E-2</v>
      </c>
      <c r="G111">
        <v>1.1404599129894288E-2</v>
      </c>
      <c r="H111">
        <v>7.7877620881471191E-3</v>
      </c>
      <c r="K111" s="5">
        <v>44070</v>
      </c>
      <c r="L111">
        <v>1.42</v>
      </c>
      <c r="M111">
        <v>1458.4174</v>
      </c>
    </row>
    <row r="112" spans="1:13" x14ac:dyDescent="0.15">
      <c r="A112" s="5">
        <v>44071</v>
      </c>
      <c r="B112">
        <v>8.81</v>
      </c>
      <c r="C112">
        <v>6660</v>
      </c>
      <c r="D112">
        <v>4843.6000000000004</v>
      </c>
      <c r="F112">
        <v>2.9205607476635514E-2</v>
      </c>
      <c r="G112">
        <v>2.3135772882293355E-2</v>
      </c>
      <c r="H112">
        <v>2.827785326086972E-2</v>
      </c>
      <c r="K112" s="5">
        <v>44071</v>
      </c>
      <c r="L112">
        <v>1.4550000000000001</v>
      </c>
      <c r="M112">
        <v>1498.7475999999999</v>
      </c>
    </row>
    <row r="113" spans="1:13" x14ac:dyDescent="0.15">
      <c r="A113" s="5">
        <v>44074</v>
      </c>
      <c r="B113">
        <v>8.8550000000000004</v>
      </c>
      <c r="C113">
        <v>6590</v>
      </c>
      <c r="D113">
        <v>4786</v>
      </c>
      <c r="F113">
        <v>5.1078320090805823E-3</v>
      </c>
      <c r="G113">
        <v>-1.0510510510510511E-2</v>
      </c>
      <c r="H113">
        <v>-1.1891981171029888E-2</v>
      </c>
      <c r="K113" s="5">
        <v>44074</v>
      </c>
      <c r="L113">
        <v>1.4379999999999999</v>
      </c>
      <c r="M113">
        <v>1482.203</v>
      </c>
    </row>
    <row r="114" spans="1:13" x14ac:dyDescent="0.15">
      <c r="A114" s="5">
        <v>44075</v>
      </c>
      <c r="B114">
        <v>8.9149999999999991</v>
      </c>
      <c r="C114">
        <v>6655.2</v>
      </c>
      <c r="D114">
        <v>4826</v>
      </c>
      <c r="F114">
        <v>6.7758328627892401E-3</v>
      </c>
      <c r="G114">
        <v>9.8937784522002761E-3</v>
      </c>
      <c r="H114">
        <v>8.3577099874634353E-3</v>
      </c>
      <c r="K114" s="5">
        <v>44075</v>
      </c>
      <c r="L114">
        <v>1.4550000000000001</v>
      </c>
      <c r="M114">
        <v>1495.5174999999999</v>
      </c>
    </row>
    <row r="115" spans="1:13" x14ac:dyDescent="0.15">
      <c r="A115" s="5">
        <v>44076</v>
      </c>
      <c r="B115">
        <v>9.0120000000000005</v>
      </c>
      <c r="C115">
        <v>6619</v>
      </c>
      <c r="D115">
        <v>4808.2</v>
      </c>
      <c r="F115">
        <v>1.088053841839611E-2</v>
      </c>
      <c r="G115">
        <v>-5.439355691789851E-3</v>
      </c>
      <c r="H115">
        <v>-3.6883547451305805E-3</v>
      </c>
      <c r="K115" s="5">
        <v>44076</v>
      </c>
      <c r="L115">
        <v>1.4630000000000001</v>
      </c>
      <c r="M115">
        <v>1501.9567</v>
      </c>
    </row>
    <row r="116" spans="1:13" x14ac:dyDescent="0.15">
      <c r="A116" s="5">
        <v>44077</v>
      </c>
      <c r="B116">
        <v>8.92</v>
      </c>
      <c r="C116">
        <v>6596</v>
      </c>
      <c r="D116">
        <v>4798.6000000000004</v>
      </c>
      <c r="F116">
        <v>-1.0208610741233968E-2</v>
      </c>
      <c r="G116">
        <v>-3.4748451427708115E-3</v>
      </c>
      <c r="H116">
        <v>-1.9965891601845709E-3</v>
      </c>
      <c r="K116" s="5">
        <v>44077</v>
      </c>
      <c r="L116">
        <v>1.452</v>
      </c>
      <c r="M116">
        <v>1488.8797</v>
      </c>
    </row>
    <row r="117" spans="1:13" x14ac:dyDescent="0.15">
      <c r="A117" s="5">
        <v>44078</v>
      </c>
      <c r="B117">
        <v>8.7119999999999997</v>
      </c>
      <c r="C117">
        <v>6578.8</v>
      </c>
      <c r="D117">
        <v>4752.8</v>
      </c>
      <c r="F117">
        <v>-2.3318385650224236E-2</v>
      </c>
      <c r="G117">
        <v>-2.6076409945421193E-3</v>
      </c>
      <c r="H117">
        <v>-9.5444504647189139E-3</v>
      </c>
      <c r="K117" s="5">
        <v>44078</v>
      </c>
      <c r="L117">
        <v>1.4419999999999999</v>
      </c>
      <c r="M117">
        <v>1477.2574</v>
      </c>
    </row>
    <row r="118" spans="1:13" x14ac:dyDescent="0.15">
      <c r="A118" s="5">
        <v>44081</v>
      </c>
      <c r="B118">
        <v>8.4580000000000002</v>
      </c>
      <c r="C118">
        <v>6421</v>
      </c>
      <c r="D118">
        <v>4645.6000000000004</v>
      </c>
      <c r="F118">
        <v>-2.9155188246097287E-2</v>
      </c>
      <c r="G118">
        <v>-2.3986137289475313E-2</v>
      </c>
      <c r="H118">
        <v>-2.2555125399764311E-2</v>
      </c>
      <c r="K118" s="5">
        <v>44081</v>
      </c>
      <c r="L118">
        <v>1.383</v>
      </c>
      <c r="M118">
        <v>1418.896</v>
      </c>
    </row>
    <row r="119" spans="1:13" x14ac:dyDescent="0.15">
      <c r="A119" s="5">
        <v>44082</v>
      </c>
      <c r="B119">
        <v>8.4600000000000009</v>
      </c>
      <c r="C119">
        <v>6491</v>
      </c>
      <c r="D119">
        <v>4680.8</v>
      </c>
      <c r="F119">
        <v>2.3646252069054952E-4</v>
      </c>
      <c r="G119">
        <v>1.0901728702694284E-2</v>
      </c>
      <c r="H119">
        <v>7.5770621663509164E-3</v>
      </c>
      <c r="K119" s="5">
        <v>44082</v>
      </c>
      <c r="L119">
        <v>1.385</v>
      </c>
      <c r="M119">
        <v>1418.9922999999999</v>
      </c>
    </row>
    <row r="120" spans="1:13" x14ac:dyDescent="0.15">
      <c r="A120" s="5">
        <v>44083</v>
      </c>
      <c r="B120">
        <v>8.1969999999999992</v>
      </c>
      <c r="C120">
        <v>6326</v>
      </c>
      <c r="D120">
        <v>4577.2</v>
      </c>
      <c r="F120">
        <v>-3.1087470449172771E-2</v>
      </c>
      <c r="G120">
        <v>-2.5419812047450314E-2</v>
      </c>
      <c r="H120">
        <v>-2.2132968723295239E-2</v>
      </c>
      <c r="K120" s="5">
        <v>44083</v>
      </c>
      <c r="L120">
        <v>1.3180000000000001</v>
      </c>
      <c r="M120">
        <v>1351.0550000000001</v>
      </c>
    </row>
    <row r="121" spans="1:13" x14ac:dyDescent="0.15">
      <c r="A121" s="5">
        <v>44084</v>
      </c>
      <c r="B121">
        <v>8.2479999999999993</v>
      </c>
      <c r="C121">
        <v>6222</v>
      </c>
      <c r="D121">
        <v>4575.2</v>
      </c>
      <c r="F121">
        <v>6.221788459192407E-3</v>
      </c>
      <c r="G121">
        <v>-1.6440088523553588E-2</v>
      </c>
      <c r="H121">
        <v>-4.3694835270471032E-4</v>
      </c>
      <c r="K121" s="5">
        <v>44084</v>
      </c>
      <c r="L121">
        <v>1.3129999999999999</v>
      </c>
      <c r="M121">
        <v>1342.0682999999999</v>
      </c>
    </row>
    <row r="122" spans="1:13" x14ac:dyDescent="0.15">
      <c r="A122" s="5">
        <v>44085</v>
      </c>
      <c r="B122">
        <v>8.4</v>
      </c>
      <c r="C122">
        <v>6280</v>
      </c>
      <c r="D122">
        <v>4612.6000000000004</v>
      </c>
      <c r="F122">
        <v>1.8428709990300805E-2</v>
      </c>
      <c r="G122">
        <v>9.3217614914818392E-3</v>
      </c>
      <c r="H122">
        <v>8.1745060325232877E-3</v>
      </c>
      <c r="K122" s="5">
        <v>44085</v>
      </c>
      <c r="L122">
        <v>1.34</v>
      </c>
      <c r="M122">
        <v>1368.6877999999999</v>
      </c>
    </row>
    <row r="123" spans="1:13" x14ac:dyDescent="0.15">
      <c r="A123" s="5">
        <v>44088</v>
      </c>
      <c r="B123">
        <v>8.43</v>
      </c>
      <c r="C123">
        <v>6332.6</v>
      </c>
      <c r="D123">
        <v>4644.8</v>
      </c>
      <c r="F123">
        <v>3.571428571428495E-3</v>
      </c>
      <c r="G123">
        <v>8.3757961783440076E-3</v>
      </c>
      <c r="H123">
        <v>6.9808784633395085E-3</v>
      </c>
      <c r="K123" s="5">
        <v>44088</v>
      </c>
      <c r="L123">
        <v>1.35</v>
      </c>
      <c r="M123">
        <v>1382.1275000000001</v>
      </c>
    </row>
    <row r="124" spans="1:13" x14ac:dyDescent="0.15">
      <c r="A124" s="5">
        <v>44089</v>
      </c>
      <c r="B124">
        <v>8.5280000000000005</v>
      </c>
      <c r="C124">
        <v>6366.2</v>
      </c>
      <c r="D124">
        <v>4677.6000000000004</v>
      </c>
      <c r="F124">
        <v>1.1625148279952641E-2</v>
      </c>
      <c r="G124">
        <v>5.3058775226604319E-3</v>
      </c>
      <c r="H124">
        <v>7.0616603513607001E-3</v>
      </c>
      <c r="K124" s="5">
        <v>44089</v>
      </c>
      <c r="L124">
        <v>1.3640000000000001</v>
      </c>
      <c r="M124">
        <v>1395.6315999999999</v>
      </c>
    </row>
    <row r="125" spans="1:13" x14ac:dyDescent="0.15">
      <c r="A125" s="5">
        <v>44090</v>
      </c>
      <c r="B125">
        <v>8.4350000000000005</v>
      </c>
      <c r="C125">
        <v>6353.6</v>
      </c>
      <c r="D125">
        <v>4648.2</v>
      </c>
      <c r="F125">
        <v>-1.0905253283302059E-2</v>
      </c>
      <c r="G125">
        <v>-1.9792026640695322E-3</v>
      </c>
      <c r="H125">
        <v>-6.2852744997435742E-3</v>
      </c>
      <c r="K125" s="5">
        <v>44090</v>
      </c>
      <c r="L125">
        <v>1.341</v>
      </c>
      <c r="M125">
        <v>1371.4416000000001</v>
      </c>
    </row>
    <row r="126" spans="1:13" x14ac:dyDescent="0.15">
      <c r="A126" s="5">
        <v>44091</v>
      </c>
      <c r="B126">
        <v>8.3000000000000007</v>
      </c>
      <c r="C126">
        <v>6374</v>
      </c>
      <c r="D126">
        <v>4625.6000000000004</v>
      </c>
      <c r="F126">
        <v>-1.6004742145820958E-2</v>
      </c>
      <c r="G126">
        <v>3.2107781415260067E-3</v>
      </c>
      <c r="H126">
        <v>-4.8620971558881836E-3</v>
      </c>
      <c r="K126" s="5">
        <v>44091</v>
      </c>
      <c r="L126">
        <v>1.345</v>
      </c>
      <c r="M126">
        <v>1370.5734</v>
      </c>
    </row>
    <row r="127" spans="1:13" x14ac:dyDescent="0.15">
      <c r="A127" s="5">
        <v>44092</v>
      </c>
      <c r="B127">
        <v>8.4390000000000001</v>
      </c>
      <c r="C127">
        <v>6437.6</v>
      </c>
      <c r="D127">
        <v>4734.8</v>
      </c>
      <c r="F127">
        <v>1.6746987951807148E-2</v>
      </c>
      <c r="G127">
        <v>9.9780357703169696E-3</v>
      </c>
      <c r="H127">
        <v>2.3607748184019329E-2</v>
      </c>
      <c r="K127" s="5">
        <v>44092</v>
      </c>
      <c r="L127">
        <v>1.369</v>
      </c>
      <c r="M127">
        <v>1393.9653000000001</v>
      </c>
    </row>
    <row r="128" spans="1:13" x14ac:dyDescent="0.15">
      <c r="A128" s="5">
        <v>44095</v>
      </c>
      <c r="B128">
        <v>8.3559999999999999</v>
      </c>
      <c r="C128">
        <v>6373.8</v>
      </c>
      <c r="D128">
        <v>4673.6000000000004</v>
      </c>
      <c r="F128">
        <v>-9.8352885412963838E-3</v>
      </c>
      <c r="G128">
        <v>-9.9105256617373211E-3</v>
      </c>
      <c r="H128">
        <v>-1.2925572357860906E-2</v>
      </c>
      <c r="K128" s="5">
        <v>44095</v>
      </c>
      <c r="L128">
        <v>1.353</v>
      </c>
      <c r="M128">
        <v>1378.5762999999999</v>
      </c>
    </row>
    <row r="129" spans="1:13" x14ac:dyDescent="0.15">
      <c r="A129" s="5">
        <v>44096</v>
      </c>
      <c r="B129">
        <v>8.3190000000000008</v>
      </c>
      <c r="C129">
        <v>6292.2</v>
      </c>
      <c r="D129">
        <v>4617.8</v>
      </c>
      <c r="F129">
        <v>-4.4279559597892575E-3</v>
      </c>
      <c r="G129">
        <v>-1.2802409865386482E-2</v>
      </c>
      <c r="H129">
        <v>-1.1939404313591273E-2</v>
      </c>
      <c r="K129" s="5">
        <v>44096</v>
      </c>
      <c r="L129">
        <v>1.35</v>
      </c>
      <c r="M129">
        <v>1375.8164999999999</v>
      </c>
    </row>
    <row r="130" spans="1:13" x14ac:dyDescent="0.15">
      <c r="A130" s="5">
        <v>44097</v>
      </c>
      <c r="B130">
        <v>8.3989999999999991</v>
      </c>
      <c r="C130">
        <v>6323</v>
      </c>
      <c r="D130">
        <v>4621.2</v>
      </c>
      <c r="F130">
        <v>9.6165404495730609E-3</v>
      </c>
      <c r="G130">
        <v>4.8949493023108265E-3</v>
      </c>
      <c r="H130">
        <v>7.3628134609546455E-4</v>
      </c>
      <c r="K130" s="5">
        <v>44097</v>
      </c>
      <c r="L130">
        <v>1.3759999999999999</v>
      </c>
      <c r="M130">
        <v>1399.8003000000001</v>
      </c>
    </row>
    <row r="131" spans="1:13" x14ac:dyDescent="0.15">
      <c r="A131" s="5">
        <v>44098</v>
      </c>
      <c r="B131">
        <v>8.2620000000000005</v>
      </c>
      <c r="C131">
        <v>6190.2</v>
      </c>
      <c r="D131">
        <v>4548.3999999999996</v>
      </c>
      <c r="F131">
        <v>-1.6311465650672544E-2</v>
      </c>
      <c r="G131">
        <v>-2.1002688597184908E-2</v>
      </c>
      <c r="H131">
        <v>-1.5753483943564482E-2</v>
      </c>
      <c r="K131" s="5">
        <v>44098</v>
      </c>
      <c r="L131">
        <v>1.347</v>
      </c>
      <c r="M131">
        <v>1369.1124</v>
      </c>
    </row>
    <row r="132" spans="1:13" x14ac:dyDescent="0.15">
      <c r="A132" s="5">
        <v>44099</v>
      </c>
      <c r="B132">
        <v>8.2769999999999992</v>
      </c>
      <c r="C132">
        <v>6209.6</v>
      </c>
      <c r="D132">
        <v>4563.3999999999996</v>
      </c>
      <c r="F132">
        <v>1.8155410312271595E-3</v>
      </c>
      <c r="G132">
        <v>3.1339859778360224E-3</v>
      </c>
      <c r="H132">
        <v>3.2978629847858591E-3</v>
      </c>
      <c r="K132" s="5">
        <v>44099</v>
      </c>
      <c r="L132">
        <v>1.3540000000000001</v>
      </c>
      <c r="M132">
        <v>1374.7383</v>
      </c>
    </row>
    <row r="133" spans="1:13" x14ac:dyDescent="0.15">
      <c r="A133" s="5">
        <v>44102</v>
      </c>
      <c r="B133">
        <v>8.2789999999999999</v>
      </c>
      <c r="C133">
        <v>6157.2</v>
      </c>
      <c r="D133">
        <v>4577</v>
      </c>
      <c r="F133">
        <v>2.4163344206846299E-4</v>
      </c>
      <c r="G133">
        <v>-8.4385467662974334E-3</v>
      </c>
      <c r="H133">
        <v>2.9802340360258503E-3</v>
      </c>
      <c r="K133" s="5">
        <v>44102</v>
      </c>
      <c r="L133">
        <v>1.345</v>
      </c>
      <c r="M133">
        <v>1365.2911999999999</v>
      </c>
    </row>
    <row r="134" spans="1:13" x14ac:dyDescent="0.15">
      <c r="A134" s="5">
        <v>44103</v>
      </c>
      <c r="B134">
        <v>8.3469999999999995</v>
      </c>
      <c r="C134">
        <v>6213.4</v>
      </c>
      <c r="D134">
        <v>4586.2</v>
      </c>
      <c r="F134">
        <v>8.2135523613962574E-3</v>
      </c>
      <c r="G134">
        <v>9.1275254986032325E-3</v>
      </c>
      <c r="H134">
        <v>2.0100502512562417E-3</v>
      </c>
      <c r="K134" s="5">
        <v>44103</v>
      </c>
      <c r="L134">
        <v>1.3660000000000001</v>
      </c>
      <c r="M134">
        <v>1388.7085</v>
      </c>
    </row>
    <row r="135" spans="1:13" x14ac:dyDescent="0.15">
      <c r="A135" s="5">
        <v>44104</v>
      </c>
      <c r="B135">
        <v>8.3819999999999997</v>
      </c>
      <c r="C135">
        <v>6163</v>
      </c>
      <c r="D135">
        <v>4555.3999999999996</v>
      </c>
      <c r="F135">
        <v>4.193123277824385E-3</v>
      </c>
      <c r="G135">
        <v>-8.1115009495605697E-3</v>
      </c>
      <c r="H135">
        <v>-6.7157995726309762E-3</v>
      </c>
      <c r="K135" s="5">
        <v>44104</v>
      </c>
      <c r="L135">
        <v>1.3740000000000001</v>
      </c>
      <c r="M135">
        <v>1397.6473000000001</v>
      </c>
    </row>
    <row r="136" spans="1:13" x14ac:dyDescent="0.15">
      <c r="A136" s="5">
        <v>44113</v>
      </c>
      <c r="B136">
        <v>8.5370000000000008</v>
      </c>
      <c r="C136">
        <v>6332.6</v>
      </c>
      <c r="D136">
        <v>4660.3999999999996</v>
      </c>
      <c r="F136">
        <v>1.8492006680983195E-2</v>
      </c>
      <c r="G136">
        <v>2.7519065390232089E-2</v>
      </c>
      <c r="H136">
        <v>2.3049567546208898E-2</v>
      </c>
      <c r="K136" s="5">
        <v>44113</v>
      </c>
      <c r="L136">
        <v>1.4239999999999999</v>
      </c>
      <c r="M136">
        <v>1450.16</v>
      </c>
    </row>
    <row r="137" spans="1:13" x14ac:dyDescent="0.15">
      <c r="A137" s="5">
        <v>44116</v>
      </c>
      <c r="B137">
        <v>8.7859999999999996</v>
      </c>
      <c r="C137">
        <v>6539.8</v>
      </c>
      <c r="D137">
        <v>4819.6000000000004</v>
      </c>
      <c r="F137">
        <v>2.9167154738198284E-2</v>
      </c>
      <c r="G137">
        <v>3.2719578056406504E-2</v>
      </c>
      <c r="H137">
        <v>3.416015792635841E-2</v>
      </c>
      <c r="K137" s="5">
        <v>44116</v>
      </c>
      <c r="L137">
        <v>1.478</v>
      </c>
      <c r="M137">
        <v>1507.9702</v>
      </c>
    </row>
    <row r="138" spans="1:13" x14ac:dyDescent="0.15">
      <c r="A138" s="5">
        <v>44117</v>
      </c>
      <c r="B138">
        <v>8.8460000000000001</v>
      </c>
      <c r="C138">
        <v>6538.4</v>
      </c>
      <c r="D138">
        <v>4832.2</v>
      </c>
      <c r="F138">
        <v>6.8290462098794108E-3</v>
      </c>
      <c r="G138">
        <v>-2.1407382488769467E-4</v>
      </c>
      <c r="H138">
        <v>2.6143248402355906E-3</v>
      </c>
      <c r="K138" s="5">
        <v>44117</v>
      </c>
      <c r="L138">
        <v>1.4810000000000001</v>
      </c>
      <c r="M138">
        <v>1512.0709999999999</v>
      </c>
    </row>
    <row r="139" spans="1:13" x14ac:dyDescent="0.15">
      <c r="A139" s="5">
        <v>44118</v>
      </c>
      <c r="B139">
        <v>8.8170000000000002</v>
      </c>
      <c r="C139">
        <v>6511</v>
      </c>
      <c r="D139">
        <v>4813.6000000000004</v>
      </c>
      <c r="F139">
        <v>-3.2783178837892737E-3</v>
      </c>
      <c r="G139">
        <v>-4.1906276764957237E-3</v>
      </c>
      <c r="H139">
        <v>-3.8491784280450842E-3</v>
      </c>
      <c r="K139" s="5">
        <v>44118</v>
      </c>
      <c r="L139">
        <v>1.474</v>
      </c>
      <c r="M139">
        <v>1502.9188999999999</v>
      </c>
    </row>
    <row r="140" spans="1:13" x14ac:dyDescent="0.15">
      <c r="A140" s="5">
        <v>44119</v>
      </c>
      <c r="B140">
        <v>8.7390000000000008</v>
      </c>
      <c r="C140">
        <v>6466</v>
      </c>
      <c r="D140">
        <v>4802.6000000000004</v>
      </c>
      <c r="F140">
        <v>-8.8465464443687643E-3</v>
      </c>
      <c r="G140">
        <v>-6.9113807402856704E-3</v>
      </c>
      <c r="H140">
        <v>-2.2851919561243141E-3</v>
      </c>
      <c r="K140" s="5">
        <v>44119</v>
      </c>
      <c r="L140">
        <v>1.464</v>
      </c>
      <c r="M140">
        <v>1491.8226</v>
      </c>
    </row>
    <row r="141" spans="1:13" x14ac:dyDescent="0.15">
      <c r="A141" s="5">
        <v>44120</v>
      </c>
      <c r="B141">
        <v>8.7040000000000006</v>
      </c>
      <c r="C141">
        <v>6356</v>
      </c>
      <c r="D141">
        <v>4767.3999999999996</v>
      </c>
      <c r="F141">
        <v>-4.0050349010184389E-3</v>
      </c>
      <c r="G141">
        <v>-1.7012063099288585E-2</v>
      </c>
      <c r="H141">
        <v>-7.3293632615668023E-3</v>
      </c>
      <c r="K141" s="5">
        <v>44120</v>
      </c>
      <c r="L141">
        <v>1.458</v>
      </c>
      <c r="M141">
        <v>1484.0821000000001</v>
      </c>
    </row>
    <row r="142" spans="1:13" x14ac:dyDescent="0.15">
      <c r="A142" s="5">
        <v>44123</v>
      </c>
      <c r="B142">
        <v>8.5359999999999996</v>
      </c>
      <c r="C142">
        <v>6281.6</v>
      </c>
      <c r="D142">
        <v>4731.6000000000004</v>
      </c>
      <c r="F142">
        <v>-1.9301470588235413E-2</v>
      </c>
      <c r="G142">
        <v>-1.1705475141598433E-2</v>
      </c>
      <c r="H142">
        <v>-7.5093342283003893E-3</v>
      </c>
      <c r="K142" s="5">
        <v>44123</v>
      </c>
      <c r="L142">
        <v>1.4379999999999999</v>
      </c>
      <c r="M142">
        <v>1463.6977999999999</v>
      </c>
    </row>
    <row r="143" spans="1:13" x14ac:dyDescent="0.15">
      <c r="A143" s="5">
        <v>44124</v>
      </c>
      <c r="B143">
        <v>8.6910000000000007</v>
      </c>
      <c r="C143">
        <v>6356.4</v>
      </c>
      <c r="D143">
        <v>4762</v>
      </c>
      <c r="F143">
        <v>1.8158388003748964E-2</v>
      </c>
      <c r="G143">
        <v>1.1907794192562288E-2</v>
      </c>
      <c r="H143">
        <v>6.424887987150147E-3</v>
      </c>
      <c r="K143" s="5">
        <v>44124</v>
      </c>
      <c r="L143">
        <v>1.4670000000000001</v>
      </c>
      <c r="M143">
        <v>1493.4780000000001</v>
      </c>
    </row>
    <row r="144" spans="1:13" x14ac:dyDescent="0.15">
      <c r="A144" s="5">
        <v>44125</v>
      </c>
      <c r="B144">
        <v>8.6620000000000008</v>
      </c>
      <c r="C144">
        <v>6289.6</v>
      </c>
      <c r="D144">
        <v>4769.6000000000004</v>
      </c>
      <c r="F144">
        <v>-3.3367851800713282E-3</v>
      </c>
      <c r="G144">
        <v>-1.0509093197407223E-2</v>
      </c>
      <c r="H144">
        <v>1.5959680806384637E-3</v>
      </c>
      <c r="K144" s="5">
        <v>44125</v>
      </c>
      <c r="L144">
        <v>1.448</v>
      </c>
      <c r="M144">
        <v>1474.7644</v>
      </c>
    </row>
    <row r="145" spans="1:13" x14ac:dyDescent="0.15">
      <c r="A145" s="5">
        <v>44126</v>
      </c>
      <c r="B145">
        <v>8.6219999999999999</v>
      </c>
      <c r="C145">
        <v>6261.2</v>
      </c>
      <c r="D145">
        <v>4751</v>
      </c>
      <c r="F145">
        <v>-4.6178711613947031E-3</v>
      </c>
      <c r="G145">
        <v>-4.5153904858815418E-3</v>
      </c>
      <c r="H145">
        <v>-3.899698087890046E-3</v>
      </c>
      <c r="K145" s="5">
        <v>44126</v>
      </c>
      <c r="L145">
        <v>1.4319999999999999</v>
      </c>
      <c r="M145">
        <v>1458.0308</v>
      </c>
    </row>
    <row r="146" spans="1:13" x14ac:dyDescent="0.15">
      <c r="A146" s="5">
        <v>44127</v>
      </c>
      <c r="B146">
        <v>8.5009999999999994</v>
      </c>
      <c r="C146">
        <v>6168.8</v>
      </c>
      <c r="D146">
        <v>4711</v>
      </c>
      <c r="F146">
        <v>-1.4033866852238511E-2</v>
      </c>
      <c r="G146">
        <v>-1.4757554462403316E-2</v>
      </c>
      <c r="H146">
        <v>-8.4192801515470435E-3</v>
      </c>
      <c r="K146" s="5">
        <v>44127</v>
      </c>
      <c r="L146">
        <v>1.395</v>
      </c>
      <c r="M146">
        <v>1416.9967999999999</v>
      </c>
    </row>
    <row r="147" spans="1:13" x14ac:dyDescent="0.15">
      <c r="A147" s="5">
        <v>44130</v>
      </c>
      <c r="B147">
        <v>8.4380000000000006</v>
      </c>
      <c r="C147">
        <v>6180.2</v>
      </c>
      <c r="D147">
        <v>4670</v>
      </c>
      <c r="F147">
        <v>-7.4108928361367888E-3</v>
      </c>
      <c r="G147">
        <v>1.8480093373102768E-3</v>
      </c>
      <c r="H147">
        <v>-8.703035448949268E-3</v>
      </c>
      <c r="K147" s="5">
        <v>44130</v>
      </c>
      <c r="L147">
        <v>1.4039999999999999</v>
      </c>
      <c r="M147">
        <v>1425.0025000000001</v>
      </c>
    </row>
    <row r="148" spans="1:13" x14ac:dyDescent="0.15">
      <c r="A148" s="5">
        <v>44131</v>
      </c>
      <c r="B148">
        <v>8.4670000000000005</v>
      </c>
      <c r="C148">
        <v>6172.8</v>
      </c>
      <c r="D148">
        <v>4680.6000000000004</v>
      </c>
      <c r="F148">
        <v>3.4368333728371551E-3</v>
      </c>
      <c r="G148">
        <v>-1.1973722533250763E-3</v>
      </c>
      <c r="H148">
        <v>2.2698072805139966E-3</v>
      </c>
      <c r="K148" s="5">
        <v>44131</v>
      </c>
      <c r="L148">
        <v>1.423</v>
      </c>
      <c r="M148">
        <v>1447.3831</v>
      </c>
    </row>
    <row r="149" spans="1:13" x14ac:dyDescent="0.15">
      <c r="A149" s="5">
        <v>44132</v>
      </c>
      <c r="B149">
        <v>8.6349999999999998</v>
      </c>
      <c r="C149">
        <v>6211.6</v>
      </c>
      <c r="D149">
        <v>4724.2</v>
      </c>
      <c r="F149">
        <v>1.9841738514231634E-2</v>
      </c>
      <c r="G149">
        <v>6.2856402280974891E-3</v>
      </c>
      <c r="H149">
        <v>9.3150450796905208E-3</v>
      </c>
      <c r="K149" s="5">
        <v>44132</v>
      </c>
      <c r="L149">
        <v>1.4350000000000001</v>
      </c>
      <c r="M149">
        <v>1460.8810000000001</v>
      </c>
    </row>
    <row r="150" spans="1:13" x14ac:dyDescent="0.15">
      <c r="A150" s="5">
        <v>44133</v>
      </c>
      <c r="B150">
        <v>8.7989999999999995</v>
      </c>
      <c r="C150">
        <v>6231</v>
      </c>
      <c r="D150">
        <v>4770.3999999999996</v>
      </c>
      <c r="F150">
        <v>1.8992472495657175E-2</v>
      </c>
      <c r="G150">
        <v>3.123188872432165E-3</v>
      </c>
      <c r="H150">
        <v>9.7794335548875618E-3</v>
      </c>
      <c r="K150" s="5">
        <v>44133</v>
      </c>
      <c r="L150">
        <v>1.454</v>
      </c>
      <c r="M150">
        <v>1479.5469000000001</v>
      </c>
    </row>
    <row r="151" spans="1:13" x14ac:dyDescent="0.15">
      <c r="A151" s="5">
        <v>44134</v>
      </c>
      <c r="B151">
        <v>8.6150000000000002</v>
      </c>
      <c r="C151">
        <v>6068.2</v>
      </c>
      <c r="D151">
        <v>4683.6000000000004</v>
      </c>
      <c r="F151">
        <v>-2.0911467212183121E-2</v>
      </c>
      <c r="G151">
        <v>-2.6127427379232897E-2</v>
      </c>
      <c r="H151">
        <v>-1.8195539158141722E-2</v>
      </c>
      <c r="K151" s="5">
        <v>44134</v>
      </c>
      <c r="L151">
        <v>1.4319999999999999</v>
      </c>
      <c r="M151">
        <v>1455.0798</v>
      </c>
    </row>
    <row r="152" spans="1:13" x14ac:dyDescent="0.15">
      <c r="A152" s="5">
        <v>44137</v>
      </c>
      <c r="B152">
        <v>8.6039999999999992</v>
      </c>
      <c r="C152">
        <v>6109.8</v>
      </c>
      <c r="D152">
        <v>4711</v>
      </c>
      <c r="F152">
        <v>-1.2768427161928043E-3</v>
      </c>
      <c r="G152">
        <v>6.855410171055727E-3</v>
      </c>
      <c r="H152">
        <v>5.8502007003159179E-3</v>
      </c>
      <c r="K152" s="5">
        <v>44137</v>
      </c>
      <c r="L152">
        <v>1.46</v>
      </c>
      <c r="M152">
        <v>1485.2519</v>
      </c>
    </row>
    <row r="153" spans="1:13" x14ac:dyDescent="0.15">
      <c r="A153" s="5">
        <v>44138</v>
      </c>
      <c r="B153">
        <v>8.6869999999999994</v>
      </c>
      <c r="C153">
        <v>6209.2</v>
      </c>
      <c r="D153">
        <v>4756.8</v>
      </c>
      <c r="F153">
        <v>9.6466759646676187E-3</v>
      </c>
      <c r="G153">
        <v>1.6268944973648832E-2</v>
      </c>
      <c r="H153">
        <v>9.7219274039482446E-3</v>
      </c>
      <c r="K153" s="5">
        <v>44138</v>
      </c>
      <c r="L153">
        <v>1.4770000000000001</v>
      </c>
      <c r="M153">
        <v>1503.9428</v>
      </c>
    </row>
    <row r="154" spans="1:13" x14ac:dyDescent="0.15">
      <c r="A154" s="5">
        <v>44139</v>
      </c>
      <c r="B154">
        <v>8.7799999999999994</v>
      </c>
      <c r="C154">
        <v>6200.2</v>
      </c>
      <c r="D154">
        <v>4799.2</v>
      </c>
      <c r="F154">
        <v>1.0705652123863242E-2</v>
      </c>
      <c r="G154">
        <v>-1.4494620885138183E-3</v>
      </c>
      <c r="H154">
        <v>8.9135553313150935E-3</v>
      </c>
      <c r="K154" s="5">
        <v>44139</v>
      </c>
      <c r="L154">
        <v>1.4870000000000001</v>
      </c>
      <c r="M154">
        <v>1515.4755</v>
      </c>
    </row>
    <row r="155" spans="1:13" x14ac:dyDescent="0.15">
      <c r="A155" s="5">
        <v>44140</v>
      </c>
      <c r="B155">
        <v>8.9209999999999994</v>
      </c>
      <c r="C155">
        <v>6333.8</v>
      </c>
      <c r="D155">
        <v>4875</v>
      </c>
      <c r="F155">
        <v>1.6059225512528478E-2</v>
      </c>
      <c r="G155">
        <v>2.1547692009935223E-2</v>
      </c>
      <c r="H155">
        <v>1.5794299049841677E-2</v>
      </c>
      <c r="K155" s="5">
        <v>44140</v>
      </c>
      <c r="L155">
        <v>1.5049999999999999</v>
      </c>
      <c r="M155">
        <v>1534.1378999999999</v>
      </c>
    </row>
    <row r="156" spans="1:13" x14ac:dyDescent="0.15">
      <c r="A156" s="5">
        <v>44141</v>
      </c>
      <c r="B156">
        <v>8.8409999999999993</v>
      </c>
      <c r="C156">
        <v>6288.4</v>
      </c>
      <c r="D156">
        <v>4879.8</v>
      </c>
      <c r="F156">
        <v>-8.9676045286402953E-3</v>
      </c>
      <c r="G156">
        <v>-7.1678928921027731E-3</v>
      </c>
      <c r="H156">
        <v>9.8461538461542186E-4</v>
      </c>
      <c r="K156" s="5">
        <v>44141</v>
      </c>
      <c r="L156">
        <v>1.478</v>
      </c>
      <c r="M156">
        <v>1502.9491</v>
      </c>
    </row>
    <row r="157" spans="1:13" x14ac:dyDescent="0.15">
      <c r="A157" s="5">
        <v>44144</v>
      </c>
      <c r="B157">
        <v>8.9220000000000006</v>
      </c>
      <c r="C157">
        <v>6383.2</v>
      </c>
      <c r="D157">
        <v>4974.3999999999996</v>
      </c>
      <c r="F157">
        <v>9.1618595181542015E-3</v>
      </c>
      <c r="G157">
        <v>1.5075376884422141E-2</v>
      </c>
      <c r="H157">
        <v>1.938604041149216E-2</v>
      </c>
      <c r="K157" s="5">
        <v>44144</v>
      </c>
      <c r="L157">
        <v>1.524</v>
      </c>
      <c r="M157">
        <v>1547.7181</v>
      </c>
    </row>
    <row r="158" spans="1:13" x14ac:dyDescent="0.15">
      <c r="A158" s="5">
        <v>44145</v>
      </c>
      <c r="B158">
        <v>8.8889999999999993</v>
      </c>
      <c r="C158">
        <v>6344.2</v>
      </c>
      <c r="D158">
        <v>4950</v>
      </c>
      <c r="F158">
        <v>-3.6987222595831933E-3</v>
      </c>
      <c r="G158">
        <v>-6.1097881940092745E-3</v>
      </c>
      <c r="H158">
        <v>-4.9051141846252087E-3</v>
      </c>
      <c r="K158" s="5">
        <v>44145</v>
      </c>
      <c r="L158">
        <v>1.4950000000000001</v>
      </c>
      <c r="M158">
        <v>1524.3598999999999</v>
      </c>
    </row>
    <row r="159" spans="1:13" x14ac:dyDescent="0.15">
      <c r="A159" s="5">
        <v>44146</v>
      </c>
      <c r="B159">
        <v>8.7850000000000001</v>
      </c>
      <c r="C159">
        <v>6268.4</v>
      </c>
      <c r="D159">
        <v>4907.3999999999996</v>
      </c>
      <c r="F159">
        <v>-1.1699853751828013E-2</v>
      </c>
      <c r="G159">
        <v>-1.1947920935657795E-2</v>
      </c>
      <c r="H159">
        <v>-8.6060606060606795E-3</v>
      </c>
      <c r="K159" s="5">
        <v>44146</v>
      </c>
      <c r="L159">
        <v>1.4470000000000001</v>
      </c>
      <c r="M159">
        <v>1473.7268999999999</v>
      </c>
    </row>
    <row r="160" spans="1:13" x14ac:dyDescent="0.15">
      <c r="A160" s="5">
        <v>44147</v>
      </c>
      <c r="B160">
        <v>8.8580000000000005</v>
      </c>
      <c r="C160">
        <v>6290.2</v>
      </c>
      <c r="D160">
        <v>4902.6000000000004</v>
      </c>
      <c r="F160">
        <v>8.30961866818445E-3</v>
      </c>
      <c r="G160">
        <v>3.4777614702316672E-3</v>
      </c>
      <c r="H160">
        <v>-9.7811468394654456E-4</v>
      </c>
      <c r="K160" s="5">
        <v>44147</v>
      </c>
      <c r="L160">
        <v>1.462</v>
      </c>
      <c r="M160">
        <v>1483.6568</v>
      </c>
    </row>
    <row r="161" spans="1:13" x14ac:dyDescent="0.15">
      <c r="A161" s="5">
        <v>44148</v>
      </c>
      <c r="B161">
        <v>8.734</v>
      </c>
      <c r="C161">
        <v>6292.2</v>
      </c>
      <c r="D161">
        <v>4850.6000000000004</v>
      </c>
      <c r="F161">
        <v>-1.3998645292391121E-2</v>
      </c>
      <c r="G161">
        <v>3.1795491399319576E-4</v>
      </c>
      <c r="H161">
        <v>-1.060661689715661E-2</v>
      </c>
      <c r="K161" s="5">
        <v>44148</v>
      </c>
      <c r="L161">
        <v>1.464</v>
      </c>
      <c r="M161">
        <v>1486.0170000000001</v>
      </c>
    </row>
    <row r="162" spans="1:13" x14ac:dyDescent="0.15">
      <c r="A162" s="5">
        <v>44151</v>
      </c>
      <c r="B162">
        <v>8.7859999999999996</v>
      </c>
      <c r="C162">
        <v>6370.8</v>
      </c>
      <c r="D162">
        <v>4904.6000000000004</v>
      </c>
      <c r="F162">
        <v>5.9537439890084273E-3</v>
      </c>
      <c r="G162">
        <v>1.2491656336416574E-2</v>
      </c>
      <c r="H162">
        <v>1.1132643384323588E-2</v>
      </c>
      <c r="K162" s="5">
        <v>44151</v>
      </c>
      <c r="L162">
        <v>1.462</v>
      </c>
      <c r="M162">
        <v>1492.6188999999999</v>
      </c>
    </row>
    <row r="163" spans="1:13" x14ac:dyDescent="0.15">
      <c r="A163" s="5">
        <v>44152</v>
      </c>
      <c r="B163">
        <v>8.6790000000000003</v>
      </c>
      <c r="C163">
        <v>6334</v>
      </c>
      <c r="D163">
        <v>4891.6000000000004</v>
      </c>
      <c r="F163">
        <v>-1.2178465740951437E-2</v>
      </c>
      <c r="G163">
        <v>-5.7763546179443997E-3</v>
      </c>
      <c r="H163">
        <v>-2.6505729315336622E-3</v>
      </c>
      <c r="K163" s="5">
        <v>44152</v>
      </c>
      <c r="L163">
        <v>1.4390000000000001</v>
      </c>
      <c r="M163">
        <v>1460.4963</v>
      </c>
    </row>
    <row r="164" spans="1:13" x14ac:dyDescent="0.15">
      <c r="A164" s="5">
        <v>44153</v>
      </c>
      <c r="B164">
        <v>8.5719999999999992</v>
      </c>
      <c r="C164">
        <v>6330.4</v>
      </c>
      <c r="D164">
        <v>4885.6000000000004</v>
      </c>
      <c r="F164">
        <v>-1.2328609286784318E-2</v>
      </c>
      <c r="G164">
        <v>-5.6836122513425388E-4</v>
      </c>
      <c r="H164">
        <v>-1.2265925259628751E-3</v>
      </c>
      <c r="K164" s="5">
        <v>44153</v>
      </c>
      <c r="L164">
        <v>1.4139999999999999</v>
      </c>
      <c r="M164">
        <v>1434.6932999999999</v>
      </c>
    </row>
    <row r="165" spans="1:13" x14ac:dyDescent="0.15">
      <c r="A165" s="5">
        <v>44154</v>
      </c>
      <c r="B165">
        <v>8.6959999999999997</v>
      </c>
      <c r="C165">
        <v>6373</v>
      </c>
      <c r="D165">
        <v>4933.6000000000004</v>
      </c>
      <c r="F165">
        <v>1.4465702286514299E-2</v>
      </c>
      <c r="G165">
        <v>6.7294325792999444E-3</v>
      </c>
      <c r="H165">
        <v>9.8247912231865069E-3</v>
      </c>
      <c r="K165" s="5">
        <v>44154</v>
      </c>
      <c r="L165">
        <v>1.429</v>
      </c>
      <c r="M165">
        <v>1450.0525</v>
      </c>
    </row>
    <row r="166" spans="1:13" x14ac:dyDescent="0.15">
      <c r="A166" s="5">
        <v>44155</v>
      </c>
      <c r="B166">
        <v>8.7840000000000007</v>
      </c>
      <c r="C166">
        <v>6379.2</v>
      </c>
      <c r="D166">
        <v>4937.2</v>
      </c>
      <c r="F166">
        <v>1.0119595216191464E-2</v>
      </c>
      <c r="G166">
        <v>9.7285422877762715E-4</v>
      </c>
      <c r="H166">
        <v>7.2969028701140224E-4</v>
      </c>
      <c r="K166" s="5">
        <v>44155</v>
      </c>
      <c r="L166">
        <v>1.4410000000000001</v>
      </c>
      <c r="M166">
        <v>1461.4965999999999</v>
      </c>
    </row>
    <row r="167" spans="1:13" x14ac:dyDescent="0.15">
      <c r="A167" s="5">
        <v>44158</v>
      </c>
      <c r="B167">
        <v>8.8249999999999993</v>
      </c>
      <c r="C167">
        <v>6434</v>
      </c>
      <c r="D167">
        <v>4995</v>
      </c>
      <c r="F167">
        <v>4.6675774134788926E-3</v>
      </c>
      <c r="G167">
        <v>8.5904188612992514E-3</v>
      </c>
      <c r="H167">
        <v>1.1707040427772864E-2</v>
      </c>
      <c r="K167" s="5">
        <v>44158</v>
      </c>
      <c r="L167">
        <v>1.4450000000000001</v>
      </c>
      <c r="M167">
        <v>1469.2067999999999</v>
      </c>
    </row>
    <row r="168" spans="1:13" x14ac:dyDescent="0.15">
      <c r="A168" s="5">
        <v>44159</v>
      </c>
      <c r="B168">
        <v>8.7609999999999992</v>
      </c>
      <c r="C168">
        <v>6425.2</v>
      </c>
      <c r="D168">
        <v>4971.8</v>
      </c>
      <c r="F168">
        <v>-7.2521246458923582E-3</v>
      </c>
      <c r="G168">
        <v>-1.3677339135841128E-3</v>
      </c>
      <c r="H168">
        <v>-4.6446446446446084E-3</v>
      </c>
      <c r="K168" s="5">
        <v>44159</v>
      </c>
      <c r="L168">
        <v>1.4350000000000001</v>
      </c>
      <c r="M168">
        <v>1458.6812</v>
      </c>
    </row>
    <row r="169" spans="1:13" x14ac:dyDescent="0.15">
      <c r="A169" s="5">
        <v>44160</v>
      </c>
      <c r="B169">
        <v>8.6020000000000003</v>
      </c>
      <c r="C169">
        <v>6325.4</v>
      </c>
      <c r="D169">
        <v>4910</v>
      </c>
      <c r="F169">
        <v>-1.8148613172012204E-2</v>
      </c>
      <c r="G169">
        <v>-1.5532590425200801E-2</v>
      </c>
      <c r="H169">
        <v>-1.2430105796693387E-2</v>
      </c>
      <c r="K169" s="5">
        <v>44160</v>
      </c>
      <c r="L169">
        <v>1.405</v>
      </c>
      <c r="M169">
        <v>1424.7245</v>
      </c>
    </row>
    <row r="170" spans="1:13" x14ac:dyDescent="0.15">
      <c r="A170" s="5">
        <v>44161</v>
      </c>
      <c r="B170">
        <v>8.5820000000000007</v>
      </c>
      <c r="C170">
        <v>6314.4</v>
      </c>
      <c r="D170">
        <v>4914</v>
      </c>
      <c r="F170">
        <v>-2.3250406882119939E-3</v>
      </c>
      <c r="G170">
        <v>-1.7390204572042876E-3</v>
      </c>
      <c r="H170">
        <v>8.1466395112016296E-4</v>
      </c>
      <c r="K170" s="5">
        <v>44161</v>
      </c>
      <c r="L170">
        <v>1.405</v>
      </c>
      <c r="M170">
        <v>1423.2077999999999</v>
      </c>
    </row>
    <row r="171" spans="1:13" x14ac:dyDescent="0.15">
      <c r="A171" s="5">
        <v>44162</v>
      </c>
      <c r="B171">
        <v>8.6609999999999996</v>
      </c>
      <c r="C171">
        <v>6344</v>
      </c>
      <c r="D171">
        <v>4987.8</v>
      </c>
      <c r="F171">
        <v>9.2053134467488754E-3</v>
      </c>
      <c r="G171">
        <v>4.6876979602179722E-3</v>
      </c>
      <c r="H171">
        <v>1.5018315018315055E-2</v>
      </c>
      <c r="K171" s="5">
        <v>44162</v>
      </c>
      <c r="L171">
        <v>1.409</v>
      </c>
      <c r="M171">
        <v>1430.9474</v>
      </c>
    </row>
    <row r="172" spans="1:13" x14ac:dyDescent="0.15">
      <c r="A172" s="5">
        <v>44165</v>
      </c>
      <c r="B172">
        <v>8.5960000000000001</v>
      </c>
      <c r="C172">
        <v>6293</v>
      </c>
      <c r="D172">
        <v>4961.2</v>
      </c>
      <c r="F172">
        <v>-7.5049070546125739E-3</v>
      </c>
      <c r="G172">
        <v>-8.0390920554854976E-3</v>
      </c>
      <c r="H172">
        <v>-5.3330125506235943E-3</v>
      </c>
      <c r="K172" s="5">
        <v>44165</v>
      </c>
      <c r="L172">
        <v>1.4159999999999999</v>
      </c>
      <c r="M172">
        <v>1437.6251</v>
      </c>
    </row>
    <row r="173" spans="1:13" x14ac:dyDescent="0.15">
      <c r="A173" s="5">
        <v>44166</v>
      </c>
      <c r="B173">
        <v>8.7430000000000003</v>
      </c>
      <c r="C173">
        <v>6406.6</v>
      </c>
      <c r="D173">
        <v>5075</v>
      </c>
      <c r="F173">
        <v>1.7100977198697097E-2</v>
      </c>
      <c r="G173">
        <v>1.8051803591291968E-2</v>
      </c>
      <c r="H173">
        <v>2.2937998871240865E-2</v>
      </c>
      <c r="K173" s="5">
        <v>44166</v>
      </c>
      <c r="L173">
        <v>1.452</v>
      </c>
      <c r="M173">
        <v>1477.5424</v>
      </c>
    </row>
    <row r="174" spans="1:13" x14ac:dyDescent="0.15">
      <c r="A174" s="5">
        <v>44167</v>
      </c>
      <c r="B174">
        <v>8.7149999999999999</v>
      </c>
      <c r="C174">
        <v>6402</v>
      </c>
      <c r="D174">
        <v>5064.3999999999996</v>
      </c>
      <c r="F174">
        <v>-3.2025620496397653E-3</v>
      </c>
      <c r="G174">
        <v>-7.1800955264888762E-4</v>
      </c>
      <c r="H174">
        <v>-2.088669950738988E-3</v>
      </c>
      <c r="K174" s="5">
        <v>44167</v>
      </c>
      <c r="L174">
        <v>1.4430000000000001</v>
      </c>
      <c r="M174">
        <v>1468.2125000000001</v>
      </c>
    </row>
    <row r="175" spans="1:13" x14ac:dyDescent="0.15">
      <c r="A175" s="5">
        <v>44168</v>
      </c>
      <c r="B175">
        <v>8.8079999999999998</v>
      </c>
      <c r="C175">
        <v>6429.4</v>
      </c>
      <c r="D175">
        <v>5062.2</v>
      </c>
      <c r="F175">
        <v>1.0671256454388982E-2</v>
      </c>
      <c r="G175">
        <v>4.2799125273351507E-3</v>
      </c>
      <c r="H175">
        <v>-4.3440486533445583E-4</v>
      </c>
      <c r="K175" s="5">
        <v>44168</v>
      </c>
      <c r="L175">
        <v>1.4630000000000001</v>
      </c>
      <c r="M175">
        <v>1487.1595</v>
      </c>
    </row>
    <row r="176" spans="1:13" x14ac:dyDescent="0.15">
      <c r="A176" s="5">
        <v>44169</v>
      </c>
      <c r="B176">
        <v>8.9280000000000008</v>
      </c>
      <c r="C176">
        <v>6458.4</v>
      </c>
      <c r="D176">
        <v>5072.3999999999996</v>
      </c>
      <c r="F176">
        <v>1.362397820163499E-2</v>
      </c>
      <c r="G176">
        <v>4.5105297539428258E-3</v>
      </c>
      <c r="H176">
        <v>2.0149342183240129E-3</v>
      </c>
      <c r="K176" s="5">
        <v>44169</v>
      </c>
      <c r="L176">
        <v>1.478</v>
      </c>
      <c r="M176">
        <v>1499.0183999999999</v>
      </c>
    </row>
    <row r="177" spans="1:13" x14ac:dyDescent="0.15">
      <c r="A177" s="5">
        <v>44172</v>
      </c>
      <c r="B177">
        <v>8.9320000000000004</v>
      </c>
      <c r="C177">
        <v>6397.6</v>
      </c>
      <c r="D177">
        <v>5028.2</v>
      </c>
      <c r="F177">
        <v>4.4802867383507606E-4</v>
      </c>
      <c r="G177">
        <v>-9.4140963706179984E-3</v>
      </c>
      <c r="H177">
        <v>-8.7138238309281257E-3</v>
      </c>
      <c r="K177" s="5">
        <v>44172</v>
      </c>
      <c r="L177">
        <v>1.474</v>
      </c>
      <c r="M177">
        <v>1496.9155000000001</v>
      </c>
    </row>
    <row r="178" spans="1:13" x14ac:dyDescent="0.15">
      <c r="A178" s="5">
        <v>44173</v>
      </c>
      <c r="B178">
        <v>8.9670000000000005</v>
      </c>
      <c r="C178">
        <v>6402.8</v>
      </c>
      <c r="D178">
        <v>5013.8</v>
      </c>
      <c r="F178">
        <v>3.9184952978056587E-3</v>
      </c>
      <c r="G178">
        <v>8.128048018006468E-4</v>
      </c>
      <c r="H178">
        <v>-2.8638478978560192E-3</v>
      </c>
      <c r="K178" s="5">
        <v>44173</v>
      </c>
      <c r="L178">
        <v>1.484</v>
      </c>
      <c r="M178">
        <v>1506.9819</v>
      </c>
    </row>
    <row r="179" spans="1:13" x14ac:dyDescent="0.15">
      <c r="A179" s="5">
        <v>44174</v>
      </c>
      <c r="B179">
        <v>8.8629999999999995</v>
      </c>
      <c r="C179">
        <v>6305</v>
      </c>
      <c r="D179">
        <v>4954</v>
      </c>
      <c r="F179">
        <v>-1.1598081855693205E-2</v>
      </c>
      <c r="G179">
        <v>-1.527456737677269E-2</v>
      </c>
      <c r="H179">
        <v>-1.1927081255734209E-2</v>
      </c>
      <c r="K179" s="5">
        <v>44174</v>
      </c>
      <c r="L179">
        <v>1.456</v>
      </c>
      <c r="M179">
        <v>1481.9476</v>
      </c>
    </row>
    <row r="180" spans="1:13" x14ac:dyDescent="0.15">
      <c r="A180" s="5">
        <v>44175</v>
      </c>
      <c r="B180">
        <v>8.9079999999999995</v>
      </c>
      <c r="C180">
        <v>6315.6</v>
      </c>
      <c r="D180">
        <v>4943.8</v>
      </c>
      <c r="F180">
        <v>5.0772876001353865E-3</v>
      </c>
      <c r="G180">
        <v>1.6812053925456564E-3</v>
      </c>
      <c r="H180">
        <v>-2.0589422688736007E-3</v>
      </c>
      <c r="K180" s="5">
        <v>44175</v>
      </c>
      <c r="L180">
        <v>1.47</v>
      </c>
      <c r="M180">
        <v>1491.915</v>
      </c>
    </row>
    <row r="181" spans="1:13" x14ac:dyDescent="0.15">
      <c r="A181" s="5">
        <v>44176</v>
      </c>
      <c r="B181">
        <v>8.8729999999999993</v>
      </c>
      <c r="C181">
        <v>6196.4</v>
      </c>
      <c r="D181">
        <v>4887.3999999999996</v>
      </c>
      <c r="F181">
        <v>-3.9290525370453688E-3</v>
      </c>
      <c r="G181">
        <v>-1.8873899550319956E-2</v>
      </c>
      <c r="H181">
        <v>-1.1408228488207562E-2</v>
      </c>
      <c r="K181" s="5">
        <v>44176</v>
      </c>
      <c r="L181">
        <v>1.4590000000000001</v>
      </c>
      <c r="M181">
        <v>1480.2551000000001</v>
      </c>
    </row>
    <row r="182" spans="1:13" x14ac:dyDescent="0.15">
      <c r="A182" s="5">
        <v>44179</v>
      </c>
      <c r="B182">
        <v>9.0660000000000007</v>
      </c>
      <c r="C182">
        <v>6253.2</v>
      </c>
      <c r="D182">
        <v>4931.8</v>
      </c>
      <c r="F182">
        <v>2.1751380592809805E-2</v>
      </c>
      <c r="G182">
        <v>9.1666128719902172E-3</v>
      </c>
      <c r="H182">
        <v>9.0845848508410501E-3</v>
      </c>
      <c r="K182" s="5">
        <v>44179</v>
      </c>
      <c r="L182">
        <v>1.48</v>
      </c>
      <c r="M182">
        <v>1500.4920999999999</v>
      </c>
    </row>
    <row r="183" spans="1:13" x14ac:dyDescent="0.15">
      <c r="A183" s="5">
        <v>44180</v>
      </c>
      <c r="B183">
        <v>9.1720000000000006</v>
      </c>
      <c r="C183">
        <v>6256.8</v>
      </c>
      <c r="D183">
        <v>4943.6000000000004</v>
      </c>
      <c r="F183">
        <v>1.1692036179130803E-2</v>
      </c>
      <c r="G183">
        <v>5.7570523891773231E-4</v>
      </c>
      <c r="H183">
        <v>2.3926355488868528E-3</v>
      </c>
      <c r="K183" s="5">
        <v>44180</v>
      </c>
      <c r="L183">
        <v>1.498</v>
      </c>
      <c r="M183">
        <v>1523.6709000000001</v>
      </c>
    </row>
    <row r="184" spans="1:13" x14ac:dyDescent="0.15">
      <c r="A184" s="5">
        <v>44181</v>
      </c>
      <c r="B184">
        <v>9.2590000000000003</v>
      </c>
      <c r="C184">
        <v>6239.6</v>
      </c>
      <c r="D184">
        <v>4955</v>
      </c>
      <c r="F184">
        <v>9.4853903183601991E-3</v>
      </c>
      <c r="G184">
        <v>-2.7490090781229731E-3</v>
      </c>
      <c r="H184">
        <v>2.3060118132534257E-3</v>
      </c>
      <c r="K184" s="5">
        <v>44181</v>
      </c>
      <c r="L184">
        <v>1.5009999999999999</v>
      </c>
      <c r="M184">
        <v>1529.0376000000001</v>
      </c>
    </row>
    <row r="185" spans="1:13" x14ac:dyDescent="0.15">
      <c r="A185" s="5">
        <v>44182</v>
      </c>
      <c r="B185">
        <v>9.41</v>
      </c>
      <c r="C185">
        <v>6313.8</v>
      </c>
      <c r="D185">
        <v>5029.8</v>
      </c>
      <c r="F185">
        <v>1.6308456636785807E-2</v>
      </c>
      <c r="G185">
        <v>1.1891787935124017E-2</v>
      </c>
      <c r="H185">
        <v>1.5095862764883993E-2</v>
      </c>
      <c r="K185" s="5">
        <v>44182</v>
      </c>
      <c r="L185">
        <v>1.5169999999999999</v>
      </c>
      <c r="M185">
        <v>1542.664</v>
      </c>
    </row>
    <row r="186" spans="1:13" x14ac:dyDescent="0.15">
      <c r="A186" s="5">
        <v>44183</v>
      </c>
      <c r="B186">
        <v>9.3789999999999996</v>
      </c>
      <c r="C186">
        <v>6246.6</v>
      </c>
      <c r="D186">
        <v>4993</v>
      </c>
      <c r="F186">
        <v>-3.2943676939426762E-3</v>
      </c>
      <c r="G186">
        <v>-1.0643352656086638E-2</v>
      </c>
      <c r="H186">
        <v>-7.3163942900314489E-3</v>
      </c>
      <c r="K186" s="5">
        <v>44183</v>
      </c>
      <c r="L186">
        <v>1.516</v>
      </c>
      <c r="M186">
        <v>1542.1563000000001</v>
      </c>
    </row>
    <row r="187" spans="1:13" x14ac:dyDescent="0.15">
      <c r="A187" s="5">
        <v>44186</v>
      </c>
      <c r="B187">
        <v>9.4629999999999992</v>
      </c>
      <c r="C187">
        <v>6354.8</v>
      </c>
      <c r="D187">
        <v>5040.8</v>
      </c>
      <c r="F187">
        <v>8.9561786970892027E-3</v>
      </c>
      <c r="G187">
        <v>1.7321422854032563E-2</v>
      </c>
      <c r="H187">
        <v>9.5734027638694538E-3</v>
      </c>
      <c r="K187" s="5">
        <v>44186</v>
      </c>
      <c r="L187">
        <v>1.5720000000000001</v>
      </c>
      <c r="M187">
        <v>1602.3286000000001</v>
      </c>
    </row>
    <row r="188" spans="1:13" x14ac:dyDescent="0.15">
      <c r="A188" s="5">
        <v>44187</v>
      </c>
      <c r="B188">
        <v>9.4209999999999994</v>
      </c>
      <c r="C188">
        <v>6238.8</v>
      </c>
      <c r="D188">
        <v>4965</v>
      </c>
      <c r="F188">
        <v>-4.4383387931945283E-3</v>
      </c>
      <c r="G188">
        <v>-1.8253918297979479E-2</v>
      </c>
      <c r="H188">
        <v>-1.5037295667354424E-2</v>
      </c>
      <c r="K188" s="5">
        <v>44187</v>
      </c>
      <c r="L188">
        <v>1.536</v>
      </c>
      <c r="M188">
        <v>1564.2963</v>
      </c>
    </row>
    <row r="189" spans="1:13" x14ac:dyDescent="0.15">
      <c r="A189" s="5">
        <v>44188</v>
      </c>
      <c r="B189">
        <v>9.51</v>
      </c>
      <c r="C189">
        <v>6270.6</v>
      </c>
      <c r="D189">
        <v>5001.8</v>
      </c>
      <c r="F189">
        <v>9.4469801507271432E-3</v>
      </c>
      <c r="G189">
        <v>5.097134064243153E-3</v>
      </c>
      <c r="H189">
        <v>7.4118831822759679E-3</v>
      </c>
      <c r="K189" s="5">
        <v>44188</v>
      </c>
      <c r="L189">
        <v>1.56</v>
      </c>
      <c r="M189">
        <v>1583.0217</v>
      </c>
    </row>
    <row r="190" spans="1:13" x14ac:dyDescent="0.15">
      <c r="A190" s="5">
        <v>44189</v>
      </c>
      <c r="B190">
        <v>9.4920000000000009</v>
      </c>
      <c r="C190">
        <v>6191.2</v>
      </c>
      <c r="D190">
        <v>5002.6000000000004</v>
      </c>
      <c r="F190">
        <v>-1.892744479495153E-3</v>
      </c>
      <c r="G190">
        <v>-1.2662265173986626E-2</v>
      </c>
      <c r="H190">
        <v>1.599424207285741E-4</v>
      </c>
      <c r="K190" s="5">
        <v>44189</v>
      </c>
      <c r="L190">
        <v>1.5489999999999999</v>
      </c>
      <c r="M190">
        <v>1576.2611999999999</v>
      </c>
    </row>
    <row r="191" spans="1:13" x14ac:dyDescent="0.15">
      <c r="A191" s="5">
        <v>44190</v>
      </c>
      <c r="B191">
        <v>9.6999999999999993</v>
      </c>
      <c r="C191">
        <v>6262</v>
      </c>
      <c r="D191">
        <v>5043.3999999999996</v>
      </c>
      <c r="F191">
        <v>2.1913190054782806E-2</v>
      </c>
      <c r="G191">
        <v>1.1435585993022385E-2</v>
      </c>
      <c r="H191">
        <v>8.1557590053170891E-3</v>
      </c>
      <c r="K191" s="5">
        <v>44190</v>
      </c>
      <c r="L191">
        <v>1.5629999999999999</v>
      </c>
      <c r="M191">
        <v>1588.8833</v>
      </c>
    </row>
    <row r="192" spans="1:13" x14ac:dyDescent="0.15">
      <c r="A192" s="5">
        <v>44193</v>
      </c>
      <c r="B192">
        <v>9.6969999999999992</v>
      </c>
      <c r="C192">
        <v>6214.8</v>
      </c>
      <c r="D192">
        <v>5064.2</v>
      </c>
      <c r="F192">
        <v>-3.0927835051547566E-4</v>
      </c>
      <c r="G192">
        <v>-7.5375279463429923E-3</v>
      </c>
      <c r="H192">
        <v>4.1242019272713214E-3</v>
      </c>
      <c r="K192" s="5">
        <v>44193</v>
      </c>
      <c r="L192">
        <v>1.5660000000000001</v>
      </c>
      <c r="M192">
        <v>1590.0854999999999</v>
      </c>
    </row>
    <row r="193" spans="1:13" x14ac:dyDescent="0.15">
      <c r="A193" s="5">
        <v>44194</v>
      </c>
      <c r="B193">
        <v>9.5609999999999999</v>
      </c>
      <c r="C193">
        <v>6198.4</v>
      </c>
      <c r="D193">
        <v>5052.2</v>
      </c>
      <c r="F193">
        <v>-1.4024956172011884E-2</v>
      </c>
      <c r="G193">
        <v>-2.6388620711850011E-3</v>
      </c>
      <c r="H193">
        <v>-2.3695746613482879E-3</v>
      </c>
      <c r="K193" s="5">
        <v>44194</v>
      </c>
      <c r="L193">
        <v>1.544</v>
      </c>
      <c r="M193">
        <v>1569.1504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模板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2021-04-14T06:59:42Z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d47eb2c6</vt:lpwstr>
  </property>
</Properties>
</file>