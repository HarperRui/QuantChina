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Harper\实习文件整理_张依依\基于vix的波动率交易策略_0611\50ETF\优化\Daily update\结果\"/>
    </mc:Choice>
  </mc:AlternateContent>
  <xr:revisionPtr revIDLastSave="0" documentId="13_ncr:1_{2FD15CE3-4BF9-46C2-B5E9-E02FB16CDED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2" sheetId="4" r:id="rId1"/>
    <sheet name="vix" sheetId="3" r:id="rId2"/>
    <sheet name="净值" sheetId="5" r:id="rId3"/>
    <sheet name="产品配置收益" sheetId="6" r:id="rId4"/>
  </sheets>
  <functionGroups builtInGroupCount="19"/>
  <externalReferences>
    <externalReference r:id="rId5"/>
  </externalReferences>
  <definedNames>
    <definedName name="_xlnm._FilterDatabase" localSheetId="0" hidden="1">Sheet2!$A$1:$J$1079</definedName>
    <definedName name="_xlnm._FilterDatabase" localSheetId="1" hidden="1">vix!$A$1:$B$1063</definedName>
    <definedName name="Date">OFFSET(vix!$A$2,0,0,COUNTA(vix!$A:$A)-1)</definedName>
    <definedName name="date1">OFFSET(净值!$A$2,0,0,COUNTA(净值!$A:$A)-1)</definedName>
    <definedName name="netvalue">OFFSET(净值!$C$2,0,0,COUNTA(净值!$C:$C))</definedName>
    <definedName name="Vix">OFFSET(vix!$B$2,0,0,COUNTA(vix!$B:$B)-1)</definedName>
    <definedName name="vix_date" localSheetId="1">OFFSET(vix!$A$2,0,0,COUNTA(vix!$A:$A)-1)</definedName>
    <definedName name="vix_full" localSheetId="1">OFFSET(vix!$B$2,0,0,COUNTA(vix!$B:$B)-1)</definedName>
    <definedName name="Vix_实盘操作" localSheetId="1">OFFSET(vix!$C$2,0,0,COUNTA(vix!A:A)-1+1045)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945" i="4" l="1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E10" i="6"/>
  <c r="F3" i="6"/>
  <c r="F4" i="6"/>
  <c r="F5" i="6"/>
  <c r="F6" i="6"/>
  <c r="F7" i="6"/>
  <c r="F8" i="6"/>
  <c r="F9" i="6"/>
  <c r="F2" i="6"/>
  <c r="D10" i="6"/>
  <c r="C1267" i="4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1265" i="3"/>
  <c r="C1266" i="3"/>
  <c r="C1267" i="3"/>
  <c r="C1268" i="3"/>
  <c r="C1269" i="3"/>
  <c r="C1270" i="3"/>
  <c r="N35" i="5"/>
  <c r="N33" i="5"/>
  <c r="P33" i="5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F10" i="6" l="1"/>
  <c r="J39" i="5"/>
  <c r="N34" i="5" l="1"/>
  <c r="J40" i="5"/>
  <c r="L35" i="5" l="1"/>
  <c r="K35" i="5"/>
  <c r="K34" i="5"/>
  <c r="Z935" i="4" l="1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1228" i="3"/>
  <c r="E1" i="3" s="1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27" i="3"/>
  <c r="M1174" i="4"/>
  <c r="M1184" i="4" s="1"/>
  <c r="F1174" i="4"/>
  <c r="F1176" i="4" s="1"/>
  <c r="F1227" i="4" l="1"/>
  <c r="F1195" i="4"/>
  <c r="F1191" i="4"/>
  <c r="M1210" i="4"/>
  <c r="M1207" i="4"/>
  <c r="M1205" i="4"/>
  <c r="M1202" i="4"/>
  <c r="M1195" i="4"/>
  <c r="F1224" i="4"/>
  <c r="F1188" i="4"/>
  <c r="F1222" i="4"/>
  <c r="F1186" i="4"/>
  <c r="F1219" i="4"/>
  <c r="F1183" i="4"/>
  <c r="M1198" i="4"/>
  <c r="F1215" i="4"/>
  <c r="F1178" i="4"/>
  <c r="F1212" i="4"/>
  <c r="M1193" i="4"/>
  <c r="F1210" i="4"/>
  <c r="M1226" i="4"/>
  <c r="M1190" i="4"/>
  <c r="F1207" i="4"/>
  <c r="M1222" i="4"/>
  <c r="M1186" i="4"/>
  <c r="F1203" i="4"/>
  <c r="M1219" i="4"/>
  <c r="M1183" i="4"/>
  <c r="F1200" i="4"/>
  <c r="M1217" i="4"/>
  <c r="F1198" i="4"/>
  <c r="M1214" i="4"/>
  <c r="F1179" i="4"/>
  <c r="F1223" i="4"/>
  <c r="F1211" i="4"/>
  <c r="F1199" i="4"/>
  <c r="F1187" i="4"/>
  <c r="M1218" i="4"/>
  <c r="M1206" i="4"/>
  <c r="M1194" i="4"/>
  <c r="M1182" i="4"/>
  <c r="M1181" i="4"/>
  <c r="F1221" i="4"/>
  <c r="F1209" i="4"/>
  <c r="F1197" i="4"/>
  <c r="F1185" i="4"/>
  <c r="M1175" i="4"/>
  <c r="M1216" i="4"/>
  <c r="M1204" i="4"/>
  <c r="M1192" i="4"/>
  <c r="M1180" i="4"/>
  <c r="F1220" i="4"/>
  <c r="F1208" i="4"/>
  <c r="F1196" i="4"/>
  <c r="F1184" i="4"/>
  <c r="M1227" i="4"/>
  <c r="M1215" i="4"/>
  <c r="M1203" i="4"/>
  <c r="M1191" i="4"/>
  <c r="M1179" i="4"/>
  <c r="M1178" i="4"/>
  <c r="F1218" i="4"/>
  <c r="F1206" i="4"/>
  <c r="F1194" i="4"/>
  <c r="F1182" i="4"/>
  <c r="M1225" i="4"/>
  <c r="M1213" i="4"/>
  <c r="M1201" i="4"/>
  <c r="M1189" i="4"/>
  <c r="M1177" i="4"/>
  <c r="F1217" i="4"/>
  <c r="F1205" i="4"/>
  <c r="F1193" i="4"/>
  <c r="F1181" i="4"/>
  <c r="M1224" i="4"/>
  <c r="M1212" i="4"/>
  <c r="M1200" i="4"/>
  <c r="M1188" i="4"/>
  <c r="M1176" i="4"/>
  <c r="F1175" i="4"/>
  <c r="F1216" i="4"/>
  <c r="F1204" i="4"/>
  <c r="F1192" i="4"/>
  <c r="F1180" i="4"/>
  <c r="M1223" i="4"/>
  <c r="M1211" i="4"/>
  <c r="M1199" i="4"/>
  <c r="M1187" i="4"/>
  <c r="F1226" i="4"/>
  <c r="F1214" i="4"/>
  <c r="F1202" i="4"/>
  <c r="F1190" i="4"/>
  <c r="F1177" i="4"/>
  <c r="M1221" i="4"/>
  <c r="M1209" i="4"/>
  <c r="M1197" i="4"/>
  <c r="M1185" i="4"/>
  <c r="F1225" i="4"/>
  <c r="F1213" i="4"/>
  <c r="F1201" i="4"/>
  <c r="F1189" i="4"/>
  <c r="M1220" i="4"/>
  <c r="M1208" i="4"/>
  <c r="M1196" i="4"/>
  <c r="F1290" i="4" l="1"/>
  <c r="F1293" i="4"/>
  <c r="F1300" i="4"/>
  <c r="F1307" i="4"/>
  <c r="F1291" i="4"/>
  <c r="F1296" i="4"/>
  <c r="F1303" i="4"/>
  <c r="F1289" i="4"/>
  <c r="F1306" i="4"/>
  <c r="F1292" i="4"/>
  <c r="F1299" i="4"/>
  <c r="F1309" i="4"/>
  <c r="F1302" i="4"/>
  <c r="F1295" i="4"/>
  <c r="F1305" i="4"/>
  <c r="F1288" i="4"/>
  <c r="F1298" i="4"/>
  <c r="F1301" i="4"/>
  <c r="F1308" i="4"/>
  <c r="F1294" i="4"/>
  <c r="F1297" i="4"/>
  <c r="F1304" i="4"/>
  <c r="M1309" i="4"/>
  <c r="M1295" i="4"/>
  <c r="M1302" i="4"/>
  <c r="M1288" i="4"/>
  <c r="M1305" i="4"/>
  <c r="M1291" i="4"/>
  <c r="M1298" i="4"/>
  <c r="M1308" i="4"/>
  <c r="M1301" i="4"/>
  <c r="M1289" i="4"/>
  <c r="M1294" i="4"/>
  <c r="M1304" i="4"/>
  <c r="M1297" i="4"/>
  <c r="M1290" i="4"/>
  <c r="M1300" i="4"/>
  <c r="M1307" i="4"/>
  <c r="M1293" i="4"/>
  <c r="M1296" i="4"/>
  <c r="M1303" i="4"/>
  <c r="M1292" i="4"/>
  <c r="M1299" i="4"/>
  <c r="M1306" i="4"/>
  <c r="M1268" i="4"/>
  <c r="M1277" i="4"/>
  <c r="M1270" i="4"/>
  <c r="M1279" i="4"/>
  <c r="M1272" i="4"/>
  <c r="M1281" i="4"/>
  <c r="M1274" i="4"/>
  <c r="M1266" i="4"/>
  <c r="M1275" i="4"/>
  <c r="M1267" i="4"/>
  <c r="M1276" i="4"/>
  <c r="M1283" i="4"/>
  <c r="M1285" i="4"/>
  <c r="M1287" i="4"/>
  <c r="M1269" i="4"/>
  <c r="M1278" i="4"/>
  <c r="M1271" i="4"/>
  <c r="M1280" i="4"/>
  <c r="M1273" i="4"/>
  <c r="M1282" i="4"/>
  <c r="M1284" i="4"/>
  <c r="M1286" i="4"/>
  <c r="F1268" i="4"/>
  <c r="F1280" i="4"/>
  <c r="F1270" i="4"/>
  <c r="F1283" i="4"/>
  <c r="F1272" i="4"/>
  <c r="F1266" i="4"/>
  <c r="F1269" i="4"/>
  <c r="F1281" i="4"/>
  <c r="F1271" i="4"/>
  <c r="F1284" i="4"/>
  <c r="F1282" i="4"/>
  <c r="F1273" i="4"/>
  <c r="F1285" i="4"/>
  <c r="F1274" i="4"/>
  <c r="F1286" i="4"/>
  <c r="F1275" i="4"/>
  <c r="F1287" i="4"/>
  <c r="F1276" i="4"/>
  <c r="F1277" i="4"/>
  <c r="F1278" i="4"/>
  <c r="F1267" i="4"/>
  <c r="F1279" i="4"/>
  <c r="F1253" i="4"/>
  <c r="F1261" i="4"/>
  <c r="F1264" i="4"/>
  <c r="F1263" i="4"/>
  <c r="F1256" i="4"/>
  <c r="F1259" i="4"/>
  <c r="F1250" i="4"/>
  <c r="F1262" i="4"/>
  <c r="F1249" i="4"/>
  <c r="F1265" i="4"/>
  <c r="F1260" i="4"/>
  <c r="F1252" i="4"/>
  <c r="F1255" i="4"/>
  <c r="F1258" i="4"/>
  <c r="F1257" i="4"/>
  <c r="F1247" i="4"/>
  <c r="F1251" i="4"/>
  <c r="F1254" i="4"/>
  <c r="M1261" i="4"/>
  <c r="M1264" i="4"/>
  <c r="M1252" i="4"/>
  <c r="M1255" i="4"/>
  <c r="M1253" i="4"/>
  <c r="M1251" i="4"/>
  <c r="M1254" i="4"/>
  <c r="M1257" i="4"/>
  <c r="M1249" i="4"/>
  <c r="M1260" i="4"/>
  <c r="M1265" i="4"/>
  <c r="M1250" i="4"/>
  <c r="M1263" i="4"/>
  <c r="M1256" i="4"/>
  <c r="M1259" i="4"/>
  <c r="M1262" i="4"/>
  <c r="M1258" i="4"/>
  <c r="M1234" i="4"/>
  <c r="R1234" i="4" s="1"/>
  <c r="M1228" i="4"/>
  <c r="R1228" i="4" s="1"/>
  <c r="M1248" i="4"/>
  <c r="M1247" i="4"/>
  <c r="R1247" i="4" s="1"/>
  <c r="M1235" i="4"/>
  <c r="R1235" i="4" s="1"/>
  <c r="F1234" i="4"/>
  <c r="F1246" i="4"/>
  <c r="F1228" i="4"/>
  <c r="F1237" i="4"/>
  <c r="F1235" i="4"/>
  <c r="F1229" i="4"/>
  <c r="F1236" i="4"/>
  <c r="F1248" i="4"/>
  <c r="F1245" i="4"/>
  <c r="F1238" i="4"/>
  <c r="F1233" i="4"/>
  <c r="F1239" i="4"/>
  <c r="F1240" i="4"/>
  <c r="F1230" i="4"/>
  <c r="F1242" i="4"/>
  <c r="F1244" i="4"/>
  <c r="F1241" i="4"/>
  <c r="F1231" i="4"/>
  <c r="F1243" i="4"/>
  <c r="F1232" i="4"/>
  <c r="M1239" i="4"/>
  <c r="R1239" i="4" s="1"/>
  <c r="M1240" i="4"/>
  <c r="R1240" i="4" s="1"/>
  <c r="M1238" i="4"/>
  <c r="R1238" i="4" s="1"/>
  <c r="M1241" i="4"/>
  <c r="R1241" i="4" s="1"/>
  <c r="M1242" i="4"/>
  <c r="R1242" i="4" s="1"/>
  <c r="M1230" i="4"/>
  <c r="R1230" i="4" s="1"/>
  <c r="M1243" i="4"/>
  <c r="R1243" i="4" s="1"/>
  <c r="M1244" i="4"/>
  <c r="R1244" i="4" s="1"/>
  <c r="M1231" i="4"/>
  <c r="R1231" i="4" s="1"/>
  <c r="M1233" i="4"/>
  <c r="R1233" i="4" s="1"/>
  <c r="M1245" i="4"/>
  <c r="R1245" i="4" s="1"/>
  <c r="M1229" i="4"/>
  <c r="R1229" i="4" s="1"/>
  <c r="M1232" i="4"/>
  <c r="R1232" i="4" s="1"/>
  <c r="M1246" i="4"/>
  <c r="R1246" i="4" s="1"/>
  <c r="M1236" i="4"/>
  <c r="R1236" i="4" s="1"/>
  <c r="M1237" i="4"/>
  <c r="R1237" i="4" s="1"/>
  <c r="L1174" i="4"/>
  <c r="L1175" i="4" s="1"/>
  <c r="M1173" i="4"/>
  <c r="E3" i="5" a="1"/>
  <c r="AA939" i="4" l="1" a="1"/>
  <c r="AA939" i="4" s="1"/>
  <c r="R1248" i="4"/>
  <c r="AB936" i="4"/>
  <c r="AA936" i="4" a="1"/>
  <c r="AA936" i="4" s="1"/>
  <c r="I1173" i="4"/>
  <c r="E3" i="5"/>
  <c r="J35" i="5" l="1"/>
  <c r="J34" i="5"/>
  <c r="J33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47" i="5"/>
  <c r="I36" i="5"/>
  <c r="H36" i="5"/>
  <c r="J36" i="5" l="1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" i="5"/>
  <c r="E6" i="5" l="1" a="1"/>
  <c r="E6" i="5" s="1"/>
  <c r="E5" i="5"/>
  <c r="F1169" i="4"/>
  <c r="F1170" i="4"/>
  <c r="F1171" i="4"/>
  <c r="F1172" i="4"/>
  <c r="F1173" i="4"/>
  <c r="F1168" i="4"/>
  <c r="E7" i="5" l="1"/>
  <c r="K1169" i="4"/>
  <c r="L1169" i="4"/>
  <c r="K1170" i="4"/>
  <c r="L1170" i="4"/>
  <c r="K1171" i="4"/>
  <c r="L1171" i="4"/>
  <c r="K1172" i="4"/>
  <c r="L1172" i="4"/>
  <c r="K1173" i="4"/>
  <c r="L1173" i="4"/>
  <c r="K1174" i="4"/>
  <c r="M1169" i="4"/>
  <c r="I1169" i="4" s="1"/>
  <c r="M1170" i="4"/>
  <c r="M1171" i="4"/>
  <c r="I1171" i="4" s="1"/>
  <c r="M1172" i="4"/>
  <c r="I1174" i="4"/>
  <c r="I1227" i="4" s="1"/>
  <c r="M1168" i="4"/>
  <c r="N1169" i="4"/>
  <c r="AA946" i="4" a="1"/>
  <c r="AA946" i="4" l="1"/>
  <c r="AA945" i="4" a="1"/>
  <c r="AA945" i="4" s="1"/>
  <c r="I1291" i="4"/>
  <c r="I1301" i="4"/>
  <c r="I1308" i="4"/>
  <c r="I1294" i="4"/>
  <c r="I1297" i="4"/>
  <c r="I1304" i="4"/>
  <c r="I1290" i="4"/>
  <c r="I1293" i="4"/>
  <c r="I1300" i="4"/>
  <c r="I1307" i="4"/>
  <c r="I1296" i="4"/>
  <c r="I1303" i="4"/>
  <c r="I1295" i="4"/>
  <c r="I1289" i="4"/>
  <c r="I1306" i="4"/>
  <c r="I1305" i="4"/>
  <c r="I1292" i="4"/>
  <c r="I1299" i="4"/>
  <c r="I1309" i="4"/>
  <c r="I1302" i="4"/>
  <c r="I1288" i="4"/>
  <c r="I1298" i="4"/>
  <c r="I1274" i="4"/>
  <c r="I1267" i="4"/>
  <c r="I1276" i="4"/>
  <c r="I1283" i="4"/>
  <c r="I1287" i="4"/>
  <c r="I1285" i="4"/>
  <c r="I1269" i="4"/>
  <c r="I1278" i="4"/>
  <c r="I1271" i="4"/>
  <c r="I1280" i="4"/>
  <c r="I1279" i="4"/>
  <c r="I1266" i="4"/>
  <c r="I1273" i="4"/>
  <c r="I1282" i="4"/>
  <c r="I1275" i="4"/>
  <c r="I1268" i="4"/>
  <c r="I1277" i="4"/>
  <c r="I1284" i="4"/>
  <c r="I1286" i="4"/>
  <c r="I1270" i="4"/>
  <c r="I1272" i="4"/>
  <c r="I1281" i="4"/>
  <c r="I1257" i="4"/>
  <c r="I1263" i="4"/>
  <c r="I1265" i="4"/>
  <c r="I1260" i="4"/>
  <c r="I1250" i="4"/>
  <c r="I1253" i="4"/>
  <c r="I1256" i="4"/>
  <c r="I1259" i="4"/>
  <c r="I1254" i="4"/>
  <c r="I1262" i="4"/>
  <c r="I1249" i="4"/>
  <c r="I1252" i="4"/>
  <c r="I1255" i="4"/>
  <c r="I1261" i="4"/>
  <c r="I1258" i="4"/>
  <c r="I1251" i="4"/>
  <c r="I1264" i="4"/>
  <c r="I1240" i="4"/>
  <c r="I1231" i="4"/>
  <c r="I1243" i="4"/>
  <c r="I1228" i="4"/>
  <c r="I1241" i="4"/>
  <c r="I1239" i="4"/>
  <c r="I1230" i="4"/>
  <c r="I1242" i="4"/>
  <c r="I1233" i="4"/>
  <c r="I1232" i="4"/>
  <c r="I1244" i="4"/>
  <c r="I1245" i="4"/>
  <c r="I1234" i="4"/>
  <c r="I1246" i="4"/>
  <c r="I1236" i="4"/>
  <c r="I1248" i="4"/>
  <c r="AA941" i="4" s="1" a="1"/>
  <c r="AA941" i="4" s="1"/>
  <c r="I1235" i="4"/>
  <c r="I1247" i="4"/>
  <c r="I1237" i="4"/>
  <c r="I1229" i="4"/>
  <c r="I1238" i="4"/>
  <c r="K1175" i="4"/>
  <c r="K1227" i="4"/>
  <c r="I1172" i="4"/>
  <c r="I1170" i="4"/>
  <c r="I1183" i="4"/>
  <c r="I1196" i="4"/>
  <c r="I1208" i="4"/>
  <c r="I1220" i="4"/>
  <c r="I1186" i="4"/>
  <c r="I1210" i="4"/>
  <c r="I1184" i="4"/>
  <c r="I1197" i="4"/>
  <c r="I1209" i="4"/>
  <c r="I1221" i="4"/>
  <c r="I1198" i="4"/>
  <c r="I1222" i="4"/>
  <c r="I1187" i="4"/>
  <c r="I1199" i="4"/>
  <c r="I1211" i="4"/>
  <c r="I1223" i="4"/>
  <c r="I1177" i="4"/>
  <c r="I1214" i="4"/>
  <c r="I1185" i="4"/>
  <c r="I1188" i="4"/>
  <c r="I1200" i="4"/>
  <c r="I1212" i="4"/>
  <c r="I1224" i="4"/>
  <c r="I1190" i="4"/>
  <c r="I1226" i="4"/>
  <c r="I1176" i="4"/>
  <c r="I1189" i="4"/>
  <c r="I1201" i="4"/>
  <c r="I1213" i="4"/>
  <c r="I1225" i="4"/>
  <c r="I1202" i="4"/>
  <c r="I1178" i="4"/>
  <c r="I1191" i="4"/>
  <c r="I1203" i="4"/>
  <c r="I1215" i="4"/>
  <c r="I1180" i="4"/>
  <c r="I1205" i="4"/>
  <c r="I1179" i="4"/>
  <c r="I1192" i="4"/>
  <c r="I1204" i="4"/>
  <c r="I1216" i="4"/>
  <c r="I1175" i="4"/>
  <c r="I1193" i="4"/>
  <c r="I1217" i="4"/>
  <c r="I1181" i="4"/>
  <c r="I1194" i="4"/>
  <c r="I1206" i="4"/>
  <c r="I1218" i="4"/>
  <c r="I1182" i="4"/>
  <c r="I1195" i="4"/>
  <c r="I1207" i="4"/>
  <c r="I1219" i="4"/>
  <c r="L1213" i="4"/>
  <c r="L1222" i="4"/>
  <c r="L1208" i="4"/>
  <c r="L1215" i="4"/>
  <c r="L1217" i="4"/>
  <c r="L1224" i="4"/>
  <c r="L1226" i="4"/>
  <c r="L1210" i="4"/>
  <c r="L1219" i="4"/>
  <c r="L1214" i="4"/>
  <c r="L1223" i="4"/>
  <c r="L1220" i="4"/>
  <c r="L1209" i="4"/>
  <c r="L1218" i="4"/>
  <c r="L1227" i="4"/>
  <c r="L1212" i="4"/>
  <c r="L1221" i="4"/>
  <c r="L1211" i="4"/>
  <c r="L1216" i="4"/>
  <c r="L1225" i="4"/>
  <c r="K1213" i="4"/>
  <c r="K1222" i="4"/>
  <c r="K1208" i="4"/>
  <c r="K1217" i="4"/>
  <c r="K1226" i="4"/>
  <c r="K1204" i="4"/>
  <c r="K1215" i="4"/>
  <c r="K1224" i="4"/>
  <c r="K1210" i="4"/>
  <c r="K1219" i="4"/>
  <c r="K1220" i="4"/>
  <c r="K1211" i="4"/>
  <c r="K1218" i="4"/>
  <c r="K1212" i="4"/>
  <c r="K1214" i="4"/>
  <c r="K1221" i="4"/>
  <c r="K1223" i="4"/>
  <c r="K1216" i="4"/>
  <c r="K1225" i="4"/>
  <c r="K1209" i="4"/>
  <c r="K1184" i="4"/>
  <c r="K1196" i="4"/>
  <c r="K1185" i="4"/>
  <c r="K1197" i="4"/>
  <c r="K1190" i="4"/>
  <c r="K1186" i="4"/>
  <c r="K1198" i="4"/>
  <c r="K1182" i="4"/>
  <c r="K1207" i="4"/>
  <c r="K1187" i="4"/>
  <c r="K1199" i="4"/>
  <c r="K1178" i="4"/>
  <c r="K1183" i="4"/>
  <c r="K1176" i="4"/>
  <c r="K1188" i="4"/>
  <c r="K1200" i="4"/>
  <c r="K1177" i="4"/>
  <c r="K1189" i="4"/>
  <c r="K1201" i="4"/>
  <c r="K1202" i="4"/>
  <c r="K1193" i="4"/>
  <c r="K1181" i="4"/>
  <c r="K1179" i="4"/>
  <c r="K1191" i="4"/>
  <c r="K1203" i="4"/>
  <c r="K1205" i="4"/>
  <c r="K1194" i="4"/>
  <c r="K1180" i="4"/>
  <c r="K1192" i="4"/>
  <c r="K1206" i="4"/>
  <c r="K1195" i="4"/>
  <c r="L1180" i="4"/>
  <c r="L1192" i="4"/>
  <c r="L1204" i="4"/>
  <c r="L1191" i="4"/>
  <c r="L1205" i="4"/>
  <c r="L1181" i="4"/>
  <c r="L1193" i="4"/>
  <c r="L1206" i="4"/>
  <c r="L1182" i="4"/>
  <c r="L1194" i="4"/>
  <c r="L1207" i="4"/>
  <c r="L1198" i="4"/>
  <c r="L1189" i="4"/>
  <c r="L1183" i="4"/>
  <c r="L1195" i="4"/>
  <c r="L1184" i="4"/>
  <c r="L1196" i="4"/>
  <c r="L1178" i="4"/>
  <c r="L1203" i="4"/>
  <c r="L1185" i="4"/>
  <c r="L1197" i="4"/>
  <c r="L1190" i="4"/>
  <c r="L1186" i="4"/>
  <c r="L1202" i="4"/>
  <c r="L1179" i="4"/>
  <c r="L1187" i="4"/>
  <c r="L1199" i="4"/>
  <c r="L1177" i="4"/>
  <c r="L1176" i="4"/>
  <c r="L1188" i="4"/>
  <c r="L1200" i="4"/>
  <c r="L1201" i="4"/>
  <c r="N1170" i="4"/>
  <c r="J1169" i="4"/>
  <c r="G1171" i="4"/>
  <c r="G1169" i="4"/>
  <c r="H1169" i="4"/>
  <c r="G1170" i="4"/>
  <c r="H1170" i="4"/>
  <c r="H1171" i="4"/>
  <c r="G1172" i="4"/>
  <c r="H1172" i="4"/>
  <c r="G1173" i="4"/>
  <c r="H1173" i="4"/>
  <c r="G1174" i="4"/>
  <c r="H1174" i="4"/>
  <c r="L1295" i="4" l="1"/>
  <c r="L1302" i="4"/>
  <c r="L1288" i="4"/>
  <c r="L1305" i="4"/>
  <c r="L1306" i="4"/>
  <c r="L1291" i="4"/>
  <c r="L1298" i="4"/>
  <c r="L1308" i="4"/>
  <c r="L1301" i="4"/>
  <c r="L1292" i="4"/>
  <c r="L1294" i="4"/>
  <c r="L1304" i="4"/>
  <c r="L1297" i="4"/>
  <c r="L1299" i="4"/>
  <c r="L1290" i="4"/>
  <c r="L1300" i="4"/>
  <c r="L1307" i="4"/>
  <c r="L1293" i="4"/>
  <c r="L1296" i="4"/>
  <c r="L1303" i="4"/>
  <c r="L1309" i="4"/>
  <c r="L1289" i="4"/>
  <c r="K1288" i="4"/>
  <c r="K1305" i="4"/>
  <c r="K1291" i="4"/>
  <c r="K1298" i="4"/>
  <c r="K1308" i="4"/>
  <c r="K1301" i="4"/>
  <c r="K1294" i="4"/>
  <c r="K1304" i="4"/>
  <c r="K1297" i="4"/>
  <c r="K1290" i="4"/>
  <c r="K1300" i="4"/>
  <c r="K1307" i="4"/>
  <c r="K1293" i="4"/>
  <c r="K1296" i="4"/>
  <c r="K1303" i="4"/>
  <c r="K1292" i="4"/>
  <c r="K1309" i="4"/>
  <c r="K1289" i="4"/>
  <c r="K1299" i="4"/>
  <c r="K1306" i="4"/>
  <c r="K1295" i="4"/>
  <c r="K1302" i="4"/>
  <c r="L1266" i="4"/>
  <c r="L1268" i="4"/>
  <c r="L1269" i="4"/>
  <c r="L1270" i="4"/>
  <c r="L1271" i="4"/>
  <c r="L1272" i="4"/>
  <c r="L1273" i="4"/>
  <c r="L1274" i="4"/>
  <c r="L1286" i="4"/>
  <c r="L1275" i="4"/>
  <c r="L1287" i="4"/>
  <c r="L1276" i="4"/>
  <c r="L1277" i="4"/>
  <c r="L1278" i="4"/>
  <c r="L1279" i="4"/>
  <c r="L1280" i="4"/>
  <c r="L1281" i="4"/>
  <c r="L1282" i="4"/>
  <c r="L1283" i="4"/>
  <c r="L1284" i="4"/>
  <c r="L1285" i="4"/>
  <c r="L1267" i="4"/>
  <c r="K1270" i="4"/>
  <c r="K1279" i="4"/>
  <c r="K1272" i="4"/>
  <c r="K1281" i="4"/>
  <c r="K1274" i="4"/>
  <c r="K1267" i="4"/>
  <c r="K1276" i="4"/>
  <c r="K1283" i="4"/>
  <c r="K1285" i="4"/>
  <c r="K1287" i="4"/>
  <c r="K1269" i="4"/>
  <c r="K1278" i="4"/>
  <c r="K1271" i="4"/>
  <c r="K1280" i="4"/>
  <c r="K1273" i="4"/>
  <c r="K1266" i="4"/>
  <c r="K1275" i="4"/>
  <c r="K1282" i="4"/>
  <c r="K1284" i="4"/>
  <c r="K1277" i="4"/>
  <c r="K1286" i="4"/>
  <c r="K1268" i="4"/>
  <c r="K1251" i="4"/>
  <c r="K1254" i="4"/>
  <c r="K1260" i="4"/>
  <c r="K1258" i="4"/>
  <c r="K1257" i="4"/>
  <c r="K1259" i="4"/>
  <c r="K1250" i="4"/>
  <c r="K1263" i="4"/>
  <c r="K1262" i="4"/>
  <c r="K1253" i="4"/>
  <c r="K1265" i="4"/>
  <c r="K1256" i="4"/>
  <c r="K1261" i="4"/>
  <c r="K1249" i="4"/>
  <c r="K1252" i="4"/>
  <c r="K1255" i="4"/>
  <c r="K1264" i="4"/>
  <c r="L1241" i="4"/>
  <c r="Q1241" i="4" s="1"/>
  <c r="L1264" i="4"/>
  <c r="L1251" i="4"/>
  <c r="L1254" i="4"/>
  <c r="L1255" i="4"/>
  <c r="L1261" i="4"/>
  <c r="L1257" i="4"/>
  <c r="L1260" i="4"/>
  <c r="L1250" i="4"/>
  <c r="L1263" i="4"/>
  <c r="L1256" i="4"/>
  <c r="L1258" i="4"/>
  <c r="L1253" i="4"/>
  <c r="L1259" i="4"/>
  <c r="L1262" i="4"/>
  <c r="L1252" i="4"/>
  <c r="L1249" i="4"/>
  <c r="L1265" i="4"/>
  <c r="L1235" i="4"/>
  <c r="Q1235" i="4" s="1"/>
  <c r="L1236" i="4"/>
  <c r="Q1236" i="4" s="1"/>
  <c r="L1232" i="4"/>
  <c r="Q1232" i="4" s="1"/>
  <c r="L1238" i="4"/>
  <c r="Q1238" i="4" s="1"/>
  <c r="L1244" i="4"/>
  <c r="Q1244" i="4" s="1"/>
  <c r="L1228" i="4"/>
  <c r="Q1228" i="4" s="1"/>
  <c r="L1237" i="4"/>
  <c r="Q1237" i="4" s="1"/>
  <c r="L1247" i="4"/>
  <c r="Q1247" i="4" s="1"/>
  <c r="L1233" i="4"/>
  <c r="Q1233" i="4" s="1"/>
  <c r="L1239" i="4"/>
  <c r="Q1239" i="4" s="1"/>
  <c r="L1245" i="4"/>
  <c r="Q1245" i="4" s="1"/>
  <c r="L1248" i="4"/>
  <c r="Q1248" i="4" s="1"/>
  <c r="L1242" i="4"/>
  <c r="Q1242" i="4" s="1"/>
  <c r="L1229" i="4"/>
  <c r="L1234" i="4"/>
  <c r="Q1234" i="4" s="1"/>
  <c r="L1240" i="4"/>
  <c r="Q1240" i="4" s="1"/>
  <c r="L1246" i="4"/>
  <c r="Q1246" i="4" s="1"/>
  <c r="L1230" i="4"/>
  <c r="Q1230" i="4" s="1"/>
  <c r="L1243" i="4"/>
  <c r="Q1243" i="4" s="1"/>
  <c r="L1231" i="4"/>
  <c r="Q1231" i="4" s="1"/>
  <c r="K1232" i="4"/>
  <c r="P1232" i="4" s="1"/>
  <c r="K1238" i="4"/>
  <c r="P1238" i="4" s="1"/>
  <c r="K1244" i="4"/>
  <c r="P1244" i="4" s="1"/>
  <c r="K1236" i="4"/>
  <c r="P1236" i="4" s="1"/>
  <c r="K1230" i="4"/>
  <c r="P1230" i="4" s="1"/>
  <c r="K1243" i="4"/>
  <c r="P1243" i="4" s="1"/>
  <c r="K1233" i="4"/>
  <c r="P1233" i="4" s="1"/>
  <c r="K1239" i="4"/>
  <c r="P1239" i="4" s="1"/>
  <c r="K1245" i="4"/>
  <c r="P1245" i="4" s="1"/>
  <c r="K1248" i="4"/>
  <c r="P1248" i="4" s="1"/>
  <c r="K1228" i="4"/>
  <c r="P1228" i="4" s="1"/>
  <c r="K1231" i="4"/>
  <c r="P1231" i="4" s="1"/>
  <c r="K1234" i="4"/>
  <c r="P1234" i="4" s="1"/>
  <c r="K1240" i="4"/>
  <c r="P1240" i="4" s="1"/>
  <c r="K1246" i="4"/>
  <c r="P1246" i="4" s="1"/>
  <c r="K1242" i="4"/>
  <c r="P1242" i="4" s="1"/>
  <c r="K1229" i="4"/>
  <c r="P1229" i="4" s="1"/>
  <c r="K1235" i="4"/>
  <c r="P1235" i="4" s="1"/>
  <c r="K1241" i="4"/>
  <c r="P1241" i="4" s="1"/>
  <c r="K1247" i="4"/>
  <c r="P1247" i="4" s="1"/>
  <c r="K1237" i="4"/>
  <c r="P1237" i="4" s="1"/>
  <c r="H1175" i="4"/>
  <c r="H1209" i="4"/>
  <c r="G1175" i="4"/>
  <c r="G1221" i="4"/>
  <c r="G1205" i="4"/>
  <c r="H1213" i="4"/>
  <c r="H1215" i="4"/>
  <c r="H1222" i="4"/>
  <c r="H1208" i="4"/>
  <c r="H1217" i="4"/>
  <c r="H1226" i="4"/>
  <c r="H1224" i="4"/>
  <c r="H1210" i="4"/>
  <c r="H1212" i="4"/>
  <c r="H1219" i="4"/>
  <c r="H1221" i="4"/>
  <c r="H1214" i="4"/>
  <c r="H1223" i="4"/>
  <c r="H1216" i="4"/>
  <c r="H1227" i="4"/>
  <c r="H1218" i="4"/>
  <c r="H1225" i="4"/>
  <c r="H1211" i="4"/>
  <c r="H1220" i="4"/>
  <c r="G1207" i="4"/>
  <c r="G1208" i="4"/>
  <c r="G1217" i="4"/>
  <c r="G1226" i="4"/>
  <c r="G1212" i="4"/>
  <c r="G1213" i="4"/>
  <c r="G1222" i="4"/>
  <c r="G1210" i="4"/>
  <c r="G1219" i="4"/>
  <c r="G1214" i="4"/>
  <c r="G1223" i="4"/>
  <c r="G1215" i="4"/>
  <c r="G1220" i="4"/>
  <c r="G1209" i="4"/>
  <c r="G1216" i="4"/>
  <c r="G1218" i="4"/>
  <c r="G1225" i="4"/>
  <c r="G1227" i="4"/>
  <c r="G1211" i="4"/>
  <c r="G1224" i="4"/>
  <c r="H1181" i="4"/>
  <c r="H1187" i="4"/>
  <c r="H1193" i="4"/>
  <c r="H1199" i="4"/>
  <c r="H1205" i="4"/>
  <c r="H1184" i="4"/>
  <c r="H1192" i="4"/>
  <c r="H1176" i="4"/>
  <c r="H1182" i="4"/>
  <c r="H1188" i="4"/>
  <c r="H1194" i="4"/>
  <c r="H1200" i="4"/>
  <c r="H1206" i="4"/>
  <c r="H1202" i="4"/>
  <c r="H1204" i="4"/>
  <c r="H1196" i="4"/>
  <c r="H1198" i="4"/>
  <c r="H1177" i="4"/>
  <c r="H1183" i="4"/>
  <c r="H1189" i="4"/>
  <c r="H1195" i="4"/>
  <c r="H1201" i="4"/>
  <c r="H1207" i="4"/>
  <c r="H1178" i="4"/>
  <c r="H1190" i="4"/>
  <c r="H1186" i="4"/>
  <c r="H1179" i="4"/>
  <c r="H1185" i="4"/>
  <c r="H1191" i="4"/>
  <c r="H1197" i="4"/>
  <c r="H1203" i="4"/>
  <c r="H1180" i="4"/>
  <c r="G1176" i="4"/>
  <c r="G1182" i="4"/>
  <c r="G1188" i="4"/>
  <c r="G1194" i="4"/>
  <c r="G1200" i="4"/>
  <c r="G1206" i="4"/>
  <c r="G1181" i="4"/>
  <c r="G1199" i="4"/>
  <c r="G1177" i="4"/>
  <c r="G1183" i="4"/>
  <c r="G1189" i="4"/>
  <c r="G1195" i="4"/>
  <c r="G1201" i="4"/>
  <c r="G1187" i="4"/>
  <c r="G1178" i="4"/>
  <c r="G1184" i="4"/>
  <c r="G1190" i="4"/>
  <c r="G1196" i="4"/>
  <c r="G1202" i="4"/>
  <c r="G1204" i="4"/>
  <c r="G1179" i="4"/>
  <c r="G1185" i="4"/>
  <c r="G1191" i="4"/>
  <c r="G1197" i="4"/>
  <c r="G1203" i="4"/>
  <c r="G1193" i="4"/>
  <c r="G1180" i="4"/>
  <c r="G1186" i="4"/>
  <c r="G1192" i="4"/>
  <c r="G1198" i="4"/>
  <c r="N1171" i="4"/>
  <c r="J1170" i="4"/>
  <c r="AC946" i="4" a="1"/>
  <c r="AB946" i="4" a="1"/>
  <c r="AC946" i="4" l="1"/>
  <c r="AB946" i="4"/>
  <c r="AC945" i="4" a="1"/>
  <c r="AC945" i="4" s="1"/>
  <c r="AC939" i="4" a="1"/>
  <c r="AC939" i="4" s="1"/>
  <c r="H1294" i="4"/>
  <c r="H1295" i="4"/>
  <c r="H1297" i="4"/>
  <c r="H1304" i="4"/>
  <c r="H1288" i="4"/>
  <c r="H1298" i="4"/>
  <c r="H1290" i="4"/>
  <c r="H1293" i="4"/>
  <c r="H1300" i="4"/>
  <c r="H1307" i="4"/>
  <c r="H1296" i="4"/>
  <c r="H1303" i="4"/>
  <c r="H1289" i="4"/>
  <c r="H1306" i="4"/>
  <c r="H1292" i="4"/>
  <c r="H1299" i="4"/>
  <c r="H1309" i="4"/>
  <c r="H1302" i="4"/>
  <c r="H1305" i="4"/>
  <c r="H1291" i="4"/>
  <c r="H1301" i="4"/>
  <c r="H1308" i="4"/>
  <c r="AB945" i="4" a="1"/>
  <c r="AB945" i="4" s="1"/>
  <c r="AB939" i="4" a="1"/>
  <c r="AB939" i="4" s="1"/>
  <c r="G1297" i="4"/>
  <c r="G1304" i="4"/>
  <c r="G1290" i="4"/>
  <c r="G1293" i="4"/>
  <c r="G1300" i="4"/>
  <c r="G1307" i="4"/>
  <c r="G1296" i="4"/>
  <c r="G1303" i="4"/>
  <c r="G1288" i="4"/>
  <c r="G1289" i="4"/>
  <c r="G1306" i="4"/>
  <c r="G1292" i="4"/>
  <c r="G1299" i="4"/>
  <c r="G1309" i="4"/>
  <c r="G1302" i="4"/>
  <c r="G1291" i="4"/>
  <c r="G1301" i="4"/>
  <c r="G1295" i="4"/>
  <c r="G1305" i="4"/>
  <c r="G1298" i="4"/>
  <c r="G1294" i="4"/>
  <c r="G1308" i="4"/>
  <c r="H1274" i="4"/>
  <c r="H1286" i="4"/>
  <c r="H1275" i="4"/>
  <c r="H1287" i="4"/>
  <c r="H1264" i="4"/>
  <c r="H1276" i="4"/>
  <c r="H1263" i="4"/>
  <c r="H1265" i="4"/>
  <c r="H1277" i="4"/>
  <c r="H1266" i="4"/>
  <c r="H1278" i="4"/>
  <c r="H1267" i="4"/>
  <c r="H1279" i="4"/>
  <c r="H1268" i="4"/>
  <c r="H1280" i="4"/>
  <c r="H1269" i="4"/>
  <c r="H1281" i="4"/>
  <c r="H1270" i="4"/>
  <c r="H1282" i="4"/>
  <c r="H1271" i="4"/>
  <c r="H1283" i="4"/>
  <c r="H1272" i="4"/>
  <c r="H1284" i="4"/>
  <c r="H1273" i="4"/>
  <c r="H1285" i="4"/>
  <c r="G1285" i="4"/>
  <c r="G1287" i="4"/>
  <c r="G1269" i="4"/>
  <c r="G1278" i="4"/>
  <c r="G1274" i="4"/>
  <c r="G1271" i="4"/>
  <c r="G1280" i="4"/>
  <c r="G1266" i="4"/>
  <c r="G1273" i="4"/>
  <c r="G1282" i="4"/>
  <c r="G1275" i="4"/>
  <c r="G1268" i="4"/>
  <c r="G1277" i="4"/>
  <c r="G1284" i="4"/>
  <c r="G1286" i="4"/>
  <c r="G1270" i="4"/>
  <c r="G1279" i="4"/>
  <c r="G1272" i="4"/>
  <c r="G1281" i="4"/>
  <c r="G1267" i="4"/>
  <c r="G1276" i="4"/>
  <c r="G1283" i="4"/>
  <c r="Q1229" i="4"/>
  <c r="G1250" i="4"/>
  <c r="G1253" i="4"/>
  <c r="G1256" i="4"/>
  <c r="G1259" i="4"/>
  <c r="G1263" i="4"/>
  <c r="G1262" i="4"/>
  <c r="G1249" i="4"/>
  <c r="G1265" i="4"/>
  <c r="G1252" i="4"/>
  <c r="G1255" i="4"/>
  <c r="G1258" i="4"/>
  <c r="G1254" i="4"/>
  <c r="G1261" i="4"/>
  <c r="G1257" i="4"/>
  <c r="G1260" i="4"/>
  <c r="G1251" i="4"/>
  <c r="G1264" i="4"/>
  <c r="H1260" i="4"/>
  <c r="H1250" i="4"/>
  <c r="H1251" i="4"/>
  <c r="H1253" i="4"/>
  <c r="H1256" i="4"/>
  <c r="H1259" i="4"/>
  <c r="H1255" i="4"/>
  <c r="H1262" i="4"/>
  <c r="H1252" i="4"/>
  <c r="H1249" i="4"/>
  <c r="H1254" i="4"/>
  <c r="H1257" i="4"/>
  <c r="H1258" i="4"/>
  <c r="H1261" i="4"/>
  <c r="AC941" i="4" a="1"/>
  <c r="AC941" i="4" s="1"/>
  <c r="AC942" i="4" s="1"/>
  <c r="AB941" i="4" a="1"/>
  <c r="AB941" i="4" s="1"/>
  <c r="AB942" i="4" s="1"/>
  <c r="H1236" i="4"/>
  <c r="H1248" i="4"/>
  <c r="H1243" i="4"/>
  <c r="H1234" i="4"/>
  <c r="H1237" i="4"/>
  <c r="H1229" i="4"/>
  <c r="H1245" i="4"/>
  <c r="H1228" i="4"/>
  <c r="H1238" i="4"/>
  <c r="H1244" i="4"/>
  <c r="H1239" i="4"/>
  <c r="H1235" i="4"/>
  <c r="H1240" i="4"/>
  <c r="H1231" i="4"/>
  <c r="H1241" i="4"/>
  <c r="H1232" i="4"/>
  <c r="H1246" i="4"/>
  <c r="H1230" i="4"/>
  <c r="H1242" i="4"/>
  <c r="H1233" i="4"/>
  <c r="H1247" i="4"/>
  <c r="G1241" i="4"/>
  <c r="G1238" i="4"/>
  <c r="G1242" i="4"/>
  <c r="G1240" i="4"/>
  <c r="G1231" i="4"/>
  <c r="G1243" i="4"/>
  <c r="G1232" i="4"/>
  <c r="G1244" i="4"/>
  <c r="G1236" i="4"/>
  <c r="G1228" i="4"/>
  <c r="G1233" i="4"/>
  <c r="G1245" i="4"/>
  <c r="G1229" i="4"/>
  <c r="G1234" i="4"/>
  <c r="G1246" i="4"/>
  <c r="G1248" i="4"/>
  <c r="G1237" i="4"/>
  <c r="G1230" i="4"/>
  <c r="G1239" i="4"/>
  <c r="G1235" i="4"/>
  <c r="G1247" i="4"/>
  <c r="N1172" i="4"/>
  <c r="J1172" i="4" s="1"/>
  <c r="J1171" i="4"/>
  <c r="F1149" i="4"/>
  <c r="K1149" i="4"/>
  <c r="G1149" i="4" s="1"/>
  <c r="L1149" i="4"/>
  <c r="H1149" i="4" s="1"/>
  <c r="M1149" i="4"/>
  <c r="I1149" i="4" s="1"/>
  <c r="N1149" i="4"/>
  <c r="J1149" i="4" s="1"/>
  <c r="F1150" i="4"/>
  <c r="K1150" i="4"/>
  <c r="G1150" i="4" s="1"/>
  <c r="L1150" i="4"/>
  <c r="H1150" i="4" s="1"/>
  <c r="M1150" i="4"/>
  <c r="I1150" i="4" s="1"/>
  <c r="N1150" i="4"/>
  <c r="J1150" i="4" s="1"/>
  <c r="F1151" i="4"/>
  <c r="K1151" i="4"/>
  <c r="G1151" i="4" s="1"/>
  <c r="L1151" i="4"/>
  <c r="H1151" i="4" s="1"/>
  <c r="M1151" i="4"/>
  <c r="I1151" i="4" s="1"/>
  <c r="N1151" i="4"/>
  <c r="J1151" i="4" s="1"/>
  <c r="F1152" i="4"/>
  <c r="K1152" i="4"/>
  <c r="G1152" i="4" s="1"/>
  <c r="L1152" i="4"/>
  <c r="H1152" i="4" s="1"/>
  <c r="M1152" i="4"/>
  <c r="I1152" i="4" s="1"/>
  <c r="N1152" i="4"/>
  <c r="J1152" i="4" s="1"/>
  <c r="F1153" i="4"/>
  <c r="K1153" i="4"/>
  <c r="G1153" i="4" s="1"/>
  <c r="L1153" i="4"/>
  <c r="H1153" i="4" s="1"/>
  <c r="M1153" i="4"/>
  <c r="I1153" i="4" s="1"/>
  <c r="N1153" i="4"/>
  <c r="J1153" i="4" s="1"/>
  <c r="F1154" i="4"/>
  <c r="K1154" i="4"/>
  <c r="G1154" i="4" s="1"/>
  <c r="L1154" i="4"/>
  <c r="H1154" i="4" s="1"/>
  <c r="M1154" i="4"/>
  <c r="I1154" i="4" s="1"/>
  <c r="N1154" i="4"/>
  <c r="J1154" i="4" s="1"/>
  <c r="F1155" i="4"/>
  <c r="K1155" i="4"/>
  <c r="G1155" i="4" s="1"/>
  <c r="L1155" i="4"/>
  <c r="H1155" i="4" s="1"/>
  <c r="M1155" i="4"/>
  <c r="I1155" i="4" s="1"/>
  <c r="N1155" i="4"/>
  <c r="J1155" i="4" s="1"/>
  <c r="F1156" i="4"/>
  <c r="K1156" i="4"/>
  <c r="G1156" i="4" s="1"/>
  <c r="L1156" i="4"/>
  <c r="H1156" i="4" s="1"/>
  <c r="M1156" i="4"/>
  <c r="I1156" i="4" s="1"/>
  <c r="N1156" i="4"/>
  <c r="J1156" i="4" s="1"/>
  <c r="F1157" i="4"/>
  <c r="K1157" i="4"/>
  <c r="G1157" i="4" s="1"/>
  <c r="L1157" i="4"/>
  <c r="H1157" i="4" s="1"/>
  <c r="M1157" i="4"/>
  <c r="I1157" i="4" s="1"/>
  <c r="N1157" i="4"/>
  <c r="J1157" i="4" s="1"/>
  <c r="F1158" i="4"/>
  <c r="K1158" i="4"/>
  <c r="G1158" i="4" s="1"/>
  <c r="L1158" i="4"/>
  <c r="H1158" i="4" s="1"/>
  <c r="M1158" i="4"/>
  <c r="I1158" i="4" s="1"/>
  <c r="N1158" i="4"/>
  <c r="J1158" i="4" s="1"/>
  <c r="F1159" i="4"/>
  <c r="K1159" i="4"/>
  <c r="G1159" i="4" s="1"/>
  <c r="L1159" i="4"/>
  <c r="H1159" i="4" s="1"/>
  <c r="M1159" i="4"/>
  <c r="I1159" i="4" s="1"/>
  <c r="N1159" i="4"/>
  <c r="J1159" i="4" s="1"/>
  <c r="F1160" i="4"/>
  <c r="K1160" i="4"/>
  <c r="G1160" i="4" s="1"/>
  <c r="L1160" i="4"/>
  <c r="H1160" i="4" s="1"/>
  <c r="M1160" i="4"/>
  <c r="I1160" i="4" s="1"/>
  <c r="N1160" i="4"/>
  <c r="J1160" i="4" s="1"/>
  <c r="F1161" i="4"/>
  <c r="K1161" i="4"/>
  <c r="G1161" i="4" s="1"/>
  <c r="L1161" i="4"/>
  <c r="H1161" i="4" s="1"/>
  <c r="M1161" i="4"/>
  <c r="I1161" i="4" s="1"/>
  <c r="N1161" i="4"/>
  <c r="J1161" i="4" s="1"/>
  <c r="F1162" i="4"/>
  <c r="K1162" i="4"/>
  <c r="G1162" i="4" s="1"/>
  <c r="L1162" i="4"/>
  <c r="H1162" i="4" s="1"/>
  <c r="M1162" i="4"/>
  <c r="I1162" i="4" s="1"/>
  <c r="N1162" i="4"/>
  <c r="J1162" i="4" s="1"/>
  <c r="F1163" i="4"/>
  <c r="K1163" i="4"/>
  <c r="G1163" i="4" s="1"/>
  <c r="L1163" i="4"/>
  <c r="H1163" i="4" s="1"/>
  <c r="M1163" i="4"/>
  <c r="I1163" i="4" s="1"/>
  <c r="N1163" i="4"/>
  <c r="J1163" i="4" s="1"/>
  <c r="F1164" i="4"/>
  <c r="K1164" i="4"/>
  <c r="G1164" i="4" s="1"/>
  <c r="L1164" i="4"/>
  <c r="H1164" i="4" s="1"/>
  <c r="M1164" i="4"/>
  <c r="I1164" i="4" s="1"/>
  <c r="N1164" i="4"/>
  <c r="J1164" i="4" s="1"/>
  <c r="F1165" i="4"/>
  <c r="K1165" i="4"/>
  <c r="G1165" i="4" s="1"/>
  <c r="L1165" i="4"/>
  <c r="H1165" i="4" s="1"/>
  <c r="M1165" i="4"/>
  <c r="I1165" i="4" s="1"/>
  <c r="N1165" i="4"/>
  <c r="J1165" i="4" s="1"/>
  <c r="F1166" i="4"/>
  <c r="K1166" i="4"/>
  <c r="G1166" i="4" s="1"/>
  <c r="L1166" i="4"/>
  <c r="H1166" i="4" s="1"/>
  <c r="M1166" i="4"/>
  <c r="I1166" i="4" s="1"/>
  <c r="N1166" i="4"/>
  <c r="J1166" i="4" s="1"/>
  <c r="F1167" i="4"/>
  <c r="K1167" i="4"/>
  <c r="G1167" i="4" s="1"/>
  <c r="L1167" i="4"/>
  <c r="H1167" i="4" s="1"/>
  <c r="M1167" i="4"/>
  <c r="N1167" i="4"/>
  <c r="J1167" i="4" s="1"/>
  <c r="K1168" i="4"/>
  <c r="L1168" i="4"/>
  <c r="N1168" i="4"/>
  <c r="I1167" i="4" l="1"/>
  <c r="N1173" i="4"/>
  <c r="J1168" i="4"/>
  <c r="H1168" i="4"/>
  <c r="I1168" i="4"/>
  <c r="G1168" i="4"/>
  <c r="F1134" i="4"/>
  <c r="K1134" i="4"/>
  <c r="G1134" i="4" s="1"/>
  <c r="L1134" i="4"/>
  <c r="H1134" i="4" s="1"/>
  <c r="M1134" i="4"/>
  <c r="I1134" i="4" s="1"/>
  <c r="N1134" i="4"/>
  <c r="J1134" i="4" s="1"/>
  <c r="F1135" i="4"/>
  <c r="K1135" i="4"/>
  <c r="G1135" i="4" s="1"/>
  <c r="L1135" i="4"/>
  <c r="H1135" i="4" s="1"/>
  <c r="M1135" i="4"/>
  <c r="I1135" i="4" s="1"/>
  <c r="N1135" i="4"/>
  <c r="J1135" i="4" s="1"/>
  <c r="F1136" i="4"/>
  <c r="K1136" i="4"/>
  <c r="G1136" i="4" s="1"/>
  <c r="L1136" i="4"/>
  <c r="H1136" i="4" s="1"/>
  <c r="M1136" i="4"/>
  <c r="I1136" i="4" s="1"/>
  <c r="N1136" i="4"/>
  <c r="J1136" i="4" s="1"/>
  <c r="F1137" i="4"/>
  <c r="K1137" i="4"/>
  <c r="G1137" i="4" s="1"/>
  <c r="L1137" i="4"/>
  <c r="H1137" i="4" s="1"/>
  <c r="M1137" i="4"/>
  <c r="I1137" i="4" s="1"/>
  <c r="N1137" i="4"/>
  <c r="J1137" i="4" s="1"/>
  <c r="F1138" i="4"/>
  <c r="K1138" i="4"/>
  <c r="G1138" i="4" s="1"/>
  <c r="L1138" i="4"/>
  <c r="H1138" i="4" s="1"/>
  <c r="M1138" i="4"/>
  <c r="I1138" i="4" s="1"/>
  <c r="N1138" i="4"/>
  <c r="J1138" i="4" s="1"/>
  <c r="F1139" i="4"/>
  <c r="K1139" i="4"/>
  <c r="G1139" i="4" s="1"/>
  <c r="L1139" i="4"/>
  <c r="H1139" i="4" s="1"/>
  <c r="M1139" i="4"/>
  <c r="I1139" i="4" s="1"/>
  <c r="N1139" i="4"/>
  <c r="J1139" i="4" s="1"/>
  <c r="F1140" i="4"/>
  <c r="K1140" i="4"/>
  <c r="G1140" i="4" s="1"/>
  <c r="L1140" i="4"/>
  <c r="H1140" i="4" s="1"/>
  <c r="M1140" i="4"/>
  <c r="I1140" i="4" s="1"/>
  <c r="N1140" i="4"/>
  <c r="J1140" i="4" s="1"/>
  <c r="F1141" i="4"/>
  <c r="K1141" i="4"/>
  <c r="G1141" i="4" s="1"/>
  <c r="L1141" i="4"/>
  <c r="H1141" i="4" s="1"/>
  <c r="M1141" i="4"/>
  <c r="I1141" i="4" s="1"/>
  <c r="N1141" i="4"/>
  <c r="J1141" i="4" s="1"/>
  <c r="F1142" i="4"/>
  <c r="K1142" i="4"/>
  <c r="G1142" i="4" s="1"/>
  <c r="L1142" i="4"/>
  <c r="H1142" i="4" s="1"/>
  <c r="M1142" i="4"/>
  <c r="I1142" i="4" s="1"/>
  <c r="N1142" i="4"/>
  <c r="J1142" i="4" s="1"/>
  <c r="F1143" i="4"/>
  <c r="K1143" i="4"/>
  <c r="G1143" i="4" s="1"/>
  <c r="L1143" i="4"/>
  <c r="H1143" i="4" s="1"/>
  <c r="M1143" i="4"/>
  <c r="I1143" i="4" s="1"/>
  <c r="N1143" i="4"/>
  <c r="J1143" i="4" s="1"/>
  <c r="F1144" i="4"/>
  <c r="K1144" i="4"/>
  <c r="G1144" i="4" s="1"/>
  <c r="L1144" i="4"/>
  <c r="H1144" i="4" s="1"/>
  <c r="M1144" i="4"/>
  <c r="I1144" i="4" s="1"/>
  <c r="N1144" i="4"/>
  <c r="J1144" i="4" s="1"/>
  <c r="F1145" i="4"/>
  <c r="K1145" i="4"/>
  <c r="G1145" i="4" s="1"/>
  <c r="L1145" i="4"/>
  <c r="H1145" i="4" s="1"/>
  <c r="M1145" i="4"/>
  <c r="I1145" i="4" s="1"/>
  <c r="N1145" i="4"/>
  <c r="J1145" i="4" s="1"/>
  <c r="F1146" i="4"/>
  <c r="K1146" i="4"/>
  <c r="AL959" i="4" s="1"/>
  <c r="L1146" i="4"/>
  <c r="AL960" i="4" s="1"/>
  <c r="M1146" i="4"/>
  <c r="AL958" i="4" s="1"/>
  <c r="N1146" i="4"/>
  <c r="F1147" i="4"/>
  <c r="K1147" i="4"/>
  <c r="G1147" i="4" s="1"/>
  <c r="L1147" i="4"/>
  <c r="H1147" i="4" s="1"/>
  <c r="M1147" i="4"/>
  <c r="I1147" i="4" s="1"/>
  <c r="N1147" i="4"/>
  <c r="J1147" i="4" s="1"/>
  <c r="F1148" i="4"/>
  <c r="K1148" i="4"/>
  <c r="L1148" i="4"/>
  <c r="M1148" i="4"/>
  <c r="N1148" i="4"/>
  <c r="J1148" i="4" s="1"/>
  <c r="N1292" i="4" l="1"/>
  <c r="J1292" i="4" s="1"/>
  <c r="N1299" i="4"/>
  <c r="J1299" i="4" s="1"/>
  <c r="N1306" i="4"/>
  <c r="J1306" i="4" s="1"/>
  <c r="N1309" i="4"/>
  <c r="N1295" i="4"/>
  <c r="J1295" i="4" s="1"/>
  <c r="N1302" i="4"/>
  <c r="J1302" i="4" s="1"/>
  <c r="N1288" i="4"/>
  <c r="J1288" i="4" s="1"/>
  <c r="N1305" i="4"/>
  <c r="J1305" i="4" s="1"/>
  <c r="N1293" i="4"/>
  <c r="J1293" i="4" s="1"/>
  <c r="N1291" i="4"/>
  <c r="J1291" i="4" s="1"/>
  <c r="N1298" i="4"/>
  <c r="J1298" i="4" s="1"/>
  <c r="N1308" i="4"/>
  <c r="J1308" i="4" s="1"/>
  <c r="N1303" i="4"/>
  <c r="J1303" i="4" s="1"/>
  <c r="N1301" i="4"/>
  <c r="J1301" i="4" s="1"/>
  <c r="N1294" i="4"/>
  <c r="J1294" i="4" s="1"/>
  <c r="N1304" i="4"/>
  <c r="J1304" i="4" s="1"/>
  <c r="N1297" i="4"/>
  <c r="J1297" i="4" s="1"/>
  <c r="N1290" i="4"/>
  <c r="J1290" i="4" s="1"/>
  <c r="N1300" i="4"/>
  <c r="J1300" i="4" s="1"/>
  <c r="N1307" i="4"/>
  <c r="J1307" i="4" s="1"/>
  <c r="N1289" i="4"/>
  <c r="J1289" i="4" s="1"/>
  <c r="N1296" i="4"/>
  <c r="J1296" i="4" s="1"/>
  <c r="N1283" i="4"/>
  <c r="J1283" i="4" s="1"/>
  <c r="N1272" i="4"/>
  <c r="J1272" i="4" s="1"/>
  <c r="N1284" i="4"/>
  <c r="J1284" i="4" s="1"/>
  <c r="N1273" i="4"/>
  <c r="J1273" i="4" s="1"/>
  <c r="N1285" i="4"/>
  <c r="J1285" i="4" s="1"/>
  <c r="N1274" i="4"/>
  <c r="J1274" i="4" s="1"/>
  <c r="N1270" i="4"/>
  <c r="J1270" i="4" s="1"/>
  <c r="N1286" i="4"/>
  <c r="J1286" i="4" s="1"/>
  <c r="N1275" i="4"/>
  <c r="J1275" i="4" s="1"/>
  <c r="N1287" i="4"/>
  <c r="N1276" i="4"/>
  <c r="J1276" i="4" s="1"/>
  <c r="N1265" i="4"/>
  <c r="N1281" i="4"/>
  <c r="J1281" i="4" s="1"/>
  <c r="N1277" i="4"/>
  <c r="J1277" i="4" s="1"/>
  <c r="N1266" i="4"/>
  <c r="J1266" i="4" s="1"/>
  <c r="N1278" i="4"/>
  <c r="J1278" i="4" s="1"/>
  <c r="N1267" i="4"/>
  <c r="J1267" i="4" s="1"/>
  <c r="N1279" i="4"/>
  <c r="J1279" i="4" s="1"/>
  <c r="N1268" i="4"/>
  <c r="J1268" i="4" s="1"/>
  <c r="N1280" i="4"/>
  <c r="J1280" i="4" s="1"/>
  <c r="N1269" i="4"/>
  <c r="J1269" i="4" s="1"/>
  <c r="N1282" i="4"/>
  <c r="J1282" i="4" s="1"/>
  <c r="N1271" i="4"/>
  <c r="J1271" i="4" s="1"/>
  <c r="N1258" i="4"/>
  <c r="J1258" i="4" s="1"/>
  <c r="N1255" i="4"/>
  <c r="J1255" i="4" s="1"/>
  <c r="N1264" i="4"/>
  <c r="J1264" i="4" s="1"/>
  <c r="N1261" i="4"/>
  <c r="J1261" i="4" s="1"/>
  <c r="N1262" i="4"/>
  <c r="J1262" i="4" s="1"/>
  <c r="N1249" i="4"/>
  <c r="J1249" i="4" s="1"/>
  <c r="N1252" i="4"/>
  <c r="J1252" i="4" s="1"/>
  <c r="N1251" i="4"/>
  <c r="J1251" i="4" s="1"/>
  <c r="N1254" i="4"/>
  <c r="J1254" i="4" s="1"/>
  <c r="N1250" i="4"/>
  <c r="J1250" i="4" s="1"/>
  <c r="N1259" i="4"/>
  <c r="J1259" i="4" s="1"/>
  <c r="N1257" i="4"/>
  <c r="J1257" i="4" s="1"/>
  <c r="N1263" i="4"/>
  <c r="J1263" i="4" s="1"/>
  <c r="N1260" i="4"/>
  <c r="J1260" i="4" s="1"/>
  <c r="N1253" i="4"/>
  <c r="J1253" i="4" s="1"/>
  <c r="N1256" i="4"/>
  <c r="J1256" i="4" s="1"/>
  <c r="N1217" i="4"/>
  <c r="J1217" i="4" s="1"/>
  <c r="N1230" i="4"/>
  <c r="J1230" i="4" s="1"/>
  <c r="N1242" i="4"/>
  <c r="N1216" i="4"/>
  <c r="J1216" i="4" s="1"/>
  <c r="N1218" i="4"/>
  <c r="J1218" i="4" s="1"/>
  <c r="N1231" i="4"/>
  <c r="N1243" i="4"/>
  <c r="N1219" i="4"/>
  <c r="J1219" i="4" s="1"/>
  <c r="N1232" i="4"/>
  <c r="N1244" i="4"/>
  <c r="N1234" i="4"/>
  <c r="N1235" i="4"/>
  <c r="N1247" i="4"/>
  <c r="N1223" i="4"/>
  <c r="J1223" i="4" s="1"/>
  <c r="N1224" i="4"/>
  <c r="J1224" i="4" s="1"/>
  <c r="N1214" i="4"/>
  <c r="J1214" i="4" s="1"/>
  <c r="N1228" i="4"/>
  <c r="N1220" i="4"/>
  <c r="J1220" i="4" s="1"/>
  <c r="N1233" i="4"/>
  <c r="N1245" i="4"/>
  <c r="N1246" i="4"/>
  <c r="N1222" i="4"/>
  <c r="J1222" i="4" s="1"/>
  <c r="N1236" i="4"/>
  <c r="N1248" i="4"/>
  <c r="N1237" i="4"/>
  <c r="N1238" i="4"/>
  <c r="N1239" i="4"/>
  <c r="N1229" i="4"/>
  <c r="N1221" i="4"/>
  <c r="J1221" i="4" s="1"/>
  <c r="N1240" i="4"/>
  <c r="N1226" i="4"/>
  <c r="J1226" i="4" s="1"/>
  <c r="N1215" i="4"/>
  <c r="J1215" i="4" s="1"/>
  <c r="N1227" i="4"/>
  <c r="N1225" i="4"/>
  <c r="J1225" i="4" s="1"/>
  <c r="N1241" i="4"/>
  <c r="H1148" i="4"/>
  <c r="G1148" i="4"/>
  <c r="I1148" i="4"/>
  <c r="N1209" i="4"/>
  <c r="J1209" i="4" s="1"/>
  <c r="N1211" i="4"/>
  <c r="J1211" i="4" s="1"/>
  <c r="N1213" i="4"/>
  <c r="J1213" i="4" s="1"/>
  <c r="N1208" i="4"/>
  <c r="J1208" i="4" s="1"/>
  <c r="N1210" i="4"/>
  <c r="J1210" i="4" s="1"/>
  <c r="N1212" i="4"/>
  <c r="J1212" i="4" s="1"/>
  <c r="J1173" i="4"/>
  <c r="N1197" i="4"/>
  <c r="J1197" i="4" s="1"/>
  <c r="N1206" i="4"/>
  <c r="J1206" i="4" s="1"/>
  <c r="N1196" i="4"/>
  <c r="J1196" i="4" s="1"/>
  <c r="N1198" i="4"/>
  <c r="J1198" i="4" s="1"/>
  <c r="N1207" i="4"/>
  <c r="J1207" i="4" s="1"/>
  <c r="N1201" i="4"/>
  <c r="J1201" i="4" s="1"/>
  <c r="N1204" i="4"/>
  <c r="N1200" i="4"/>
  <c r="J1200" i="4" s="1"/>
  <c r="N1202" i="4"/>
  <c r="J1202" i="4" s="1"/>
  <c r="N1199" i="4"/>
  <c r="J1199" i="4" s="1"/>
  <c r="N1192" i="4"/>
  <c r="J1192" i="4" s="1"/>
  <c r="N1193" i="4"/>
  <c r="J1193" i="4" s="1"/>
  <c r="N1195" i="4"/>
  <c r="J1195" i="4" s="1"/>
  <c r="N1205" i="4"/>
  <c r="J1205" i="4" s="1"/>
  <c r="N1175" i="4"/>
  <c r="J1175" i="4" s="1"/>
  <c r="N1194" i="4"/>
  <c r="J1194" i="4" s="1"/>
  <c r="N1203" i="4"/>
  <c r="J1203" i="4" s="1"/>
  <c r="N1178" i="4"/>
  <c r="J1178" i="4" s="1"/>
  <c r="N1190" i="4"/>
  <c r="J1190" i="4" s="1"/>
  <c r="N1174" i="4"/>
  <c r="J1174" i="4" s="1"/>
  <c r="N1185" i="4"/>
  <c r="J1185" i="4" s="1"/>
  <c r="N1191" i="4"/>
  <c r="J1191" i="4" s="1"/>
  <c r="N1186" i="4"/>
  <c r="J1186" i="4" s="1"/>
  <c r="N1187" i="4"/>
  <c r="J1187" i="4" s="1"/>
  <c r="N1176" i="4"/>
  <c r="J1176" i="4" s="1"/>
  <c r="N1188" i="4"/>
  <c r="J1188" i="4" s="1"/>
  <c r="N1177" i="4"/>
  <c r="J1177" i="4" s="1"/>
  <c r="N1189" i="4"/>
  <c r="N1179" i="4"/>
  <c r="J1179" i="4" s="1"/>
  <c r="N1180" i="4"/>
  <c r="J1180" i="4" s="1"/>
  <c r="N1182" i="4"/>
  <c r="J1182" i="4" s="1"/>
  <c r="N1184" i="4"/>
  <c r="J1184" i="4" s="1"/>
  <c r="N1181" i="4"/>
  <c r="J1181" i="4" s="1"/>
  <c r="N1183" i="4"/>
  <c r="J1183" i="4" s="1"/>
  <c r="G1146" i="4"/>
  <c r="H1146" i="4"/>
  <c r="AL961" i="4"/>
  <c r="I1146" i="4"/>
  <c r="J1146" i="4"/>
  <c r="N1131" i="4"/>
  <c r="J1131" i="4" s="1"/>
  <c r="N1132" i="4"/>
  <c r="J1132" i="4" s="1"/>
  <c r="N1133" i="4"/>
  <c r="J1133" i="4" s="1"/>
  <c r="F1129" i="4"/>
  <c r="K1129" i="4"/>
  <c r="G1129" i="4" s="1"/>
  <c r="L1129" i="4"/>
  <c r="H1129" i="4" s="1"/>
  <c r="M1129" i="4"/>
  <c r="I1129" i="4" s="1"/>
  <c r="N1129" i="4"/>
  <c r="J1129" i="4" s="1"/>
  <c r="F1130" i="4"/>
  <c r="K1130" i="4"/>
  <c r="G1130" i="4" s="1"/>
  <c r="L1130" i="4"/>
  <c r="H1130" i="4" s="1"/>
  <c r="M1130" i="4"/>
  <c r="I1130" i="4" s="1"/>
  <c r="N1130" i="4"/>
  <c r="J1130" i="4" s="1"/>
  <c r="F1131" i="4"/>
  <c r="K1131" i="4"/>
  <c r="G1131" i="4" s="1"/>
  <c r="L1131" i="4"/>
  <c r="H1131" i="4" s="1"/>
  <c r="M1131" i="4"/>
  <c r="I1131" i="4" s="1"/>
  <c r="F1132" i="4"/>
  <c r="K1132" i="4"/>
  <c r="G1132" i="4" s="1"/>
  <c r="L1132" i="4"/>
  <c r="H1132" i="4" s="1"/>
  <c r="M1132" i="4"/>
  <c r="I1132" i="4" s="1"/>
  <c r="F1133" i="4"/>
  <c r="K1133" i="4"/>
  <c r="L1133" i="4"/>
  <c r="M1133" i="4"/>
  <c r="J1309" i="4" l="1"/>
  <c r="AD939" i="4" a="1"/>
  <c r="AD939" i="4" s="1"/>
  <c r="J1287" i="4"/>
  <c r="S1231" i="4"/>
  <c r="S1249" i="4"/>
  <c r="S1242" i="4"/>
  <c r="J1265" i="4"/>
  <c r="S1246" i="4"/>
  <c r="S1241" i="4"/>
  <c r="S1244" i="4"/>
  <c r="S1232" i="4"/>
  <c r="S1233" i="4"/>
  <c r="S1230" i="4"/>
  <c r="S1229" i="4"/>
  <c r="S1238" i="4"/>
  <c r="S1247" i="4"/>
  <c r="S1248" i="4"/>
  <c r="S1243" i="4"/>
  <c r="S1237" i="4"/>
  <c r="S1234" i="4"/>
  <c r="S1240" i="4"/>
  <c r="S1245" i="4"/>
  <c r="S1228" i="4"/>
  <c r="J1228" i="4"/>
  <c r="S1235" i="4"/>
  <c r="S1236" i="4"/>
  <c r="S1239" i="4"/>
  <c r="J1244" i="4"/>
  <c r="J1246" i="4"/>
  <c r="J1238" i="4"/>
  <c r="J1239" i="4"/>
  <c r="J1242" i="4"/>
  <c r="J1247" i="4"/>
  <c r="J1233" i="4"/>
  <c r="J1231" i="4"/>
  <c r="J1232" i="4"/>
  <c r="J1241" i="4"/>
  <c r="J1229" i="4"/>
  <c r="J1237" i="4"/>
  <c r="J1243" i="4"/>
  <c r="J1234" i="4"/>
  <c r="J1240" i="4"/>
  <c r="J1245" i="4"/>
  <c r="J1235" i="4"/>
  <c r="J1236" i="4"/>
  <c r="J1248" i="4"/>
  <c r="AD941" i="4" s="1" a="1"/>
  <c r="AD941" i="4" s="1"/>
  <c r="AD942" i="4" s="1"/>
  <c r="J1227" i="4"/>
  <c r="I1133" i="4"/>
  <c r="H1133" i="4"/>
  <c r="G1133" i="4"/>
  <c r="J1204" i="4"/>
  <c r="J1189" i="4"/>
  <c r="F1124" i="4"/>
  <c r="K1124" i="4"/>
  <c r="G1124" i="4" s="1"/>
  <c r="L1124" i="4"/>
  <c r="H1124" i="4" s="1"/>
  <c r="M1124" i="4"/>
  <c r="I1124" i="4" s="1"/>
  <c r="N1124" i="4"/>
  <c r="J1124" i="4" s="1"/>
  <c r="F1125" i="4"/>
  <c r="K1125" i="4"/>
  <c r="L1125" i="4"/>
  <c r="M1125" i="4"/>
  <c r="N1125" i="4"/>
  <c r="F1126" i="4"/>
  <c r="K1126" i="4"/>
  <c r="G1126" i="4" s="1"/>
  <c r="L1126" i="4"/>
  <c r="H1126" i="4" s="1"/>
  <c r="M1126" i="4"/>
  <c r="I1126" i="4" s="1"/>
  <c r="N1126" i="4"/>
  <c r="J1126" i="4" s="1"/>
  <c r="F1127" i="4"/>
  <c r="K1127" i="4"/>
  <c r="G1127" i="4" s="1"/>
  <c r="L1127" i="4"/>
  <c r="H1127" i="4" s="1"/>
  <c r="M1127" i="4"/>
  <c r="I1127" i="4" s="1"/>
  <c r="N1127" i="4"/>
  <c r="J1127" i="4" s="1"/>
  <c r="F1128" i="4"/>
  <c r="K1128" i="4"/>
  <c r="L1128" i="4"/>
  <c r="M1128" i="4"/>
  <c r="N1128" i="4"/>
  <c r="J1128" i="4" s="1"/>
  <c r="AD946" i="4" a="1"/>
  <c r="AD946" i="4" l="1"/>
  <c r="H1128" i="4"/>
  <c r="I1128" i="4"/>
  <c r="G1128" i="4"/>
  <c r="I1125" i="4"/>
  <c r="AK958" i="4"/>
  <c r="J1125" i="4"/>
  <c r="AK961" i="4"/>
  <c r="H1125" i="4"/>
  <c r="AK960" i="4"/>
  <c r="G1125" i="4"/>
  <c r="AK959" i="4"/>
  <c r="F1114" i="4"/>
  <c r="K1114" i="4"/>
  <c r="G1114" i="4" s="1"/>
  <c r="L1114" i="4"/>
  <c r="H1114" i="4" s="1"/>
  <c r="M1114" i="4"/>
  <c r="I1114" i="4" s="1"/>
  <c r="N1114" i="4"/>
  <c r="J1114" i="4" s="1"/>
  <c r="F1115" i="4"/>
  <c r="K1115" i="4"/>
  <c r="G1115" i="4" s="1"/>
  <c r="L1115" i="4"/>
  <c r="H1115" i="4" s="1"/>
  <c r="M1115" i="4"/>
  <c r="I1115" i="4" s="1"/>
  <c r="N1115" i="4"/>
  <c r="J1115" i="4" s="1"/>
  <c r="F1116" i="4"/>
  <c r="K1116" i="4"/>
  <c r="G1116" i="4" s="1"/>
  <c r="L1116" i="4"/>
  <c r="H1116" i="4" s="1"/>
  <c r="M1116" i="4"/>
  <c r="I1116" i="4" s="1"/>
  <c r="N1116" i="4"/>
  <c r="J1116" i="4" s="1"/>
  <c r="F1117" i="4"/>
  <c r="K1117" i="4"/>
  <c r="G1117" i="4" s="1"/>
  <c r="L1117" i="4"/>
  <c r="H1117" i="4" s="1"/>
  <c r="M1117" i="4"/>
  <c r="I1117" i="4" s="1"/>
  <c r="N1117" i="4"/>
  <c r="J1117" i="4" s="1"/>
  <c r="F1118" i="4"/>
  <c r="K1118" i="4"/>
  <c r="G1118" i="4" s="1"/>
  <c r="L1118" i="4"/>
  <c r="H1118" i="4" s="1"/>
  <c r="M1118" i="4"/>
  <c r="I1118" i="4" s="1"/>
  <c r="N1118" i="4"/>
  <c r="J1118" i="4" s="1"/>
  <c r="F1119" i="4"/>
  <c r="K1119" i="4"/>
  <c r="G1119" i="4" s="1"/>
  <c r="L1119" i="4"/>
  <c r="H1119" i="4" s="1"/>
  <c r="M1119" i="4"/>
  <c r="I1119" i="4" s="1"/>
  <c r="N1119" i="4"/>
  <c r="J1119" i="4" s="1"/>
  <c r="F1120" i="4"/>
  <c r="K1120" i="4"/>
  <c r="G1120" i="4" s="1"/>
  <c r="L1120" i="4"/>
  <c r="H1120" i="4" s="1"/>
  <c r="M1120" i="4"/>
  <c r="I1120" i="4" s="1"/>
  <c r="N1120" i="4"/>
  <c r="J1120" i="4" s="1"/>
  <c r="F1121" i="4"/>
  <c r="K1121" i="4"/>
  <c r="G1121" i="4" s="1"/>
  <c r="L1121" i="4"/>
  <c r="H1121" i="4" s="1"/>
  <c r="M1121" i="4"/>
  <c r="I1121" i="4" s="1"/>
  <c r="N1121" i="4"/>
  <c r="J1121" i="4" s="1"/>
  <c r="F1122" i="4"/>
  <c r="K1122" i="4"/>
  <c r="G1122" i="4" s="1"/>
  <c r="L1122" i="4"/>
  <c r="H1122" i="4" s="1"/>
  <c r="M1122" i="4"/>
  <c r="I1122" i="4" s="1"/>
  <c r="N1122" i="4"/>
  <c r="J1122" i="4" s="1"/>
  <c r="F1123" i="4"/>
  <c r="K1123" i="4"/>
  <c r="L1123" i="4"/>
  <c r="M1123" i="4"/>
  <c r="N1123" i="4"/>
  <c r="J1123" i="4" s="1"/>
  <c r="G1123" i="4" l="1"/>
  <c r="I1123" i="4"/>
  <c r="H1123" i="4"/>
  <c r="F1105" i="4"/>
  <c r="K1105" i="4"/>
  <c r="G1105" i="4" s="1"/>
  <c r="L1105" i="4"/>
  <c r="H1105" i="4" s="1"/>
  <c r="M1105" i="4"/>
  <c r="I1105" i="4" s="1"/>
  <c r="N1105" i="4"/>
  <c r="J1105" i="4" s="1"/>
  <c r="F1106" i="4"/>
  <c r="K1106" i="4"/>
  <c r="G1106" i="4" s="1"/>
  <c r="L1106" i="4"/>
  <c r="H1106" i="4" s="1"/>
  <c r="M1106" i="4"/>
  <c r="I1106" i="4" s="1"/>
  <c r="N1106" i="4"/>
  <c r="J1106" i="4" s="1"/>
  <c r="F1107" i="4"/>
  <c r="K1107" i="4"/>
  <c r="G1107" i="4" s="1"/>
  <c r="L1107" i="4"/>
  <c r="H1107" i="4" s="1"/>
  <c r="M1107" i="4"/>
  <c r="I1107" i="4" s="1"/>
  <c r="N1107" i="4"/>
  <c r="J1107" i="4" s="1"/>
  <c r="F1108" i="4"/>
  <c r="K1108" i="4"/>
  <c r="G1108" i="4" s="1"/>
  <c r="L1108" i="4"/>
  <c r="H1108" i="4" s="1"/>
  <c r="M1108" i="4"/>
  <c r="I1108" i="4" s="1"/>
  <c r="N1108" i="4"/>
  <c r="J1108" i="4" s="1"/>
  <c r="F1109" i="4"/>
  <c r="K1109" i="4"/>
  <c r="L1109" i="4"/>
  <c r="M1109" i="4"/>
  <c r="N1109" i="4"/>
  <c r="F1110" i="4"/>
  <c r="K1110" i="4"/>
  <c r="G1110" i="4" s="1"/>
  <c r="L1110" i="4"/>
  <c r="H1110" i="4" s="1"/>
  <c r="M1110" i="4"/>
  <c r="I1110" i="4" s="1"/>
  <c r="N1110" i="4"/>
  <c r="J1110" i="4" s="1"/>
  <c r="F1111" i="4"/>
  <c r="K1111" i="4"/>
  <c r="G1111" i="4" s="1"/>
  <c r="L1111" i="4"/>
  <c r="H1111" i="4" s="1"/>
  <c r="M1111" i="4"/>
  <c r="I1111" i="4" s="1"/>
  <c r="N1111" i="4"/>
  <c r="J1111" i="4" s="1"/>
  <c r="F1112" i="4"/>
  <c r="K1112" i="4"/>
  <c r="G1112" i="4" s="1"/>
  <c r="L1112" i="4"/>
  <c r="H1112" i="4" s="1"/>
  <c r="M1112" i="4"/>
  <c r="I1112" i="4" s="1"/>
  <c r="N1112" i="4"/>
  <c r="J1112" i="4" s="1"/>
  <c r="F1113" i="4"/>
  <c r="K1113" i="4"/>
  <c r="L1113" i="4"/>
  <c r="M1113" i="4"/>
  <c r="N1113" i="4"/>
  <c r="J1113" i="4" s="1"/>
  <c r="I1113" i="4" l="1"/>
  <c r="G1113" i="4"/>
  <c r="H1113" i="4"/>
  <c r="H1109" i="4"/>
  <c r="AJ960" i="4"/>
  <c r="G1109" i="4"/>
  <c r="AJ959" i="4"/>
  <c r="I1109" i="4"/>
  <c r="AJ958" i="4"/>
  <c r="J1109" i="4"/>
  <c r="AJ961" i="4"/>
  <c r="F1100" i="4"/>
  <c r="K1100" i="4"/>
  <c r="G1100" i="4" s="1"/>
  <c r="L1100" i="4"/>
  <c r="H1100" i="4" s="1"/>
  <c r="M1100" i="4"/>
  <c r="I1100" i="4" s="1"/>
  <c r="N1100" i="4"/>
  <c r="J1100" i="4" s="1"/>
  <c r="F1101" i="4"/>
  <c r="K1101" i="4"/>
  <c r="G1101" i="4" s="1"/>
  <c r="L1101" i="4"/>
  <c r="H1101" i="4" s="1"/>
  <c r="M1101" i="4"/>
  <c r="I1101" i="4" s="1"/>
  <c r="N1101" i="4"/>
  <c r="J1101" i="4" s="1"/>
  <c r="F1102" i="4"/>
  <c r="K1102" i="4"/>
  <c r="G1102" i="4" s="1"/>
  <c r="L1102" i="4"/>
  <c r="H1102" i="4" s="1"/>
  <c r="M1102" i="4"/>
  <c r="I1102" i="4" s="1"/>
  <c r="N1102" i="4"/>
  <c r="J1102" i="4" s="1"/>
  <c r="F1103" i="4"/>
  <c r="K1103" i="4"/>
  <c r="G1103" i="4" s="1"/>
  <c r="L1103" i="4"/>
  <c r="H1103" i="4" s="1"/>
  <c r="M1103" i="4"/>
  <c r="I1103" i="4" s="1"/>
  <c r="N1103" i="4"/>
  <c r="J1103" i="4" s="1"/>
  <c r="F1104" i="4"/>
  <c r="K1104" i="4"/>
  <c r="L1104" i="4"/>
  <c r="M1104" i="4"/>
  <c r="N1104" i="4"/>
  <c r="J1104" i="4" s="1"/>
  <c r="G1104" i="4" l="1"/>
  <c r="H1104" i="4"/>
  <c r="I1104" i="4"/>
  <c r="AC940" i="4"/>
  <c r="AB940" i="4"/>
  <c r="AD940" i="4"/>
  <c r="F1048" i="4"/>
  <c r="M1050" i="4"/>
  <c r="I1050" i="4" s="1"/>
  <c r="M1049" i="4"/>
  <c r="I1049" i="4" s="1"/>
  <c r="F1049" i="4"/>
  <c r="M1048" i="4"/>
  <c r="F1099" i="4"/>
  <c r="F1095" i="4"/>
  <c r="K1095" i="4"/>
  <c r="G1095" i="4" s="1"/>
  <c r="L1095" i="4"/>
  <c r="H1095" i="4" s="1"/>
  <c r="M1095" i="4"/>
  <c r="I1095" i="4" s="1"/>
  <c r="N1095" i="4"/>
  <c r="J1095" i="4" s="1"/>
  <c r="F1096" i="4"/>
  <c r="K1096" i="4"/>
  <c r="G1096" i="4" s="1"/>
  <c r="L1096" i="4"/>
  <c r="H1096" i="4" s="1"/>
  <c r="M1096" i="4"/>
  <c r="I1096" i="4" s="1"/>
  <c r="N1096" i="4"/>
  <c r="J1096" i="4" s="1"/>
  <c r="F1097" i="4"/>
  <c r="K1097" i="4"/>
  <c r="G1097" i="4" s="1"/>
  <c r="L1097" i="4"/>
  <c r="H1097" i="4" s="1"/>
  <c r="M1097" i="4"/>
  <c r="I1097" i="4" s="1"/>
  <c r="N1097" i="4"/>
  <c r="J1097" i="4" s="1"/>
  <c r="F1098" i="4"/>
  <c r="K1098" i="4"/>
  <c r="G1098" i="4" s="1"/>
  <c r="L1098" i="4"/>
  <c r="H1098" i="4" s="1"/>
  <c r="M1098" i="4"/>
  <c r="I1098" i="4" s="1"/>
  <c r="N1098" i="4"/>
  <c r="J1098" i="4" s="1"/>
  <c r="K1099" i="4"/>
  <c r="L1099" i="4"/>
  <c r="M1099" i="4"/>
  <c r="N1099" i="4"/>
  <c r="J1099" i="4" s="1"/>
  <c r="I1099" i="4" l="1"/>
  <c r="H1099" i="4"/>
  <c r="G1099" i="4"/>
  <c r="I1048" i="4"/>
  <c r="F1090" i="4"/>
  <c r="K1090" i="4"/>
  <c r="G1090" i="4" s="1"/>
  <c r="L1090" i="4"/>
  <c r="H1090" i="4" s="1"/>
  <c r="M1090" i="4"/>
  <c r="I1090" i="4" s="1"/>
  <c r="N1090" i="4"/>
  <c r="J1090" i="4" s="1"/>
  <c r="F1091" i="4"/>
  <c r="K1091" i="4"/>
  <c r="G1091" i="4" s="1"/>
  <c r="L1091" i="4"/>
  <c r="H1091" i="4" s="1"/>
  <c r="M1091" i="4"/>
  <c r="I1091" i="4" s="1"/>
  <c r="N1091" i="4"/>
  <c r="J1091" i="4" s="1"/>
  <c r="F1092" i="4"/>
  <c r="K1092" i="4"/>
  <c r="G1092" i="4" s="1"/>
  <c r="L1092" i="4"/>
  <c r="H1092" i="4" s="1"/>
  <c r="M1092" i="4"/>
  <c r="I1092" i="4" s="1"/>
  <c r="N1092" i="4"/>
  <c r="J1092" i="4" s="1"/>
  <c r="F1093" i="4"/>
  <c r="K1093" i="4"/>
  <c r="G1093" i="4" s="1"/>
  <c r="L1093" i="4"/>
  <c r="H1093" i="4" s="1"/>
  <c r="M1093" i="4"/>
  <c r="I1093" i="4" s="1"/>
  <c r="N1093" i="4"/>
  <c r="J1093" i="4" s="1"/>
  <c r="F1094" i="4"/>
  <c r="K1094" i="4"/>
  <c r="L1094" i="4"/>
  <c r="M1094" i="4"/>
  <c r="N1094" i="4"/>
  <c r="J1094" i="4" s="1"/>
  <c r="I1094" i="4" l="1"/>
  <c r="H1094" i="4"/>
  <c r="G1094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AB958" i="4" s="1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929" i="4"/>
  <c r="K1085" i="4"/>
  <c r="G1085" i="4" s="1"/>
  <c r="L1085" i="4"/>
  <c r="H1085" i="4" s="1"/>
  <c r="M1085" i="4"/>
  <c r="I1085" i="4" s="1"/>
  <c r="N1085" i="4"/>
  <c r="J1085" i="4" s="1"/>
  <c r="K1086" i="4"/>
  <c r="G1086" i="4" s="1"/>
  <c r="L1086" i="4"/>
  <c r="H1086" i="4" s="1"/>
  <c r="M1086" i="4"/>
  <c r="I1086" i="4" s="1"/>
  <c r="N1086" i="4"/>
  <c r="J1086" i="4" s="1"/>
  <c r="K1087" i="4"/>
  <c r="L1087" i="4"/>
  <c r="M1087" i="4"/>
  <c r="N1087" i="4"/>
  <c r="K1088" i="4"/>
  <c r="G1088" i="4" s="1"/>
  <c r="L1088" i="4"/>
  <c r="H1088" i="4" s="1"/>
  <c r="M1088" i="4"/>
  <c r="I1088" i="4" s="1"/>
  <c r="N1088" i="4"/>
  <c r="J1088" i="4" s="1"/>
  <c r="K1089" i="4"/>
  <c r="L1089" i="4"/>
  <c r="M1089" i="4"/>
  <c r="N1089" i="4"/>
  <c r="J1089" i="4" s="1"/>
  <c r="H1089" i="4" l="1"/>
  <c r="G1089" i="4"/>
  <c r="I1089" i="4"/>
  <c r="AE958" i="4"/>
  <c r="AC958" i="4"/>
  <c r="AF958" i="4"/>
  <c r="G1087" i="4"/>
  <c r="AI959" i="4"/>
  <c r="AD958" i="4"/>
  <c r="AG958" i="4"/>
  <c r="I1087" i="4"/>
  <c r="AI958" i="4"/>
  <c r="J1087" i="4"/>
  <c r="AI961" i="4"/>
  <c r="H1087" i="4"/>
  <c r="AI960" i="4"/>
  <c r="N1084" i="4"/>
  <c r="J1084" i="4" s="1"/>
  <c r="K1080" i="4"/>
  <c r="G1080" i="4" s="1"/>
  <c r="L1080" i="4"/>
  <c r="H1080" i="4" s="1"/>
  <c r="M1080" i="4"/>
  <c r="I1080" i="4" s="1"/>
  <c r="N1080" i="4"/>
  <c r="J1080" i="4" s="1"/>
  <c r="K1081" i="4"/>
  <c r="G1081" i="4" s="1"/>
  <c r="L1081" i="4"/>
  <c r="H1081" i="4" s="1"/>
  <c r="M1081" i="4"/>
  <c r="I1081" i="4" s="1"/>
  <c r="N1081" i="4"/>
  <c r="J1081" i="4" s="1"/>
  <c r="K1082" i="4"/>
  <c r="G1082" i="4" s="1"/>
  <c r="L1082" i="4"/>
  <c r="H1082" i="4" s="1"/>
  <c r="M1082" i="4"/>
  <c r="I1082" i="4" s="1"/>
  <c r="N1082" i="4"/>
  <c r="J1082" i="4" s="1"/>
  <c r="K1083" i="4"/>
  <c r="G1083" i="4" s="1"/>
  <c r="L1083" i="4"/>
  <c r="H1083" i="4" s="1"/>
  <c r="M1083" i="4"/>
  <c r="I1083" i="4" s="1"/>
  <c r="N1083" i="4"/>
  <c r="J1083" i="4" s="1"/>
  <c r="K1084" i="4"/>
  <c r="L1084" i="4"/>
  <c r="M1084" i="4"/>
  <c r="H1084" i="4" l="1"/>
  <c r="G1084" i="4"/>
  <c r="I1084" i="4"/>
  <c r="K1050" i="4"/>
  <c r="G1050" i="4" s="1"/>
  <c r="L1050" i="4"/>
  <c r="H1050" i="4" s="1"/>
  <c r="K1051" i="4"/>
  <c r="G1051" i="4" s="1"/>
  <c r="L1051" i="4"/>
  <c r="H1051" i="4" s="1"/>
  <c r="M1051" i="4"/>
  <c r="K1052" i="4"/>
  <c r="G1052" i="4" s="1"/>
  <c r="L1052" i="4"/>
  <c r="H1052" i="4" s="1"/>
  <c r="M1052" i="4"/>
  <c r="I1052" i="4" s="1"/>
  <c r="K1053" i="4"/>
  <c r="G1053" i="4" s="1"/>
  <c r="L1053" i="4"/>
  <c r="H1053" i="4" s="1"/>
  <c r="M1053" i="4"/>
  <c r="I1053" i="4" s="1"/>
  <c r="K1054" i="4"/>
  <c r="G1054" i="4" s="1"/>
  <c r="L1054" i="4"/>
  <c r="H1054" i="4" s="1"/>
  <c r="M1054" i="4"/>
  <c r="I1054" i="4" s="1"/>
  <c r="K1055" i="4"/>
  <c r="G1055" i="4" s="1"/>
  <c r="L1055" i="4"/>
  <c r="H1055" i="4" s="1"/>
  <c r="M1055" i="4"/>
  <c r="I1055" i="4" s="1"/>
  <c r="K1056" i="4"/>
  <c r="G1056" i="4" s="1"/>
  <c r="L1056" i="4"/>
  <c r="H1056" i="4" s="1"/>
  <c r="M1056" i="4"/>
  <c r="I1056" i="4" s="1"/>
  <c r="K1057" i="4"/>
  <c r="G1057" i="4" s="1"/>
  <c r="L1057" i="4"/>
  <c r="H1057" i="4" s="1"/>
  <c r="M1057" i="4"/>
  <c r="I1057" i="4" s="1"/>
  <c r="K1058" i="4"/>
  <c r="G1058" i="4" s="1"/>
  <c r="L1058" i="4"/>
  <c r="H1058" i="4" s="1"/>
  <c r="M1058" i="4"/>
  <c r="I1058" i="4" s="1"/>
  <c r="K1059" i="4"/>
  <c r="G1059" i="4" s="1"/>
  <c r="L1059" i="4"/>
  <c r="H1059" i="4" s="1"/>
  <c r="M1059" i="4"/>
  <c r="I1059" i="4" s="1"/>
  <c r="K1060" i="4"/>
  <c r="G1060" i="4" s="1"/>
  <c r="L1060" i="4"/>
  <c r="H1060" i="4" s="1"/>
  <c r="M1060" i="4"/>
  <c r="I1060" i="4" s="1"/>
  <c r="K1061" i="4"/>
  <c r="G1061" i="4" s="1"/>
  <c r="L1061" i="4"/>
  <c r="H1061" i="4" s="1"/>
  <c r="M1061" i="4"/>
  <c r="I1061" i="4" s="1"/>
  <c r="K1062" i="4"/>
  <c r="G1062" i="4" s="1"/>
  <c r="L1062" i="4"/>
  <c r="H1062" i="4" s="1"/>
  <c r="M1062" i="4"/>
  <c r="I1062" i="4" s="1"/>
  <c r="K1063" i="4"/>
  <c r="G1063" i="4" s="1"/>
  <c r="L1063" i="4"/>
  <c r="H1063" i="4" s="1"/>
  <c r="M1063" i="4"/>
  <c r="I1063" i="4" s="1"/>
  <c r="K1064" i="4"/>
  <c r="G1064" i="4" s="1"/>
  <c r="L1064" i="4"/>
  <c r="H1064" i="4" s="1"/>
  <c r="M1064" i="4"/>
  <c r="I1064" i="4" s="1"/>
  <c r="K1065" i="4"/>
  <c r="G1065" i="4" s="1"/>
  <c r="L1065" i="4"/>
  <c r="H1065" i="4" s="1"/>
  <c r="M1065" i="4"/>
  <c r="I1065" i="4" s="1"/>
  <c r="K1066" i="4"/>
  <c r="L1066" i="4"/>
  <c r="M1066" i="4"/>
  <c r="K1067" i="4"/>
  <c r="G1067" i="4" s="1"/>
  <c r="L1067" i="4"/>
  <c r="H1067" i="4" s="1"/>
  <c r="M1067" i="4"/>
  <c r="I1067" i="4" s="1"/>
  <c r="K1068" i="4"/>
  <c r="G1068" i="4" s="1"/>
  <c r="L1068" i="4"/>
  <c r="H1068" i="4" s="1"/>
  <c r="M1068" i="4"/>
  <c r="I1068" i="4" s="1"/>
  <c r="K1069" i="4"/>
  <c r="G1069" i="4" s="1"/>
  <c r="L1069" i="4"/>
  <c r="H1069" i="4" s="1"/>
  <c r="M1069" i="4"/>
  <c r="I1069" i="4" s="1"/>
  <c r="K1070" i="4"/>
  <c r="G1070" i="4" s="1"/>
  <c r="L1070" i="4"/>
  <c r="H1070" i="4" s="1"/>
  <c r="M1070" i="4"/>
  <c r="I1070" i="4" s="1"/>
  <c r="K1071" i="4"/>
  <c r="G1071" i="4" s="1"/>
  <c r="L1071" i="4"/>
  <c r="H1071" i="4" s="1"/>
  <c r="M1071" i="4"/>
  <c r="I1071" i="4" s="1"/>
  <c r="K1072" i="4"/>
  <c r="G1072" i="4" s="1"/>
  <c r="L1072" i="4"/>
  <c r="H1072" i="4" s="1"/>
  <c r="M1072" i="4"/>
  <c r="I1072" i="4" s="1"/>
  <c r="K1073" i="4"/>
  <c r="G1073" i="4" s="1"/>
  <c r="L1073" i="4"/>
  <c r="H1073" i="4" s="1"/>
  <c r="M1073" i="4"/>
  <c r="I1073" i="4" s="1"/>
  <c r="K1074" i="4"/>
  <c r="G1074" i="4" s="1"/>
  <c r="L1074" i="4"/>
  <c r="H1074" i="4" s="1"/>
  <c r="M1074" i="4"/>
  <c r="I1074" i="4" s="1"/>
  <c r="K1075" i="4"/>
  <c r="G1075" i="4" s="1"/>
  <c r="L1075" i="4"/>
  <c r="H1075" i="4" s="1"/>
  <c r="M1075" i="4"/>
  <c r="I1075" i="4" s="1"/>
  <c r="K1076" i="4"/>
  <c r="G1076" i="4" s="1"/>
  <c r="L1076" i="4"/>
  <c r="H1076" i="4" s="1"/>
  <c r="M1076" i="4"/>
  <c r="I1076" i="4" s="1"/>
  <c r="K1077" i="4"/>
  <c r="G1077" i="4" s="1"/>
  <c r="L1077" i="4"/>
  <c r="H1077" i="4" s="1"/>
  <c r="M1077" i="4"/>
  <c r="I1077" i="4" s="1"/>
  <c r="K1078" i="4"/>
  <c r="G1078" i="4" s="1"/>
  <c r="L1078" i="4"/>
  <c r="H1078" i="4" s="1"/>
  <c r="M1078" i="4"/>
  <c r="I1078" i="4" s="1"/>
  <c r="K1079" i="4"/>
  <c r="L1079" i="4"/>
  <c r="M1079" i="4"/>
  <c r="L1049" i="4"/>
  <c r="H1049" i="4" s="1"/>
  <c r="K1049" i="4"/>
  <c r="G1049" i="4" s="1"/>
  <c r="N1048" i="4"/>
  <c r="E1077" i="4"/>
  <c r="N1077" i="4" s="1"/>
  <c r="J1077" i="4" s="1"/>
  <c r="E1078" i="4"/>
  <c r="N1078" i="4" s="1"/>
  <c r="J1078" i="4" s="1"/>
  <c r="E1079" i="4"/>
  <c r="N1079" i="4" s="1"/>
  <c r="J1079" i="4" s="1"/>
  <c r="E1050" i="4"/>
  <c r="E1051" i="4"/>
  <c r="E1052" i="4"/>
  <c r="N1052" i="4" s="1"/>
  <c r="J1052" i="4" s="1"/>
  <c r="E1053" i="4"/>
  <c r="N1053" i="4" s="1"/>
  <c r="J1053" i="4" s="1"/>
  <c r="E1054" i="4"/>
  <c r="N1054" i="4" s="1"/>
  <c r="J1054" i="4" s="1"/>
  <c r="E1055" i="4"/>
  <c r="N1055" i="4" s="1"/>
  <c r="J1055" i="4" s="1"/>
  <c r="E1056" i="4"/>
  <c r="N1056" i="4" s="1"/>
  <c r="J1056" i="4" s="1"/>
  <c r="E1057" i="4"/>
  <c r="N1057" i="4" s="1"/>
  <c r="J1057" i="4" s="1"/>
  <c r="E1058" i="4"/>
  <c r="N1058" i="4" s="1"/>
  <c r="J1058" i="4" s="1"/>
  <c r="E1059" i="4"/>
  <c r="N1059" i="4" s="1"/>
  <c r="J1059" i="4" s="1"/>
  <c r="E1060" i="4"/>
  <c r="N1060" i="4" s="1"/>
  <c r="J1060" i="4" s="1"/>
  <c r="E1061" i="4"/>
  <c r="E1062" i="4"/>
  <c r="N1062" i="4" s="1"/>
  <c r="J1062" i="4" s="1"/>
  <c r="E1063" i="4"/>
  <c r="N1063" i="4" s="1"/>
  <c r="J1063" i="4" s="1"/>
  <c r="E1064" i="4"/>
  <c r="N1064" i="4" s="1"/>
  <c r="J1064" i="4" s="1"/>
  <c r="E1065" i="4"/>
  <c r="N1065" i="4" s="1"/>
  <c r="J1065" i="4" s="1"/>
  <c r="E1066" i="4"/>
  <c r="N1066" i="4" s="1"/>
  <c r="E1067" i="4"/>
  <c r="N1067" i="4" s="1"/>
  <c r="J1067" i="4" s="1"/>
  <c r="E1068" i="4"/>
  <c r="N1068" i="4" s="1"/>
  <c r="J1068" i="4" s="1"/>
  <c r="E1069" i="4"/>
  <c r="N1069" i="4" s="1"/>
  <c r="J1069" i="4" s="1"/>
  <c r="E1070" i="4"/>
  <c r="N1070" i="4" s="1"/>
  <c r="J1070" i="4" s="1"/>
  <c r="E1071" i="4"/>
  <c r="N1071" i="4" s="1"/>
  <c r="J1071" i="4" s="1"/>
  <c r="E1072" i="4"/>
  <c r="N1072" i="4" s="1"/>
  <c r="J1072" i="4" s="1"/>
  <c r="E1073" i="4"/>
  <c r="N1073" i="4" s="1"/>
  <c r="J1073" i="4" s="1"/>
  <c r="E1074" i="4"/>
  <c r="N1074" i="4" s="1"/>
  <c r="J1074" i="4" s="1"/>
  <c r="E1075" i="4"/>
  <c r="N1075" i="4" s="1"/>
  <c r="J1075" i="4" s="1"/>
  <c r="E1076" i="4"/>
  <c r="N1076" i="4" s="1"/>
  <c r="J1076" i="4" s="1"/>
  <c r="E1049" i="4"/>
  <c r="N1049" i="4" s="1"/>
  <c r="J1049" i="4" s="1"/>
  <c r="AA947" i="4" a="1"/>
  <c r="AA947" i="4" l="1"/>
  <c r="I1079" i="4"/>
  <c r="G1079" i="4"/>
  <c r="H1079" i="4"/>
  <c r="J1048" i="4"/>
  <c r="I1051" i="4"/>
  <c r="AA943" i="4" a="1"/>
  <c r="AA943" i="4" s="1"/>
  <c r="G1066" i="4"/>
  <c r="AG959" i="4"/>
  <c r="AH959" i="4"/>
  <c r="J1066" i="4"/>
  <c r="AG961" i="4"/>
  <c r="AH961" i="4"/>
  <c r="I1066" i="4"/>
  <c r="AH958" i="4"/>
  <c r="H1066" i="4"/>
  <c r="AG960" i="4"/>
  <c r="AH960" i="4"/>
  <c r="N1061" i="4"/>
  <c r="J1061" i="4" s="1"/>
  <c r="F928" i="4"/>
  <c r="N1050" i="4"/>
  <c r="J1050" i="4" s="1"/>
  <c r="N1051" i="4"/>
  <c r="J1051" i="4" s="1"/>
  <c r="L1048" i="4"/>
  <c r="K1048" i="4"/>
  <c r="AB947" i="4" a="1"/>
  <c r="AC947" i="4" a="1"/>
  <c r="AD947" i="4" a="1"/>
  <c r="AD947" i="4" l="1"/>
  <c r="AC947" i="4"/>
  <c r="AB947" i="4"/>
  <c r="AC943" i="4" a="1"/>
  <c r="AC943" i="4" s="1"/>
  <c r="AC944" i="4" s="1"/>
  <c r="AB943" i="4" a="1"/>
  <c r="AB943" i="4" s="1"/>
  <c r="AB944" i="4" s="1"/>
  <c r="AA958" i="4"/>
  <c r="G1048" i="4"/>
  <c r="H1048" i="4"/>
  <c r="AD943" i="4" a="1"/>
  <c r="AD943" i="4" s="1"/>
  <c r="AD944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tc={6B698890-DF0F-46A2-8052-B3E56B94F7A2}</author>
    <author>tc={897DF043-8C80-4A69-B434-5A867B5DA347}</author>
    <author>tc={53DABC86-ABFC-4B1A-AE59-79A91F374DB6}</author>
  </authors>
  <commentList>
    <comment ref="A1173" authorId="0" shapeId="0" xr:uid="{6B698890-DF0F-46A2-8052-B3E56B94F7A2}">
      <text>
        <t>[线程批注]
你的Excel版本可读取此线程批注; 但如果在更新版本的Excel中打开文件，则对批注所作的任何改动都将被删除。了解详细信息: https://go.microsoft.com/fwlink/?linkid=870924
注释:
    启航规模扩大到1mn</t>
      </text>
    </comment>
    <comment ref="A1213" authorId="1" shapeId="0" xr:uid="{897DF043-8C80-4A69-B434-5A867B5DA347}">
      <text>
        <t>[线程批注]
你的Excel版本可读取此线程批注; 但如果在更新版本的Excel中打开文件，则对批注所作的任何改动都将被删除。了解详细信息: https://go.microsoft.com/fwlink/?linkid=870924
注释:
    启航扩大到20mn</t>
      </text>
    </comment>
    <comment ref="A1228" authorId="2" shapeId="0" xr:uid="{53DABC86-ABFC-4B1A-AE59-79A91F374DB6}">
      <text>
        <t>[线程批注]
你的Excel版本可读取此线程批注; 但如果在更新版本的Excel中打开文件，则对批注所作的任何改动都将被删除。了解详细信息: https://go.microsoft.com/fwlink/?linkid=870924
注释:
    换成300ETF净值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tc={2B5AB6CA-77EE-49F4-A27B-11CC1CDF8DC6}</author>
  </authors>
  <commentList>
    <comment ref="A1046" authorId="0" shapeId="0" xr:uid="{2B5AB6CA-77EE-49F4-A27B-11CC1CDF8DC6}">
      <text>
        <t>[线程批注]
你的Excel版本可读取此线程批注; 但如果在更新版本的Excel中打开文件，则对批注所作的任何改动都将被删除。了解详细信息: https://go.microsoft.com/fwlink/?linkid=870924
注释:
    实盘操作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tc={29B12584-7A53-4966-A7C2-57FAA7AA84E9}</author>
  </authors>
  <commentList>
    <comment ref="A335" authorId="0" shapeId="0" xr:uid="{29B12584-7A53-4966-A7C2-57FAA7AA84E9}">
      <text>
        <t>[线程批注]
你的Excel版本可读取此线程批注; 但如果在更新版本的Excel中打开文件，则对批注所作的任何改动都将被删除。了解详细信息: https://go.microsoft.com/fwlink/?linkid=870924
注释:
    5.30没有净值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<sst xmlns="http://schemas.openxmlformats.org/spreadsheetml/2006/main" count="862" uniqueCount="673">
  <si>
    <t>Date</t>
  </si>
  <si>
    <t>实盘</t>
    <phoneticPr fontId="2" type="noConversion"/>
  </si>
  <si>
    <t>Vix</t>
  </si>
  <si>
    <t>模型表现</t>
    <phoneticPr fontId="2" type="noConversion"/>
  </si>
  <si>
    <t>收盘</t>
    <phoneticPr fontId="2" type="noConversion"/>
  </si>
  <si>
    <t>跟踪误差</t>
    <phoneticPr fontId="2" type="noConversion"/>
  </si>
  <si>
    <t>--</t>
    <phoneticPr fontId="2" type="noConversion"/>
  </si>
  <si>
    <t>1月</t>
    <phoneticPr fontId="2" type="noConversion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</si>
  <si>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</si>
  <si>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</si>
  <si>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</si>
  <si>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</si>
  <si>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</si>
  <si>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</si>
  <si>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</si>
  <si>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</si>
  <si>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</si>
  <si>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</si>
  <si>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</si>
  <si>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--</t>
    <phoneticPr fontId="2" type="noConversion"/>
  </si>
  <si>
    <t>2020年策略单月收益率</t>
    <phoneticPr fontId="2" type="noConversion"/>
  </si>
  <si>
    <t>波动率指数（右轴）</t>
    <phoneticPr fontId="2" type="noConversion"/>
  </si>
  <si>
    <t>日期</t>
    <phoneticPr fontId="2" type="noConversion"/>
  </si>
  <si>
    <t>单位净值</t>
    <phoneticPr fontId="2" type="noConversion"/>
  </si>
  <si>
    <t>2020-07-01</t>
  </si>
  <si>
    <t>1.0028</t>
  </si>
  <si>
    <t>2020-07-02</t>
  </si>
  <si>
    <t>2020-07-03</t>
  </si>
  <si>
    <t>2020-07-04</t>
  </si>
  <si>
    <t>2020-07-05</t>
  </si>
  <si>
    <t>2020-07-06</t>
  </si>
  <si>
    <t>2020-07-07</t>
  </si>
  <si>
    <t>2020-07-08</t>
  </si>
  <si>
    <t>0.9975</t>
  </si>
  <si>
    <t>2020-07-09</t>
  </si>
  <si>
    <t>1.0035</t>
  </si>
  <si>
    <t>2020-07-10</t>
  </si>
  <si>
    <t>1.0050</t>
  </si>
  <si>
    <t>2020-07-11</t>
  </si>
  <si>
    <t>2020-07-12</t>
  </si>
  <si>
    <t>2020-07-13</t>
  </si>
  <si>
    <t>1.0270</t>
  </si>
  <si>
    <t>2020-07-14</t>
  </si>
  <si>
    <t>1.0292</t>
  </si>
  <si>
    <t>2020-07-15</t>
  </si>
  <si>
    <t>1.0269</t>
  </si>
  <si>
    <t>2020-07-16</t>
  </si>
  <si>
    <t>0.9795</t>
  </si>
  <si>
    <t>2020-07-17</t>
  </si>
  <si>
    <t>1.0157</t>
  </si>
  <si>
    <t>2020-07-18</t>
  </si>
  <si>
    <t>2020-07-19</t>
  </si>
  <si>
    <t>2020-07-20</t>
  </si>
  <si>
    <t>1.0103</t>
  </si>
  <si>
    <t>2020-07-21</t>
  </si>
  <si>
    <t>1.0211</t>
  </si>
  <si>
    <t>2020-07-22</t>
  </si>
  <si>
    <t>1.0236</t>
  </si>
  <si>
    <t>2020-07-23</t>
  </si>
  <si>
    <t>1.0214</t>
  </si>
  <si>
    <t>2020-07-24</t>
  </si>
  <si>
    <t>0.9809</t>
  </si>
  <si>
    <t>2020-07-25</t>
  </si>
  <si>
    <t>2020-07-26</t>
  </si>
  <si>
    <t>2020-07-27</t>
  </si>
  <si>
    <t>1.0033</t>
  </si>
  <si>
    <t>2020-07-28</t>
  </si>
  <si>
    <t>1.0094</t>
  </si>
  <si>
    <t>2020-07-29</t>
  </si>
  <si>
    <t>2020-07-30</t>
  </si>
  <si>
    <t>1.0023</t>
  </si>
  <si>
    <t>2020-07-31</t>
  </si>
  <si>
    <t>1.0003</t>
  </si>
  <si>
    <t>2020-08-01</t>
  </si>
  <si>
    <t>2020-08-02</t>
  </si>
  <si>
    <t>2020-08-03</t>
  </si>
  <si>
    <t>1.0056</t>
  </si>
  <si>
    <t>2020-08-04</t>
  </si>
  <si>
    <t>1.0064</t>
  </si>
  <si>
    <t>2020-08-05</t>
  </si>
  <si>
    <t>1.0059</t>
  </si>
  <si>
    <t>2020-08-06</t>
  </si>
  <si>
    <t>1.0144</t>
  </si>
  <si>
    <t>2020-08-07</t>
  </si>
  <si>
    <t>1.0341</t>
  </si>
  <si>
    <t>2020-08-08</t>
  </si>
  <si>
    <t>2020-08-09</t>
  </si>
  <si>
    <t>2020-08-10</t>
  </si>
  <si>
    <t>1.0465</t>
  </si>
  <si>
    <t>2020-08-11</t>
  </si>
  <si>
    <t>1.0453</t>
  </si>
  <si>
    <t>2020-08-12</t>
  </si>
  <si>
    <t>1.0589</t>
  </si>
  <si>
    <t>2020-08-13</t>
  </si>
  <si>
    <t>1.0645</t>
  </si>
  <si>
    <t>2020-08-14</t>
  </si>
  <si>
    <t>1.0669</t>
  </si>
  <si>
    <t>2020-08-15</t>
  </si>
  <si>
    <t>2020-08-16</t>
  </si>
  <si>
    <t>2020-08-17</t>
  </si>
  <si>
    <t>1.0430</t>
  </si>
  <si>
    <t>2020-08-18</t>
  </si>
  <si>
    <t>1.0525</t>
  </si>
  <si>
    <t>2020-08-19</t>
  </si>
  <si>
    <t>1.0611</t>
  </si>
  <si>
    <t>2020-08-20</t>
  </si>
  <si>
    <t>1.0682</t>
  </si>
  <si>
    <t>2020-08-21</t>
  </si>
  <si>
    <t>1.0693</t>
  </si>
  <si>
    <t>2020-08-22</t>
  </si>
  <si>
    <t>2020-08-23</t>
  </si>
  <si>
    <t>2020-08-24</t>
  </si>
  <si>
    <t>1.0832</t>
  </si>
  <si>
    <t>2020-08-25</t>
  </si>
  <si>
    <t>1.0893</t>
  </si>
  <si>
    <t>2020-08-26</t>
  </si>
  <si>
    <t>1.0878</t>
  </si>
  <si>
    <t>2020-08-27</t>
  </si>
  <si>
    <t>1.0984</t>
  </si>
  <si>
    <t>2020-08-28</t>
  </si>
  <si>
    <t>1.0806</t>
  </si>
  <si>
    <t>2020-08-29</t>
  </si>
  <si>
    <t>2020-08-30</t>
  </si>
  <si>
    <t>2020-08-31</t>
  </si>
  <si>
    <t>1.0842</t>
  </si>
  <si>
    <t>2020-09-01</t>
  </si>
  <si>
    <t>1.0917</t>
  </si>
  <si>
    <t>2020-09-02</t>
  </si>
  <si>
    <t>1.0902</t>
  </si>
  <si>
    <t>2020-09-03</t>
  </si>
  <si>
    <t>1.0962</t>
  </si>
  <si>
    <t>2020-09-04</t>
  </si>
  <si>
    <t>1.0997</t>
  </si>
  <si>
    <t>2020-09-05</t>
  </si>
  <si>
    <t>2020-09-06</t>
  </si>
  <si>
    <t>2020-09-07</t>
  </si>
  <si>
    <t>1.1054</t>
  </si>
  <si>
    <t>2020-09-08</t>
  </si>
  <si>
    <t>1.1077</t>
  </si>
  <si>
    <t>2020-09-09</t>
  </si>
  <si>
    <t>1.0996</t>
  </si>
  <si>
    <t>2020-09-10</t>
  </si>
  <si>
    <t>1.1107</t>
  </si>
  <si>
    <t>2020-09-11</t>
  </si>
  <si>
    <t>1.1192</t>
  </si>
  <si>
    <t>2020-09-12</t>
  </si>
  <si>
    <t>2020-09-13</t>
  </si>
  <si>
    <t>2020-09-14</t>
  </si>
  <si>
    <t>1.1270</t>
  </si>
  <si>
    <t>2020-09-15</t>
  </si>
  <si>
    <t>1.1297</t>
  </si>
  <si>
    <t>2020-09-16</t>
  </si>
  <si>
    <t>1.1311</t>
  </si>
  <si>
    <t>2020-09-17</t>
  </si>
  <si>
    <t>1.1300</t>
  </si>
  <si>
    <t>2020-09-18</t>
  </si>
  <si>
    <t>1.1235</t>
  </si>
  <si>
    <t>2020-09-19</t>
  </si>
  <si>
    <t>2020-09-20</t>
  </si>
  <si>
    <t>2020-09-21</t>
  </si>
  <si>
    <t>1.1205</t>
  </si>
  <si>
    <t>2020-09-22</t>
  </si>
  <si>
    <t>1.1152</t>
  </si>
  <si>
    <t>2020-09-23</t>
  </si>
  <si>
    <t>1.1221</t>
  </si>
  <si>
    <t>2020-09-24</t>
  </si>
  <si>
    <t>1.1161</t>
  </si>
  <si>
    <t>2020-09-25</t>
  </si>
  <si>
    <t>1.1171</t>
  </si>
  <si>
    <t>2020-09-26</t>
  </si>
  <si>
    <t>2020-09-27</t>
  </si>
  <si>
    <t>2020-09-28</t>
  </si>
  <si>
    <t>1.1179</t>
  </si>
  <si>
    <t>2020-09-29</t>
  </si>
  <si>
    <t>1.1101</t>
  </si>
  <si>
    <t>2020-09-30</t>
  </si>
  <si>
    <t>1.1075</t>
  </si>
  <si>
    <t>2020-10-01</t>
  </si>
  <si>
    <t>2020-10-02</t>
  </si>
  <si>
    <t>2020-10-03</t>
  </si>
  <si>
    <t>2020-10-04</t>
  </si>
  <si>
    <t>2020-10-05</t>
  </si>
  <si>
    <t>2020-10-06</t>
  </si>
  <si>
    <t>2020-10-07</t>
  </si>
  <si>
    <t>2020-10-08</t>
  </si>
  <si>
    <t>2020-10-09</t>
  </si>
  <si>
    <t>1.1373</t>
  </si>
  <si>
    <t>2020-10-10</t>
  </si>
  <si>
    <t>2020-10-11</t>
  </si>
  <si>
    <t>2020-10-12</t>
  </si>
  <si>
    <t>1.1269</t>
  </si>
  <si>
    <t>2020-10-13</t>
  </si>
  <si>
    <t>1.1312</t>
  </si>
  <si>
    <t>2020-10-14</t>
  </si>
  <si>
    <t>1.1348</t>
  </si>
  <si>
    <t>2020-10-15</t>
  </si>
  <si>
    <t>1.1379</t>
  </si>
  <si>
    <t>2020-10-16</t>
  </si>
  <si>
    <t>1.1431</t>
  </si>
  <si>
    <t>2020-10-17</t>
  </si>
  <si>
    <t>2020-10-18</t>
  </si>
  <si>
    <t>2020-10-19</t>
  </si>
  <si>
    <t>1.1502</t>
  </si>
  <si>
    <t>2020-10-20</t>
  </si>
  <si>
    <t>1.1546</t>
  </si>
  <si>
    <t>2020-10-21</t>
  </si>
  <si>
    <t>1.1548</t>
  </si>
  <si>
    <t>2020-10-22</t>
  </si>
  <si>
    <t>1.1544</t>
  </si>
  <si>
    <t>2020-10-23</t>
  </si>
  <si>
    <t>2020-10-24</t>
  </si>
  <si>
    <t>2020-10-25</t>
  </si>
  <si>
    <t>2020-10-26</t>
  </si>
  <si>
    <t>1.1563</t>
  </si>
  <si>
    <t>2020-10-27</t>
  </si>
  <si>
    <t>1.1570</t>
  </si>
  <si>
    <t>2020-10-28</t>
  </si>
  <si>
    <t>1.1583</t>
  </si>
  <si>
    <t>2020-10-29</t>
  </si>
  <si>
    <t>1.1589</t>
  </si>
  <si>
    <t>2020-10-30</t>
  </si>
  <si>
    <t>1.1539</t>
  </si>
  <si>
    <t>2020-10-31</t>
  </si>
  <si>
    <t>2020-11-01</t>
  </si>
  <si>
    <t>2020-11-02</t>
  </si>
  <si>
    <t>1.1541</t>
  </si>
  <si>
    <t>2020-11-03</t>
  </si>
  <si>
    <t>1.1526</t>
  </si>
  <si>
    <t>2020-11-04</t>
  </si>
  <si>
    <t>2020-11-05</t>
  </si>
  <si>
    <t>1.1622</t>
  </si>
  <si>
    <t>2020-11-06</t>
  </si>
  <si>
    <t>1.1647</t>
  </si>
  <si>
    <t>2020-11-07</t>
  </si>
  <si>
    <t>2020-11-08</t>
  </si>
  <si>
    <t>2020-11-09</t>
  </si>
  <si>
    <t>1.1651</t>
  </si>
  <si>
    <t>2020-11-10</t>
  </si>
  <si>
    <t>1.1662</t>
  </si>
  <si>
    <t>2020-11-11</t>
  </si>
  <si>
    <t>1.1697</t>
  </si>
  <si>
    <t>2020-11-12</t>
  </si>
  <si>
    <t>1.1734</t>
  </si>
  <si>
    <t>2020-11-13</t>
  </si>
  <si>
    <t>1.1650</t>
  </si>
  <si>
    <t>2020-11-14</t>
  </si>
  <si>
    <t>2020-11-15</t>
  </si>
  <si>
    <t>2020-11-16</t>
  </si>
  <si>
    <t>1.1683</t>
  </si>
  <si>
    <t>2020-11-17</t>
  </si>
  <si>
    <t>1.1712</t>
  </si>
  <si>
    <t>2020-11-18</t>
  </si>
  <si>
    <t>1.1707</t>
  </si>
  <si>
    <t>2020-11-19</t>
  </si>
  <si>
    <t>1.1704</t>
  </si>
  <si>
    <t>2020-11-20</t>
  </si>
  <si>
    <t>1.1747</t>
  </si>
  <si>
    <t>2020-11-21</t>
  </si>
  <si>
    <t>2020-11-22</t>
  </si>
  <si>
    <t>2020-11-23</t>
  </si>
  <si>
    <t>1.1730</t>
  </si>
  <si>
    <t>2020-11-24</t>
  </si>
  <si>
    <t>1.1741</t>
  </si>
  <si>
    <t>2020-11-25</t>
  </si>
  <si>
    <t>1.1757</t>
  </si>
  <si>
    <t>2020-11-26</t>
  </si>
  <si>
    <t>1.1815</t>
  </si>
  <si>
    <t>2020-11-27</t>
  </si>
  <si>
    <t>1.1795</t>
  </si>
  <si>
    <t>2020-11-28</t>
  </si>
  <si>
    <t>2020-11-29</t>
  </si>
  <si>
    <t>2020-11-30</t>
  </si>
  <si>
    <t>1.1820</t>
  </si>
  <si>
    <t>2020-12-01</t>
  </si>
  <si>
    <t>1.1594</t>
  </si>
  <si>
    <t>2020-12-02</t>
  </si>
  <si>
    <t>1.1606</t>
  </si>
  <si>
    <t>2020-12-03</t>
  </si>
  <si>
    <t>1.1623</t>
  </si>
  <si>
    <t>2020-12-04</t>
  </si>
  <si>
    <t>1.1681</t>
  </si>
  <si>
    <t>2020-12-05</t>
  </si>
  <si>
    <t>2020-12-06</t>
  </si>
  <si>
    <t>2020-12-07</t>
  </si>
  <si>
    <t>1.1742</t>
  </si>
  <si>
    <t>2020-12-08</t>
  </si>
  <si>
    <t>1.1780</t>
  </si>
  <si>
    <t>2020-12-09</t>
  </si>
  <si>
    <t>1.1846</t>
  </si>
  <si>
    <t>2020-12-10</t>
  </si>
  <si>
    <t>1.1898</t>
  </si>
  <si>
    <t>2020-12-11</t>
  </si>
  <si>
    <t>1.1889</t>
  </si>
  <si>
    <t>2020-12-12</t>
  </si>
  <si>
    <t>2020-12-13</t>
  </si>
  <si>
    <t>2020-12-14</t>
  </si>
  <si>
    <t>1.1945</t>
  </si>
  <si>
    <t>2020-12-15</t>
  </si>
  <si>
    <t>1.1943</t>
  </si>
  <si>
    <t>2020-12-16</t>
  </si>
  <si>
    <t>1.1955</t>
  </si>
  <si>
    <t>2020-12-17</t>
  </si>
  <si>
    <t>1.1935</t>
  </si>
  <si>
    <t>2020-12-18</t>
  </si>
  <si>
    <t>1.1968</t>
  </si>
  <si>
    <t>2020-12-19</t>
  </si>
  <si>
    <t>2020-12-20</t>
  </si>
  <si>
    <t>2020-12-21</t>
  </si>
  <si>
    <t>1.1938</t>
  </si>
  <si>
    <t>2020-12-22</t>
  </si>
  <si>
    <t>1.1933</t>
  </si>
  <si>
    <t>2020-12-23</t>
  </si>
  <si>
    <t>1.1949</t>
  </si>
  <si>
    <t>2020-12-24</t>
  </si>
  <si>
    <t>1.1973</t>
  </si>
  <si>
    <t>2020-12-25</t>
  </si>
  <si>
    <t>1.1977</t>
  </si>
  <si>
    <t>2020-12-26</t>
  </si>
  <si>
    <t>2020-12-27</t>
  </si>
  <si>
    <t>2020-12-28</t>
  </si>
  <si>
    <t>1.1994</t>
  </si>
  <si>
    <t>2020-12-29</t>
  </si>
  <si>
    <t>1.1987</t>
  </si>
  <si>
    <t>2020-12-30</t>
  </si>
  <si>
    <t>1.1971</t>
  </si>
  <si>
    <t>2020-12-31</t>
  </si>
  <si>
    <t>1.1950</t>
  </si>
  <si>
    <t>2021-01-01</t>
  </si>
  <si>
    <t>2021-01-02</t>
  </si>
  <si>
    <t>2021-01-03</t>
  </si>
  <si>
    <t>2021-01-04</t>
  </si>
  <si>
    <t>1.1967</t>
  </si>
  <si>
    <t>2021-01-05</t>
  </si>
  <si>
    <t>1.1969</t>
  </si>
  <si>
    <t>2021-01-06</t>
  </si>
  <si>
    <t>1.1929</t>
  </si>
  <si>
    <t>2021-01-07</t>
  </si>
  <si>
    <t>1.1617</t>
  </si>
  <si>
    <t>2021-01-08</t>
  </si>
  <si>
    <t>1.1632</t>
  </si>
  <si>
    <t>2021-01-09</t>
  </si>
  <si>
    <t>2021-01-10</t>
  </si>
  <si>
    <t>2021-01-11</t>
  </si>
  <si>
    <t>1.1733</t>
  </si>
  <si>
    <t>2021-01-12</t>
  </si>
  <si>
    <t>1.1286</t>
  </si>
  <si>
    <t>2021-01-13</t>
  </si>
  <si>
    <t>1.1237</t>
  </si>
  <si>
    <t>2021-01-14</t>
  </si>
  <si>
    <t>1.1175</t>
  </si>
  <si>
    <t>2021-01-15</t>
  </si>
  <si>
    <t>2021-01-16</t>
  </si>
  <si>
    <t>2021-01-17</t>
  </si>
  <si>
    <t>2021-01-18</t>
  </si>
  <si>
    <t>1.1369</t>
  </si>
  <si>
    <t>2021-01-19</t>
  </si>
  <si>
    <t>1.1339</t>
  </si>
  <si>
    <t>2021-01-20</t>
  </si>
  <si>
    <t>1.1345</t>
  </si>
  <si>
    <t>2021-01-21</t>
  </si>
  <si>
    <t>1.1319</t>
  </si>
  <si>
    <t>2021-01-22</t>
  </si>
  <si>
    <t>1.1414</t>
  </si>
  <si>
    <t>2021-01-23</t>
  </si>
  <si>
    <t>1.1413</t>
  </si>
  <si>
    <t>2021-01-24</t>
  </si>
  <si>
    <t>2021-01-25</t>
  </si>
  <si>
    <t>1.1436</t>
  </si>
  <si>
    <t>2021-01-26</t>
  </si>
  <si>
    <t>1.1422</t>
  </si>
  <si>
    <t>2021-01-27</t>
  </si>
  <si>
    <t>1.1430</t>
  </si>
  <si>
    <t>2021-01-28</t>
  </si>
  <si>
    <t>1.1354</t>
  </si>
  <si>
    <t>2021-01-29</t>
  </si>
  <si>
    <t>1.1260</t>
  </si>
  <si>
    <t>2021-01-30</t>
  </si>
  <si>
    <t>2021-01-31</t>
  </si>
  <si>
    <t>2021-02-01</t>
  </si>
  <si>
    <t>2021-02-02</t>
  </si>
  <si>
    <t>2021-02-03</t>
  </si>
  <si>
    <t>1.1475</t>
  </si>
  <si>
    <t>2021-02-04</t>
  </si>
  <si>
    <t>1.1490</t>
  </si>
  <si>
    <t>2021-02-05</t>
  </si>
  <si>
    <t>2021-02-06</t>
  </si>
  <si>
    <t>1.1543</t>
  </si>
  <si>
    <t>2021-02-07</t>
  </si>
  <si>
    <t>2021-02-08</t>
  </si>
  <si>
    <t>1.1607</t>
  </si>
  <si>
    <t>2021-02-09</t>
  </si>
  <si>
    <t>1.1581</t>
  </si>
  <si>
    <t>2021-02-10</t>
  </si>
  <si>
    <t>2021-02-11</t>
  </si>
  <si>
    <t>2021-02-12</t>
  </si>
  <si>
    <t>1.1489</t>
  </si>
  <si>
    <t>2021-02-13</t>
  </si>
  <si>
    <t>2021-02-14</t>
  </si>
  <si>
    <t>2021-02-15</t>
  </si>
  <si>
    <t>2021-02-16</t>
  </si>
  <si>
    <t>2021-02-17</t>
  </si>
  <si>
    <t>2021-02-18</t>
  </si>
  <si>
    <t>2021-02-19</t>
  </si>
  <si>
    <t>1.1758</t>
  </si>
  <si>
    <t>2021-02-20</t>
  </si>
  <si>
    <t>2021-02-21</t>
  </si>
  <si>
    <t>2021-02-22</t>
  </si>
  <si>
    <t>2021-02-23</t>
  </si>
  <si>
    <t>1.1716</t>
  </si>
  <si>
    <t>2021-02-24</t>
  </si>
  <si>
    <t>1.1659</t>
  </si>
  <si>
    <t>2021-02-25</t>
  </si>
  <si>
    <t>1.1754</t>
  </si>
  <si>
    <t>2021-02-26</t>
  </si>
  <si>
    <t>1.1591</t>
  </si>
  <si>
    <t>2021-02-27</t>
  </si>
  <si>
    <t>2021-02-28</t>
  </si>
  <si>
    <t>2021-03-01</t>
  </si>
  <si>
    <t>1.1880</t>
  </si>
  <si>
    <t>2021-03-02</t>
  </si>
  <si>
    <t>1.1897</t>
  </si>
  <si>
    <t>2021-03-03</t>
  </si>
  <si>
    <t>1.1916</t>
  </si>
  <si>
    <t>产品</t>
  </si>
  <si>
    <t>中量投地奥优选</t>
  </si>
  <si>
    <t>总计</t>
  </si>
  <si>
    <t>2021-03-04</t>
  </si>
  <si>
    <t>1.1836</t>
  </si>
  <si>
    <t>2021-03-05</t>
  </si>
  <si>
    <t>1.1841</t>
  </si>
  <si>
    <t>2021-03-06</t>
  </si>
  <si>
    <t>2021-03-07</t>
  </si>
  <si>
    <t>2021-03-08</t>
  </si>
  <si>
    <t>1.1415</t>
  </si>
  <si>
    <t>2021-03-09</t>
  </si>
  <si>
    <t>1.1465</t>
  </si>
  <si>
    <t>2021-03-10</t>
  </si>
  <si>
    <t>1.1516</t>
  </si>
  <si>
    <t>2021-03-11</t>
  </si>
  <si>
    <t>1.1782</t>
  </si>
  <si>
    <t>2021-03-12</t>
  </si>
  <si>
    <t>2021-03-13</t>
  </si>
  <si>
    <t>2021-03-14</t>
  </si>
  <si>
    <t>2021-03-15</t>
  </si>
  <si>
    <t>2021-03-16</t>
  </si>
  <si>
    <t>2021-03-17</t>
  </si>
  <si>
    <t>1.1812</t>
  </si>
  <si>
    <t>2021-03-18</t>
  </si>
  <si>
    <t>1.1818</t>
  </si>
  <si>
    <t>2021-03-19</t>
  </si>
  <si>
    <t>1.1783</t>
  </si>
  <si>
    <t>2021-03-20</t>
  </si>
  <si>
    <t>2021-03-21</t>
  </si>
  <si>
    <t>2021-03-22</t>
  </si>
  <si>
    <t>1.1781</t>
  </si>
  <si>
    <t>2021-03-23</t>
  </si>
  <si>
    <t>1.1831</t>
  </si>
  <si>
    <t>2021-03-24</t>
  </si>
  <si>
    <t>2021-03-25</t>
  </si>
  <si>
    <t>1.1799</t>
  </si>
  <si>
    <t>2021-03-26</t>
  </si>
  <si>
    <t>1.1767</t>
  </si>
  <si>
    <t>2021-03-27</t>
  </si>
  <si>
    <t>2021-03-28</t>
  </si>
  <si>
    <t>2021-03-29</t>
  </si>
  <si>
    <t>1.1723</t>
  </si>
  <si>
    <t>2021-03-30</t>
  </si>
  <si>
    <t>1.1725</t>
  </si>
  <si>
    <t>2021-03-31</t>
  </si>
  <si>
    <t>1.1711</t>
  </si>
  <si>
    <r>
      <rPr>
        <b/>
        <sz val="11"/>
        <color rgb="FFFFFFFF"/>
        <rFont val="微软雅黑"/>
        <family val="2"/>
        <charset val="134"/>
      </rPr>
      <t>平均资金占用</t>
    </r>
    <r>
      <rPr>
        <b/>
        <sz val="11"/>
        <color rgb="FFFFFFFF"/>
        <rFont val="宋体"/>
        <family val="2"/>
        <charset val="134"/>
      </rPr>
      <t>（万元）</t>
    </r>
    <phoneticPr fontId="2" type="noConversion"/>
  </si>
  <si>
    <t>Max Drawdown</t>
    <phoneticPr fontId="2" type="noConversion"/>
  </si>
  <si>
    <t>High</t>
    <phoneticPr fontId="2" type="noConversion"/>
  </si>
  <si>
    <t>current</t>
    <phoneticPr fontId="2" type="noConversion"/>
  </si>
  <si>
    <t>Current Drawdown</t>
    <phoneticPr fontId="2" type="noConversion"/>
  </si>
  <si>
    <t>Vix(实盘操作)</t>
    <phoneticPr fontId="2" type="noConversion"/>
  </si>
  <si>
    <t>回撤（当前）</t>
    <phoneticPr fontId="2" type="noConversion"/>
  </si>
  <si>
    <t>最大回撤（今年以来）</t>
    <phoneticPr fontId="2" type="noConversion"/>
  </si>
  <si>
    <t>最大回撤（实盘操作以来）</t>
    <phoneticPr fontId="2" type="noConversion"/>
  </si>
  <si>
    <t>收盘（模型）</t>
    <phoneticPr fontId="2" type="noConversion"/>
  </si>
  <si>
    <t>2:30（模型）</t>
    <phoneticPr fontId="2" type="noConversion"/>
  </si>
  <si>
    <t>2:50（模型）</t>
    <phoneticPr fontId="2" type="noConversion"/>
  </si>
  <si>
    <t>实盘（2020.7.6以来）</t>
    <phoneticPr fontId="2" type="noConversion"/>
  </si>
  <si>
    <t>收益（今年以来）</t>
    <phoneticPr fontId="2" type="noConversion"/>
  </si>
  <si>
    <t>2021-04-01</t>
  </si>
  <si>
    <t>1.1667</t>
  </si>
  <si>
    <t>2021-04-02</t>
  </si>
  <si>
    <t>2021-04-03</t>
  </si>
  <si>
    <t>2021-04-04</t>
  </si>
  <si>
    <t>2021-04-05</t>
  </si>
  <si>
    <t>2021-04-06</t>
  </si>
  <si>
    <t>1.1673</t>
  </si>
  <si>
    <t>2021-04-07</t>
  </si>
  <si>
    <t>1.1674</t>
  </si>
  <si>
    <t>2021-04-08</t>
  </si>
  <si>
    <t>1.1645</t>
  </si>
  <si>
    <t>2021-04-09</t>
  </si>
  <si>
    <t>1.1658</t>
  </si>
  <si>
    <t>2021-04-10</t>
  </si>
  <si>
    <t>2021-04-11</t>
  </si>
  <si>
    <t>2021-04-12</t>
  </si>
  <si>
    <t>1.1690</t>
  </si>
  <si>
    <t>2021-04-13</t>
  </si>
  <si>
    <t>1.1670</t>
  </si>
  <si>
    <t>2021-04-14</t>
  </si>
  <si>
    <t>1.1642</t>
  </si>
  <si>
    <t>2021-04-15</t>
  </si>
  <si>
    <t>1.1636</t>
  </si>
  <si>
    <t>2021-04-16</t>
  </si>
  <si>
    <t>1.1574</t>
  </si>
  <si>
    <t>2021-04-17</t>
  </si>
  <si>
    <t>2021-04-18</t>
  </si>
  <si>
    <t>2021-04-19</t>
  </si>
  <si>
    <t>1.1643</t>
  </si>
  <si>
    <t>2021-04-20</t>
  </si>
  <si>
    <t>1.1615</t>
  </si>
  <si>
    <t>2021-04-21</t>
  </si>
  <si>
    <t>1.1624</t>
  </si>
  <si>
    <t>2021-04-22</t>
  </si>
  <si>
    <t>1.1638</t>
  </si>
  <si>
    <t>2021-04-23</t>
  </si>
  <si>
    <t>2021-04-24</t>
  </si>
  <si>
    <t>2021-04-25</t>
  </si>
  <si>
    <t>2021-04-26</t>
  </si>
  <si>
    <t>1.1614</t>
  </si>
  <si>
    <t>2021-04-27</t>
  </si>
  <si>
    <t>2021-04-28</t>
  </si>
  <si>
    <t>1.1663</t>
  </si>
  <si>
    <t>2021-04-29</t>
  </si>
  <si>
    <t>1.1706</t>
  </si>
  <si>
    <t>2021-04-30</t>
  </si>
  <si>
    <t>1.1672</t>
  </si>
  <si>
    <r>
      <rPr>
        <b/>
        <sz val="11"/>
        <color rgb="FFFFFFFF"/>
        <rFont val="微软雅黑"/>
        <family val="2"/>
        <charset val="134"/>
      </rPr>
      <t>统计盈亏</t>
    </r>
    <r>
      <rPr>
        <b/>
        <sz val="11"/>
        <color rgb="FFFFFFFF"/>
        <rFont val="宋体"/>
        <family val="2"/>
        <charset val="134"/>
      </rPr>
      <t>（万元）</t>
    </r>
    <phoneticPr fontId="2" type="noConversion"/>
  </si>
  <si>
    <t>中量投期权启航1号</t>
  </si>
  <si>
    <t>中量投CTA1号(2.18开始做)</t>
    <phoneticPr fontId="2" type="noConversion"/>
  </si>
  <si>
    <t>2021-05-01</t>
  </si>
  <si>
    <t>2021-05-02</t>
  </si>
  <si>
    <t>2021-05-03</t>
  </si>
  <si>
    <t>2021-05-04</t>
  </si>
  <si>
    <t>2021-05-05</t>
  </si>
  <si>
    <t>2021-05-06</t>
  </si>
  <si>
    <t>1.1779</t>
  </si>
  <si>
    <t>2021-05-07</t>
  </si>
  <si>
    <t>1.1798</t>
  </si>
  <si>
    <t>2021-05-08</t>
  </si>
  <si>
    <t>2021-05-09</t>
  </si>
  <si>
    <t>2021-05-10</t>
  </si>
  <si>
    <t>1.1819</t>
  </si>
  <si>
    <t>2021-05-11</t>
  </si>
  <si>
    <t>1.1801</t>
  </si>
  <si>
    <t>2021-05-12</t>
  </si>
  <si>
    <t>1.1844</t>
  </si>
  <si>
    <t>2021-05-13</t>
  </si>
  <si>
    <t>1.1893</t>
  </si>
  <si>
    <t>2021-05-14</t>
  </si>
  <si>
    <t>2021-05-15</t>
  </si>
  <si>
    <t>2021-05-16</t>
  </si>
  <si>
    <t>2021-05-17</t>
  </si>
  <si>
    <t>1.1817</t>
  </si>
  <si>
    <t>2021-05-18</t>
  </si>
  <si>
    <t>1.1802</t>
  </si>
  <si>
    <t>2021-05-19</t>
  </si>
  <si>
    <t>2021-05-20</t>
  </si>
  <si>
    <t>2021-05-21</t>
  </si>
  <si>
    <t>1.1726</t>
  </si>
  <si>
    <t>2021-05-22</t>
  </si>
  <si>
    <t>2021-05-23</t>
  </si>
  <si>
    <t>2021-05-24</t>
  </si>
  <si>
    <t>2021-05-25</t>
  </si>
  <si>
    <t>2021-05-26</t>
  </si>
  <si>
    <t>1.1699</t>
  </si>
  <si>
    <t>2021-05-27</t>
  </si>
  <si>
    <t>1.1700</t>
  </si>
  <si>
    <t>2021-05-28</t>
  </si>
  <si>
    <t>1.1702</t>
  </si>
  <si>
    <t>2021-05-29</t>
  </si>
  <si>
    <t>2021-06-11</t>
  </si>
  <si>
    <t>2021-06-01</t>
  </si>
  <si>
    <t>1.1687</t>
  </si>
  <si>
    <t>2021-06-02</t>
  </si>
  <si>
    <t>1.1751</t>
  </si>
  <si>
    <t>2021-06-03</t>
  </si>
  <si>
    <t>1.1793</t>
  </si>
  <si>
    <t>2021-06-04</t>
  </si>
  <si>
    <t>1.1803</t>
  </si>
  <si>
    <t>2021-06-07</t>
  </si>
  <si>
    <t>1.1824</t>
  </si>
  <si>
    <t>2021-06-08</t>
  </si>
  <si>
    <t>1.1800</t>
  </si>
  <si>
    <t>2021-06-09</t>
  </si>
  <si>
    <t>1.1919</t>
  </si>
  <si>
    <t>2021-06-10</t>
  </si>
  <si>
    <t>1.1959</t>
  </si>
  <si>
    <t>2021-06-15</t>
  </si>
  <si>
    <t>1.2014</t>
  </si>
  <si>
    <t>2021-06-16</t>
  </si>
  <si>
    <t>1.2006</t>
  </si>
  <si>
    <t>2021-06-17</t>
  </si>
  <si>
    <t>1.2041</t>
  </si>
  <si>
    <t>2021-06-18</t>
  </si>
  <si>
    <t>1.1996</t>
  </si>
  <si>
    <t>2021-06-21</t>
  </si>
  <si>
    <t>1.1975</t>
  </si>
  <si>
    <t>2021-06-22</t>
  </si>
  <si>
    <t>2021-06-23</t>
  </si>
  <si>
    <t>1.2031</t>
  </si>
  <si>
    <t>2021-06-24</t>
  </si>
  <si>
    <t>1.2033</t>
  </si>
  <si>
    <t>2021-06-25</t>
  </si>
  <si>
    <t>1.2032</t>
  </si>
  <si>
    <t>2021-06-28</t>
  </si>
  <si>
    <t>1.2043</t>
  </si>
  <si>
    <t>2021-06-29</t>
  </si>
  <si>
    <t>1.2047</t>
  </si>
  <si>
    <t>2021-06-30</t>
  </si>
  <si>
    <t>2021-05-31</t>
  </si>
  <si>
    <t>1.1675</t>
  </si>
  <si>
    <t>2021-05-30</t>
  </si>
  <si>
    <t>策略名称</t>
  </si>
  <si>
    <t>子策略</t>
  </si>
  <si>
    <t>库存市值</t>
  </si>
  <si>
    <t>量化投资</t>
    <phoneticPr fontId="17" type="noConversion"/>
  </si>
  <si>
    <t>启航1号基金</t>
    <phoneticPr fontId="17" type="noConversion"/>
  </si>
  <si>
    <t>中量投地奥优选</t>
    <phoneticPr fontId="17" type="noConversion"/>
  </si>
  <si>
    <t>中量投多策略进取</t>
    <phoneticPr fontId="17" type="noConversion"/>
  </si>
  <si>
    <t>中量投全天候1号</t>
    <phoneticPr fontId="17" type="noConversion"/>
  </si>
  <si>
    <t>中量投尊享CTA2号</t>
    <phoneticPr fontId="17" type="noConversion"/>
  </si>
  <si>
    <t>中量投尊享CTA3号</t>
    <phoneticPr fontId="17" type="noConversion"/>
  </si>
  <si>
    <t>总盈亏</t>
  </si>
  <si>
    <t>收益</t>
    <phoneticPr fontId="2" type="noConversion"/>
  </si>
  <si>
    <t>中量投CTA1号</t>
    <phoneticPr fontId="17" type="noConversion"/>
  </si>
  <si>
    <t>波动率套利</t>
    <phoneticPr fontId="17" type="noConversion"/>
  </si>
  <si>
    <t>波动率方向</t>
    <phoneticPr fontId="17" type="noConversion"/>
  </si>
  <si>
    <t>中量投期权启航1号</t>
    <phoneticPr fontId="17" type="noConversion"/>
  </si>
  <si>
    <t>2021-07-01</t>
  </si>
  <si>
    <t>1.2021</t>
  </si>
  <si>
    <t>2021-07-02</t>
  </si>
  <si>
    <t>1.2011</t>
  </si>
  <si>
    <t>2021-07-05</t>
  </si>
  <si>
    <t>1.2051</t>
  </si>
  <si>
    <t>2021-07-06</t>
  </si>
  <si>
    <t>1.2023</t>
  </si>
  <si>
    <t>2021-07-07</t>
  </si>
  <si>
    <t>2021-07-08</t>
  </si>
  <si>
    <t>1.1910</t>
  </si>
  <si>
    <t>2021-07-09</t>
  </si>
  <si>
    <t>1.1946</t>
  </si>
  <si>
    <t>2021-07-12</t>
  </si>
  <si>
    <t>2021-07-13</t>
  </si>
  <si>
    <t>1.1997</t>
  </si>
  <si>
    <t>2021-07-14</t>
  </si>
  <si>
    <t>2021-07-15</t>
  </si>
  <si>
    <t>2021-07-16</t>
  </si>
  <si>
    <t>1.2042</t>
  </si>
  <si>
    <t>2021-07-19</t>
  </si>
  <si>
    <t>2021-07-20</t>
  </si>
  <si>
    <t>1.2038</t>
  </si>
  <si>
    <t>2021-07-21</t>
  </si>
  <si>
    <t>1.2019</t>
  </si>
  <si>
    <t>2021-07-22</t>
  </si>
  <si>
    <t>1.2059</t>
  </si>
  <si>
    <t>2021-07-23</t>
  </si>
  <si>
    <t>1.2061</t>
  </si>
  <si>
    <t>2021-07-26</t>
  </si>
  <si>
    <t>2021-07-27</t>
  </si>
  <si>
    <t>1.1902</t>
  </si>
  <si>
    <t>2021-07-28</t>
  </si>
  <si>
    <t>2021-07-29</t>
  </si>
  <si>
    <t>1.1928</t>
  </si>
  <si>
    <t>2021-07-30</t>
  </si>
  <si>
    <t>7月收益率</t>
    <phoneticPr fontId="2" type="noConversion"/>
  </si>
  <si>
    <t>收益（7月）</t>
    <phoneticPr fontId="2" type="noConversion"/>
  </si>
  <si>
    <t>收益（实盘操作日-2021.7.31）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</si>
</sst>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yyyy\-mm\-dd\ hh:mm:ss"/>
    <numFmt numFmtId="177" formatCode="yyyy\-mm\-dd;@"/>
    <numFmt numFmtId="178" formatCode="#,##0.0000_ "/>
    <numFmt numFmtId="179" formatCode="_ * #,##0_ ;_ * \-#,##0_ ;_ * &quot;-&quot;??_ ;_ @_ "/>
    <numFmt numFmtId="180" formatCode="0.0000_);[Red]\(0.0000\)"/>
    <numFmt numFmtId="181" formatCode="[$-F400]h:mm:ss\ AM/PM"/>
    <numFmt numFmtId="182" formatCode="h:mm;@"/>
    <numFmt numFmtId="183" formatCode="0_ "/>
  </numFmts>
  <fonts count="1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11"/>
      <color indexed="8"/>
      <name val="等线"/>
      <family val="3"/>
      <charset val="134"/>
      <scheme val="minor"/>
    </font>
    <font>
      <b/>
      <sz val="11"/>
      <color rgb="FFFFFFFF"/>
      <name val="Arial"/>
      <family val="2"/>
    </font>
    <font>
      <sz val="12"/>
      <color rgb="FF00000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微软雅黑"/>
      <family val="2"/>
      <charset val="134"/>
    </font>
    <font>
      <b/>
      <sz val="11"/>
      <color rgb="FFFFFFFF"/>
      <name val="宋体"/>
      <family val="2"/>
      <charset val="134"/>
    </font>
    <font>
      <b/>
      <sz val="11"/>
      <color rgb="FFFF0000"/>
      <name val="等线"/>
      <family val="3"/>
      <charset val="134"/>
      <scheme val="minor"/>
    </font>
    <font>
      <b/>
      <sz val="11"/>
      <color rgb="FFFFFFFF"/>
      <name val="Arial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等线"/>
      <family val="2"/>
      <scheme val="minor"/>
    </font>
    <font>
      <sz val="9"/>
      <name val="等线"/>
      <family val="2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9EBF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5" fillId="0" borderId="0">
      <alignment vertical="center"/>
    </xf>
    <xf numFmtId="43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43" fontId="15" fillId="0" borderId="0" applyFont="0" applyFill="0" applyBorder="0" applyAlignment="0" applyProtection="0">
      <alignment vertical="center"/>
    </xf>
  </cellStyleXfs>
  <cellXfs count="113">
    <xf numFmtId="0" fontId="0" fillId="0" borderId="0" xfId="0"/>
    <xf numFmtId="176" fontId="0" fillId="0" borderId="0" xfId="0" applyNumberFormat="1"/>
    <xf numFmtId="0" fontId="3" fillId="0" borderId="1" xfId="0" applyFont="1" applyBorder="1" applyAlignment="1">
      <alignment horizontal="center" vertical="top"/>
    </xf>
    <xf numFmtId="0" fontId="0" fillId="0" borderId="0" xfId="0" applyAlignment="1">
      <alignment vertical="center"/>
    </xf>
    <xf numFmtId="20" fontId="3" fillId="0" borderId="1" xfId="0" applyNumberFormat="1" applyFont="1" applyBorder="1" applyAlignment="1">
      <alignment horizontal="center" vertical="top"/>
    </xf>
    <xf numFmtId="0" fontId="0" fillId="0" borderId="0" xfId="0" applyFill="1" applyAlignment="1">
      <alignment vertical="center"/>
    </xf>
    <xf numFmtId="177" fontId="3" fillId="0" borderId="1" xfId="0" applyNumberFormat="1" applyFont="1" applyBorder="1" applyAlignment="1">
      <alignment horizontal="center" vertical="top"/>
    </xf>
    <xf numFmtId="177" fontId="0" fillId="0" borderId="0" xfId="0" applyNumberFormat="1"/>
    <xf numFmtId="178" fontId="3" fillId="0" borderId="1" xfId="0" applyNumberFormat="1" applyFont="1" applyBorder="1" applyAlignment="1">
      <alignment horizontal="center" vertical="top"/>
    </xf>
    <xf numFmtId="178" fontId="0" fillId="0" borderId="0" xfId="0" applyNumberFormat="1"/>
    <xf numFmtId="0" fontId="0" fillId="2" borderId="0" xfId="0" applyFill="1"/>
    <xf numFmtId="0" fontId="0" fillId="2" borderId="0" xfId="0" applyFill="1" applyAlignment="1">
      <alignment vertical="center"/>
    </xf>
    <xf numFmtId="178" fontId="0" fillId="2" borderId="0" xfId="0" applyNumberFormat="1" applyFill="1"/>
    <xf numFmtId="0" fontId="0" fillId="0" borderId="0" xfId="0" applyFill="1"/>
    <xf numFmtId="176" fontId="5" fillId="0" borderId="0" xfId="0" applyNumberFormat="1" applyFont="1"/>
    <xf numFmtId="0" fontId="5" fillId="0" borderId="0" xfId="0" applyFont="1"/>
    <xf numFmtId="177" fontId="0" fillId="2" borderId="0" xfId="0" applyNumberFormat="1" applyFill="1"/>
    <xf numFmtId="0" fontId="6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7" fillId="3" borderId="10" xfId="0" applyFont="1" applyFill="1" applyBorder="1" applyAlignment="1">
      <alignment horizontal="left" vertical="center" wrapText="1" readingOrder="1"/>
    </xf>
    <xf numFmtId="0" fontId="8" fillId="4" borderId="11" xfId="0" applyFont="1" applyFill="1" applyBorder="1" applyAlignment="1">
      <alignment horizontal="right" vertical="center" wrapText="1" readingOrder="1"/>
    </xf>
    <xf numFmtId="10" fontId="8" fillId="4" borderId="11" xfId="0" applyNumberFormat="1" applyFont="1" applyFill="1" applyBorder="1" applyAlignment="1">
      <alignment horizontal="right" vertical="center" wrapText="1" readingOrder="1"/>
    </xf>
    <xf numFmtId="0" fontId="8" fillId="4" borderId="10" xfId="0" applyFont="1" applyFill="1" applyBorder="1" applyAlignment="1">
      <alignment horizontal="right" vertical="center" wrapText="1" readingOrder="1"/>
    </xf>
    <xf numFmtId="0" fontId="7" fillId="3" borderId="11" xfId="0" applyFont="1" applyFill="1" applyBorder="1" applyAlignment="1">
      <alignment horizontal="left" vertical="center" wrapText="1" readingOrder="1"/>
    </xf>
    <xf numFmtId="0" fontId="9" fillId="3" borderId="11" xfId="0" applyFont="1" applyFill="1" applyBorder="1" applyAlignment="1">
      <alignment horizontal="right" vertical="center" wrapText="1" readingOrder="1"/>
    </xf>
    <xf numFmtId="10" fontId="9" fillId="3" borderId="11" xfId="0" applyNumberFormat="1" applyFont="1" applyFill="1" applyBorder="1" applyAlignment="1">
      <alignment horizontal="right" vertical="center" wrapText="1" readingOrder="1"/>
    </xf>
    <xf numFmtId="177" fontId="0" fillId="5" borderId="0" xfId="0" applyNumberFormat="1" applyFill="1"/>
    <xf numFmtId="0" fontId="0" fillId="5" borderId="0" xfId="0" applyFill="1"/>
    <xf numFmtId="178" fontId="0" fillId="5" borderId="0" xfId="0" applyNumberFormat="1" applyFill="1"/>
    <xf numFmtId="10" fontId="0" fillId="0" borderId="0" xfId="1" applyNumberFormat="1" applyFont="1" applyAlignment="1"/>
    <xf numFmtId="179" fontId="9" fillId="3" borderId="11" xfId="2" applyNumberFormat="1" applyFont="1" applyFill="1" applyBorder="1" applyAlignment="1">
      <alignment horizontal="right" vertical="center" wrapText="1" readingOrder="1"/>
    </xf>
    <xf numFmtId="176" fontId="0" fillId="6" borderId="0" xfId="0" applyNumberFormat="1" applyFill="1"/>
    <xf numFmtId="0" fontId="0" fillId="6" borderId="0" xfId="0" applyFill="1"/>
    <xf numFmtId="0" fontId="4" fillId="0" borderId="0" xfId="0" applyFont="1"/>
    <xf numFmtId="0" fontId="0" fillId="0" borderId="9" xfId="0" applyFill="1" applyBorder="1"/>
    <xf numFmtId="20" fontId="4" fillId="0" borderId="0" xfId="0" applyNumberFormat="1" applyFont="1" applyFill="1" applyBorder="1" applyAlignment="1">
      <alignment horizontal="right"/>
    </xf>
    <xf numFmtId="0" fontId="0" fillId="0" borderId="9" xfId="0" applyFill="1" applyBorder="1" applyAlignment="1">
      <alignment vertical="center"/>
    </xf>
    <xf numFmtId="10" fontId="0" fillId="0" borderId="0" xfId="1" applyNumberFormat="1" applyFont="1" applyFill="1" applyBorder="1" applyAlignment="1"/>
    <xf numFmtId="10" fontId="0" fillId="0" borderId="5" xfId="1" applyNumberFormat="1" applyFont="1" applyFill="1" applyBorder="1" applyAlignment="1"/>
    <xf numFmtId="0" fontId="0" fillId="0" borderId="2" xfId="0" applyFill="1" applyBorder="1"/>
    <xf numFmtId="10" fontId="5" fillId="0" borderId="5" xfId="1" applyNumberFormat="1" applyFont="1" applyFill="1" applyBorder="1" applyAlignment="1"/>
    <xf numFmtId="0" fontId="0" fillId="0" borderId="12" xfId="0" applyFill="1" applyBorder="1"/>
    <xf numFmtId="0" fontId="0" fillId="0" borderId="13" xfId="0" quotePrefix="1" applyFill="1" applyBorder="1" applyAlignment="1">
      <alignment horizontal="right"/>
    </xf>
    <xf numFmtId="10" fontId="0" fillId="0" borderId="13" xfId="0" applyNumberFormat="1" applyFill="1" applyBorder="1"/>
    <xf numFmtId="10" fontId="5" fillId="0" borderId="14" xfId="0" applyNumberFormat="1" applyFont="1" applyFill="1" applyBorder="1"/>
    <xf numFmtId="10" fontId="0" fillId="0" borderId="0" xfId="1" applyNumberFormat="1" applyFont="1" applyFill="1" applyAlignment="1"/>
    <xf numFmtId="10" fontId="0" fillId="0" borderId="3" xfId="1" applyNumberFormat="1" applyFont="1" applyFill="1" applyBorder="1" applyAlignment="1"/>
    <xf numFmtId="10" fontId="5" fillId="0" borderId="4" xfId="1" applyNumberFormat="1" applyFont="1" applyFill="1" applyBorder="1" applyAlignment="1"/>
    <xf numFmtId="0" fontId="0" fillId="0" borderId="0" xfId="0" applyFill="1" applyBorder="1"/>
    <xf numFmtId="0" fontId="0" fillId="0" borderId="5" xfId="0" applyFill="1" applyBorder="1"/>
    <xf numFmtId="20" fontId="4" fillId="0" borderId="9" xfId="0" applyNumberFormat="1" applyFont="1" applyFill="1" applyBorder="1" applyAlignment="1">
      <alignment horizontal="left"/>
    </xf>
    <xf numFmtId="0" fontId="0" fillId="0" borderId="0" xfId="0" quotePrefix="1" applyFill="1" applyBorder="1"/>
    <xf numFmtId="0" fontId="4" fillId="0" borderId="2" xfId="0" applyFont="1" applyFill="1" applyBorder="1" applyAlignment="1">
      <alignment horizontal="left"/>
    </xf>
    <xf numFmtId="0" fontId="0" fillId="0" borderId="3" xfId="0" quotePrefix="1" applyFill="1" applyBorder="1"/>
    <xf numFmtId="10" fontId="0" fillId="0" borderId="4" xfId="1" applyNumberFormat="1" applyFont="1" applyFill="1" applyBorder="1" applyAlignment="1"/>
    <xf numFmtId="178" fontId="0" fillId="0" borderId="0" xfId="0" applyNumberFormat="1" applyFill="1"/>
    <xf numFmtId="0" fontId="4" fillId="0" borderId="0" xfId="0" applyFont="1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10" fontId="0" fillId="0" borderId="0" xfId="0" applyNumberFormat="1" applyFill="1" applyBorder="1"/>
    <xf numFmtId="0" fontId="0" fillId="0" borderId="6" xfId="0" applyFill="1" applyBorder="1"/>
    <xf numFmtId="20" fontId="4" fillId="0" borderId="7" xfId="0" applyNumberFormat="1" applyFont="1" applyFill="1" applyBorder="1" applyAlignment="1">
      <alignment horizontal="right"/>
    </xf>
    <xf numFmtId="0" fontId="12" fillId="0" borderId="8" xfId="0" applyFont="1" applyFill="1" applyBorder="1" applyAlignment="1">
      <alignment horizontal="right"/>
    </xf>
    <xf numFmtId="10" fontId="5" fillId="0" borderId="5" xfId="0" applyNumberFormat="1" applyFont="1" applyFill="1" applyBorder="1"/>
    <xf numFmtId="179" fontId="8" fillId="4" borderId="10" xfId="2" applyNumberFormat="1" applyFont="1" applyFill="1" applyBorder="1" applyAlignment="1">
      <alignment horizontal="right" vertical="center" wrapText="1" readingOrder="1"/>
    </xf>
    <xf numFmtId="0" fontId="10" fillId="3" borderId="10" xfId="0" applyFont="1" applyFill="1" applyBorder="1" applyAlignment="1">
      <alignment horizontal="center" vertical="center" wrapText="1" readingOrder="1"/>
    </xf>
    <xf numFmtId="0" fontId="0" fillId="0" borderId="0" xfId="0" applyNumberFormat="1"/>
    <xf numFmtId="0" fontId="13" fillId="3" borderId="10" xfId="0" applyFont="1" applyFill="1" applyBorder="1" applyAlignment="1">
      <alignment horizontal="center" vertical="center" wrapText="1" readingOrder="1"/>
    </xf>
    <xf numFmtId="177" fontId="0" fillId="7" borderId="0" xfId="0" applyNumberFormat="1" applyFill="1"/>
    <xf numFmtId="0" fontId="0" fillId="7" borderId="0" xfId="0" applyFill="1"/>
    <xf numFmtId="178" fontId="0" fillId="7" borderId="0" xfId="0" applyNumberFormat="1" applyFill="1"/>
    <xf numFmtId="180" fontId="0" fillId="0" borderId="0" xfId="0" applyNumberFormat="1"/>
    <xf numFmtId="180" fontId="3" fillId="0" borderId="1" xfId="0" applyNumberFormat="1" applyFont="1" applyBorder="1" applyAlignment="1">
      <alignment horizontal="center" vertical="top"/>
    </xf>
    <xf numFmtId="180" fontId="0" fillId="2" borderId="0" xfId="0" applyNumberFormat="1" applyFill="1"/>
    <xf numFmtId="180" fontId="0" fillId="5" borderId="0" xfId="0" applyNumberFormat="1" applyFill="1"/>
    <xf numFmtId="180" fontId="0" fillId="7" borderId="0" xfId="0" applyNumberFormat="1" applyFill="1"/>
    <xf numFmtId="180" fontId="0" fillId="0" borderId="0" xfId="0" applyNumberFormat="1" applyFill="1"/>
    <xf numFmtId="0" fontId="14" fillId="4" borderId="11" xfId="0" applyFont="1" applyFill="1" applyBorder="1" applyAlignment="1">
      <alignment horizontal="left" vertical="center" wrapText="1" readingOrder="1"/>
    </xf>
    <xf numFmtId="0" fontId="14" fillId="4" borderId="10" xfId="0" applyFont="1" applyFill="1" applyBorder="1" applyAlignment="1">
      <alignment horizontal="left" vertical="center" wrapText="1" readingOrder="1"/>
    </xf>
    <xf numFmtId="10" fontId="0" fillId="7" borderId="0" xfId="1" applyNumberFormat="1" applyFont="1" applyFill="1" applyAlignment="1"/>
    <xf numFmtId="177" fontId="0" fillId="8" borderId="0" xfId="0" applyNumberFormat="1" applyFill="1"/>
    <xf numFmtId="0" fontId="0" fillId="8" borderId="0" xfId="0" applyFill="1"/>
    <xf numFmtId="178" fontId="0" fillId="8" borderId="0" xfId="0" applyNumberFormat="1" applyFill="1"/>
    <xf numFmtId="180" fontId="0" fillId="8" borderId="0" xfId="0" applyNumberFormat="1" applyFill="1"/>
    <xf numFmtId="10" fontId="0" fillId="8" borderId="0" xfId="1" applyNumberFormat="1" applyFont="1" applyFill="1" applyAlignment="1"/>
    <xf numFmtId="181" fontId="0" fillId="0" borderId="0" xfId="0" applyNumberFormat="1"/>
    <xf numFmtId="182" fontId="3" fillId="0" borderId="1" xfId="0" applyNumberFormat="1" applyFont="1" applyBorder="1" applyAlignment="1">
      <alignment horizontal="center" vertical="top"/>
    </xf>
    <xf numFmtId="43" fontId="0" fillId="0" borderId="0" xfId="0" applyNumberFormat="1"/>
    <xf numFmtId="0" fontId="3" fillId="7" borderId="1" xfId="0" applyFont="1" applyFill="1" applyBorder="1" applyAlignment="1">
      <alignment horizontal="center" vertical="top"/>
    </xf>
    <xf numFmtId="0" fontId="15" fillId="0" borderId="0" xfId="4" applyNumberFormat="1">
      <alignment vertical="center"/>
    </xf>
    <xf numFmtId="0" fontId="15" fillId="9" borderId="0" xfId="4" applyFill="1">
      <alignment vertical="center"/>
    </xf>
    <xf numFmtId="14" fontId="15" fillId="9" borderId="0" xfId="4" applyNumberFormat="1" applyFill="1">
      <alignment vertical="center"/>
    </xf>
    <xf numFmtId="22" fontId="15" fillId="0" borderId="0" xfId="4" applyNumberFormat="1">
      <alignment vertical="center"/>
    </xf>
    <xf numFmtId="0" fontId="5" fillId="0" borderId="0" xfId="0" applyFont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/>
    <xf numFmtId="183" fontId="0" fillId="10" borderId="0" xfId="0" applyNumberFormat="1" applyFill="1" applyBorder="1" applyAlignment="1">
      <alignment vertical="center"/>
    </xf>
    <xf numFmtId="0" fontId="0" fillId="10" borderId="0" xfId="0" applyFill="1"/>
    <xf numFmtId="10" fontId="0" fillId="10" borderId="0" xfId="1" applyNumberFormat="1" applyFont="1" applyFill="1" applyAlignment="1"/>
    <xf numFmtId="183" fontId="0" fillId="10" borderId="13" xfId="0" applyNumberFormat="1" applyFill="1" applyBorder="1" applyAlignment="1">
      <alignment vertical="center"/>
    </xf>
    <xf numFmtId="0" fontId="0" fillId="10" borderId="13" xfId="0" applyFill="1" applyBorder="1"/>
    <xf numFmtId="43" fontId="0" fillId="10" borderId="0" xfId="0" applyNumberFormat="1" applyFill="1"/>
    <xf numFmtId="10" fontId="0" fillId="10" borderId="13" xfId="1" applyNumberFormat="1" applyFont="1" applyFill="1" applyBorder="1" applyAlignment="1"/>
    <xf numFmtId="43" fontId="0" fillId="10" borderId="0" xfId="2" applyFont="1" applyFill="1" applyAlignment="1"/>
    <xf numFmtId="179" fontId="0" fillId="10" borderId="0" xfId="2" applyNumberFormat="1" applyFont="1" applyFill="1" applyBorder="1" applyAlignment="1">
      <alignment vertical="center"/>
    </xf>
    <xf numFmtId="10" fontId="0" fillId="10" borderId="0" xfId="1" applyNumberFormat="1" applyFont="1" applyFill="1" applyBorder="1" applyAlignment="1"/>
    <xf numFmtId="179" fontId="0" fillId="10" borderId="13" xfId="2" applyNumberFormat="1" applyFont="1" applyFill="1" applyBorder="1" applyAlignment="1">
      <alignment vertical="center"/>
    </xf>
    <xf numFmtId="1" fontId="0" fillId="10" borderId="0" xfId="0" applyNumberFormat="1" applyFill="1"/>
    <xf numFmtId="0" fontId="0" fillId="10" borderId="0" xfId="0" applyFill="1" applyBorder="1"/>
    <xf numFmtId="14" fontId="0" fillId="0" borderId="0" xfId="0" applyNumberFormat="1"/>
    <xf numFmtId="0" fontId="4" fillId="0" borderId="0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10">
    <cellStyle name="Normal 2" xfId="7" xr:uid="{BF139B12-4630-480F-8F87-B085C406728A}"/>
    <cellStyle name="百分比" xfId="1" builtinId="5"/>
    <cellStyle name="百分比 2" xfId="3" xr:uid="{8565A2F7-9B1F-4914-96A5-7C8FCADF8253}"/>
    <cellStyle name="百分比 3" xfId="6" xr:uid="{2E259783-1F49-4BF3-9B17-1F26DF50AB1D}"/>
    <cellStyle name="常规" xfId="0" builtinId="0"/>
    <cellStyle name="常规 2" xfId="8" xr:uid="{215B5AE8-9D32-419E-A539-0331E3863AC1}"/>
    <cellStyle name="常规 3" xfId="4" xr:uid="{0B834556-4492-4F55-9E17-5E163F539858}"/>
    <cellStyle name="千位分隔" xfId="2" builtinId="3"/>
    <cellStyle name="千位分隔 2" xfId="9" xr:uid="{E840F51A-4552-4321-8624-AD092505B076}"/>
    <cellStyle name="千位分隔 3" xfId="5" xr:uid="{44A1753C-AF08-441A-A6C3-39F939DA8CE2}"/>
  </cellStyles>
  <dxfs count="0"/>
  <tableStyles count="0" defaultTableStyle="TableStyleMedium2" defaultPivotStyle="PivotStyleLight16"/>
  <colors>
    <mruColors>
      <color rgb="FFED7C2F"/>
      <color rgb="FFFFC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baseline="0">
                <a:effectLst/>
              </a:rPr>
              <a:t>期权策略表现（</a:t>
            </a:r>
            <a:r>
              <a:rPr lang="en-US" altLang="zh-CN" sz="1400" b="0" i="0" baseline="0">
                <a:effectLst/>
              </a:rPr>
              <a:t>2020.01-2021.07</a:t>
            </a:r>
            <a:r>
              <a:rPr lang="zh-CN" altLang="zh-CN" sz="1400" b="0" i="0" baseline="0">
                <a:effectLst/>
              </a:rPr>
              <a:t>）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7285627758068702E-2"/>
          <c:y val="9.344134141505693E-2"/>
          <c:w val="0.92904573318867689"/>
          <c:h val="0.80086708585887201"/>
        </c:manualLayout>
      </c:layout>
      <c:lineChart>
        <c:grouping val="standar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模型表现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Sheet2!$A$2:$A$1309</c:f>
              <c:numCache>
                <c:formatCode>yyyy\-mm\-dd;@</c:formatCode>
                <c:ptCount val="382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43892</c:v>
                </c:pt>
                <c:pt idx="36">
                  <c:v>43893</c:v>
                </c:pt>
                <c:pt idx="37">
                  <c:v>43894</c:v>
                </c:pt>
                <c:pt idx="38">
                  <c:v>43895</c:v>
                </c:pt>
                <c:pt idx="39">
                  <c:v>43896</c:v>
                </c:pt>
                <c:pt idx="40">
                  <c:v>43899</c:v>
                </c:pt>
                <c:pt idx="41">
                  <c:v>43900</c:v>
                </c:pt>
                <c:pt idx="42">
                  <c:v>43901</c:v>
                </c:pt>
                <c:pt idx="43">
                  <c:v>43902</c:v>
                </c:pt>
                <c:pt idx="44">
                  <c:v>43903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43913</c:v>
                </c:pt>
                <c:pt idx="51">
                  <c:v>43914</c:v>
                </c:pt>
                <c:pt idx="52">
                  <c:v>43915</c:v>
                </c:pt>
                <c:pt idx="53">
                  <c:v>43916</c:v>
                </c:pt>
                <c:pt idx="54">
                  <c:v>43917</c:v>
                </c:pt>
                <c:pt idx="55">
                  <c:v>43920</c:v>
                </c:pt>
                <c:pt idx="56">
                  <c:v>43921</c:v>
                </c:pt>
                <c:pt idx="57">
                  <c:v>43922</c:v>
                </c:pt>
                <c:pt idx="58">
                  <c:v>43923</c:v>
                </c:pt>
                <c:pt idx="59">
                  <c:v>43924</c:v>
                </c:pt>
                <c:pt idx="60">
                  <c:v>43928</c:v>
                </c:pt>
                <c:pt idx="61">
                  <c:v>43929</c:v>
                </c:pt>
                <c:pt idx="62">
                  <c:v>43930</c:v>
                </c:pt>
                <c:pt idx="63">
                  <c:v>43931</c:v>
                </c:pt>
                <c:pt idx="64">
                  <c:v>43934</c:v>
                </c:pt>
                <c:pt idx="65">
                  <c:v>43935</c:v>
                </c:pt>
                <c:pt idx="66">
                  <c:v>43936</c:v>
                </c:pt>
                <c:pt idx="67">
                  <c:v>43937</c:v>
                </c:pt>
                <c:pt idx="68">
                  <c:v>43938</c:v>
                </c:pt>
                <c:pt idx="69">
                  <c:v>43941</c:v>
                </c:pt>
                <c:pt idx="70">
                  <c:v>43942</c:v>
                </c:pt>
                <c:pt idx="71">
                  <c:v>43943</c:v>
                </c:pt>
                <c:pt idx="72">
                  <c:v>43944</c:v>
                </c:pt>
                <c:pt idx="73">
                  <c:v>43945</c:v>
                </c:pt>
                <c:pt idx="74">
                  <c:v>43948</c:v>
                </c:pt>
                <c:pt idx="75">
                  <c:v>43949</c:v>
                </c:pt>
                <c:pt idx="76">
                  <c:v>43950</c:v>
                </c:pt>
                <c:pt idx="77">
                  <c:v>43951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44011</c:v>
                </c:pt>
                <c:pt idx="115">
                  <c:v>44012</c:v>
                </c:pt>
                <c:pt idx="116">
                  <c:v>44013</c:v>
                </c:pt>
                <c:pt idx="117">
                  <c:v>44014</c:v>
                </c:pt>
                <c:pt idx="118">
                  <c:v>44015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44025</c:v>
                </c:pt>
                <c:pt idx="125">
                  <c:v>44026</c:v>
                </c:pt>
                <c:pt idx="126">
                  <c:v>44027</c:v>
                </c:pt>
                <c:pt idx="127">
                  <c:v>44028</c:v>
                </c:pt>
                <c:pt idx="128">
                  <c:v>44029</c:v>
                </c:pt>
                <c:pt idx="129">
                  <c:v>44032</c:v>
                </c:pt>
                <c:pt idx="130">
                  <c:v>44033</c:v>
                </c:pt>
                <c:pt idx="131">
                  <c:v>44034</c:v>
                </c:pt>
                <c:pt idx="132">
                  <c:v>44035</c:v>
                </c:pt>
                <c:pt idx="133">
                  <c:v>44036</c:v>
                </c:pt>
                <c:pt idx="134">
                  <c:v>44039</c:v>
                </c:pt>
                <c:pt idx="135">
                  <c:v>44040</c:v>
                </c:pt>
                <c:pt idx="136">
                  <c:v>44041</c:v>
                </c:pt>
                <c:pt idx="137">
                  <c:v>44042</c:v>
                </c:pt>
                <c:pt idx="138">
                  <c:v>44043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44053</c:v>
                </c:pt>
                <c:pt idx="145">
                  <c:v>44054</c:v>
                </c:pt>
                <c:pt idx="146">
                  <c:v>44055</c:v>
                </c:pt>
                <c:pt idx="147">
                  <c:v>44056</c:v>
                </c:pt>
                <c:pt idx="148">
                  <c:v>44057</c:v>
                </c:pt>
                <c:pt idx="149">
                  <c:v>44060</c:v>
                </c:pt>
                <c:pt idx="150">
                  <c:v>44061</c:v>
                </c:pt>
                <c:pt idx="151">
                  <c:v>44062</c:v>
                </c:pt>
                <c:pt idx="152">
                  <c:v>44063</c:v>
                </c:pt>
                <c:pt idx="153">
                  <c:v>44064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44074</c:v>
                </c:pt>
                <c:pt idx="160">
                  <c:v>44075</c:v>
                </c:pt>
                <c:pt idx="161">
                  <c:v>44076</c:v>
                </c:pt>
                <c:pt idx="162">
                  <c:v>44077</c:v>
                </c:pt>
                <c:pt idx="163">
                  <c:v>44078</c:v>
                </c:pt>
                <c:pt idx="164">
                  <c:v>44081</c:v>
                </c:pt>
                <c:pt idx="165">
                  <c:v>44082</c:v>
                </c:pt>
                <c:pt idx="166">
                  <c:v>44083</c:v>
                </c:pt>
                <c:pt idx="167">
                  <c:v>44084</c:v>
                </c:pt>
                <c:pt idx="168">
                  <c:v>44085</c:v>
                </c:pt>
                <c:pt idx="169">
                  <c:v>44088</c:v>
                </c:pt>
                <c:pt idx="170">
                  <c:v>44089</c:v>
                </c:pt>
                <c:pt idx="171">
                  <c:v>44090</c:v>
                </c:pt>
                <c:pt idx="172">
                  <c:v>44091</c:v>
                </c:pt>
                <c:pt idx="173">
                  <c:v>44092</c:v>
                </c:pt>
                <c:pt idx="174">
                  <c:v>44095</c:v>
                </c:pt>
                <c:pt idx="175">
                  <c:v>44096</c:v>
                </c:pt>
                <c:pt idx="176">
                  <c:v>44097</c:v>
                </c:pt>
                <c:pt idx="177">
                  <c:v>44098</c:v>
                </c:pt>
                <c:pt idx="178">
                  <c:v>44099</c:v>
                </c:pt>
                <c:pt idx="179">
                  <c:v>44102</c:v>
                </c:pt>
                <c:pt idx="180">
                  <c:v>44103</c:v>
                </c:pt>
                <c:pt idx="181">
                  <c:v>44104</c:v>
                </c:pt>
                <c:pt idx="182">
                  <c:v>44113</c:v>
                </c:pt>
                <c:pt idx="183">
                  <c:v>44116</c:v>
                </c:pt>
                <c:pt idx="184">
                  <c:v>44117</c:v>
                </c:pt>
                <c:pt idx="185">
                  <c:v>44118</c:v>
                </c:pt>
                <c:pt idx="186">
                  <c:v>44119</c:v>
                </c:pt>
                <c:pt idx="187">
                  <c:v>44120</c:v>
                </c:pt>
                <c:pt idx="188">
                  <c:v>44123</c:v>
                </c:pt>
                <c:pt idx="189">
                  <c:v>44124</c:v>
                </c:pt>
                <c:pt idx="190">
                  <c:v>44125</c:v>
                </c:pt>
                <c:pt idx="191">
                  <c:v>44126</c:v>
                </c:pt>
                <c:pt idx="192">
                  <c:v>44127</c:v>
                </c:pt>
                <c:pt idx="193">
                  <c:v>44130</c:v>
                </c:pt>
                <c:pt idx="194">
                  <c:v>44131</c:v>
                </c:pt>
                <c:pt idx="195">
                  <c:v>44132</c:v>
                </c:pt>
                <c:pt idx="196">
                  <c:v>44133</c:v>
                </c:pt>
                <c:pt idx="197">
                  <c:v>44134</c:v>
                </c:pt>
                <c:pt idx="198">
                  <c:v>44137</c:v>
                </c:pt>
                <c:pt idx="199">
                  <c:v>44138</c:v>
                </c:pt>
                <c:pt idx="200">
                  <c:v>44139</c:v>
                </c:pt>
                <c:pt idx="201">
                  <c:v>44140</c:v>
                </c:pt>
                <c:pt idx="202">
                  <c:v>44141</c:v>
                </c:pt>
                <c:pt idx="203">
                  <c:v>44144</c:v>
                </c:pt>
                <c:pt idx="204">
                  <c:v>44145</c:v>
                </c:pt>
                <c:pt idx="205">
                  <c:v>44146</c:v>
                </c:pt>
                <c:pt idx="206">
                  <c:v>44147</c:v>
                </c:pt>
                <c:pt idx="207">
                  <c:v>44148</c:v>
                </c:pt>
                <c:pt idx="208">
                  <c:v>44151</c:v>
                </c:pt>
                <c:pt idx="209">
                  <c:v>44152</c:v>
                </c:pt>
                <c:pt idx="210">
                  <c:v>44153</c:v>
                </c:pt>
                <c:pt idx="211">
                  <c:v>44154</c:v>
                </c:pt>
                <c:pt idx="212">
                  <c:v>44155</c:v>
                </c:pt>
                <c:pt idx="213">
                  <c:v>44158</c:v>
                </c:pt>
                <c:pt idx="214">
                  <c:v>44159</c:v>
                </c:pt>
                <c:pt idx="215">
                  <c:v>44160</c:v>
                </c:pt>
                <c:pt idx="216">
                  <c:v>44161</c:v>
                </c:pt>
                <c:pt idx="217">
                  <c:v>44162</c:v>
                </c:pt>
                <c:pt idx="218">
                  <c:v>44165</c:v>
                </c:pt>
                <c:pt idx="219">
                  <c:v>44166</c:v>
                </c:pt>
                <c:pt idx="220">
                  <c:v>44167</c:v>
                </c:pt>
                <c:pt idx="221">
                  <c:v>44168</c:v>
                </c:pt>
                <c:pt idx="222">
                  <c:v>44169</c:v>
                </c:pt>
                <c:pt idx="223">
                  <c:v>44172</c:v>
                </c:pt>
                <c:pt idx="224">
                  <c:v>44173</c:v>
                </c:pt>
                <c:pt idx="225">
                  <c:v>44174</c:v>
                </c:pt>
                <c:pt idx="226">
                  <c:v>44175</c:v>
                </c:pt>
                <c:pt idx="227">
                  <c:v>44176</c:v>
                </c:pt>
                <c:pt idx="228">
                  <c:v>44179</c:v>
                </c:pt>
                <c:pt idx="229">
                  <c:v>44180</c:v>
                </c:pt>
                <c:pt idx="230">
                  <c:v>44181</c:v>
                </c:pt>
                <c:pt idx="231">
                  <c:v>44182</c:v>
                </c:pt>
                <c:pt idx="232">
                  <c:v>44183</c:v>
                </c:pt>
                <c:pt idx="233">
                  <c:v>44186</c:v>
                </c:pt>
                <c:pt idx="234">
                  <c:v>44187</c:v>
                </c:pt>
                <c:pt idx="235">
                  <c:v>44188</c:v>
                </c:pt>
                <c:pt idx="236">
                  <c:v>44189</c:v>
                </c:pt>
                <c:pt idx="237">
                  <c:v>44190</c:v>
                </c:pt>
                <c:pt idx="238">
                  <c:v>44193</c:v>
                </c:pt>
                <c:pt idx="239">
                  <c:v>44194</c:v>
                </c:pt>
                <c:pt idx="240">
                  <c:v>44195</c:v>
                </c:pt>
                <c:pt idx="241">
                  <c:v>44196</c:v>
                </c:pt>
                <c:pt idx="242">
                  <c:v>44200</c:v>
                </c:pt>
                <c:pt idx="243">
                  <c:v>44201</c:v>
                </c:pt>
                <c:pt idx="244">
                  <c:v>44202</c:v>
                </c:pt>
                <c:pt idx="245">
                  <c:v>44203</c:v>
                </c:pt>
                <c:pt idx="246">
                  <c:v>44204</c:v>
                </c:pt>
                <c:pt idx="247">
                  <c:v>44207</c:v>
                </c:pt>
                <c:pt idx="248">
                  <c:v>44208</c:v>
                </c:pt>
                <c:pt idx="249">
                  <c:v>44209</c:v>
                </c:pt>
                <c:pt idx="250">
                  <c:v>44210</c:v>
                </c:pt>
                <c:pt idx="251">
                  <c:v>44211</c:v>
                </c:pt>
                <c:pt idx="252">
                  <c:v>44214</c:v>
                </c:pt>
                <c:pt idx="253">
                  <c:v>44215</c:v>
                </c:pt>
                <c:pt idx="254">
                  <c:v>44216</c:v>
                </c:pt>
                <c:pt idx="255">
                  <c:v>44217</c:v>
                </c:pt>
                <c:pt idx="256">
                  <c:v>44218</c:v>
                </c:pt>
                <c:pt idx="257">
                  <c:v>44221</c:v>
                </c:pt>
                <c:pt idx="258">
                  <c:v>44222</c:v>
                </c:pt>
                <c:pt idx="259">
                  <c:v>44223</c:v>
                </c:pt>
                <c:pt idx="260">
                  <c:v>44224</c:v>
                </c:pt>
                <c:pt idx="261">
                  <c:v>44225</c:v>
                </c:pt>
                <c:pt idx="262">
                  <c:v>44228</c:v>
                </c:pt>
                <c:pt idx="263">
                  <c:v>44229</c:v>
                </c:pt>
                <c:pt idx="264">
                  <c:v>44230</c:v>
                </c:pt>
                <c:pt idx="265">
                  <c:v>44231</c:v>
                </c:pt>
                <c:pt idx="266">
                  <c:v>44232</c:v>
                </c:pt>
                <c:pt idx="267">
                  <c:v>44235</c:v>
                </c:pt>
                <c:pt idx="268">
                  <c:v>44236</c:v>
                </c:pt>
                <c:pt idx="269">
                  <c:v>44237</c:v>
                </c:pt>
                <c:pt idx="270">
                  <c:v>44245</c:v>
                </c:pt>
                <c:pt idx="271">
                  <c:v>44246</c:v>
                </c:pt>
                <c:pt idx="272">
                  <c:v>44249</c:v>
                </c:pt>
                <c:pt idx="273">
                  <c:v>44250</c:v>
                </c:pt>
                <c:pt idx="274">
                  <c:v>44251</c:v>
                </c:pt>
                <c:pt idx="275">
                  <c:v>44252</c:v>
                </c:pt>
                <c:pt idx="276">
                  <c:v>44253</c:v>
                </c:pt>
                <c:pt idx="277">
                  <c:v>44256</c:v>
                </c:pt>
                <c:pt idx="278">
                  <c:v>44257</c:v>
                </c:pt>
                <c:pt idx="279">
                  <c:v>44258</c:v>
                </c:pt>
                <c:pt idx="280">
                  <c:v>44259</c:v>
                </c:pt>
                <c:pt idx="281">
                  <c:v>44260</c:v>
                </c:pt>
                <c:pt idx="282">
                  <c:v>44263</c:v>
                </c:pt>
                <c:pt idx="283">
                  <c:v>44264</c:v>
                </c:pt>
                <c:pt idx="284">
                  <c:v>44265</c:v>
                </c:pt>
                <c:pt idx="285">
                  <c:v>44266</c:v>
                </c:pt>
                <c:pt idx="286">
                  <c:v>44267</c:v>
                </c:pt>
                <c:pt idx="287">
                  <c:v>44270</c:v>
                </c:pt>
                <c:pt idx="288">
                  <c:v>44271</c:v>
                </c:pt>
                <c:pt idx="289">
                  <c:v>44272</c:v>
                </c:pt>
                <c:pt idx="290">
                  <c:v>44273</c:v>
                </c:pt>
                <c:pt idx="291">
                  <c:v>44274</c:v>
                </c:pt>
                <c:pt idx="292">
                  <c:v>44277</c:v>
                </c:pt>
                <c:pt idx="293">
                  <c:v>44278</c:v>
                </c:pt>
                <c:pt idx="294">
                  <c:v>44279</c:v>
                </c:pt>
                <c:pt idx="295">
                  <c:v>44280</c:v>
                </c:pt>
                <c:pt idx="296">
                  <c:v>44281</c:v>
                </c:pt>
                <c:pt idx="297">
                  <c:v>44284</c:v>
                </c:pt>
                <c:pt idx="298">
                  <c:v>44285</c:v>
                </c:pt>
                <c:pt idx="299">
                  <c:v>44286</c:v>
                </c:pt>
                <c:pt idx="300">
                  <c:v>44287</c:v>
                </c:pt>
                <c:pt idx="301">
                  <c:v>44288</c:v>
                </c:pt>
                <c:pt idx="302">
                  <c:v>44292</c:v>
                </c:pt>
                <c:pt idx="303">
                  <c:v>44293</c:v>
                </c:pt>
                <c:pt idx="304">
                  <c:v>44294</c:v>
                </c:pt>
                <c:pt idx="305">
                  <c:v>44295</c:v>
                </c:pt>
                <c:pt idx="306">
                  <c:v>44298</c:v>
                </c:pt>
                <c:pt idx="307">
                  <c:v>44299</c:v>
                </c:pt>
                <c:pt idx="308">
                  <c:v>44300</c:v>
                </c:pt>
                <c:pt idx="309">
                  <c:v>44301</c:v>
                </c:pt>
                <c:pt idx="310">
                  <c:v>44302</c:v>
                </c:pt>
                <c:pt idx="311">
                  <c:v>44305</c:v>
                </c:pt>
                <c:pt idx="312">
                  <c:v>44306</c:v>
                </c:pt>
                <c:pt idx="313">
                  <c:v>44307</c:v>
                </c:pt>
                <c:pt idx="314">
                  <c:v>44308</c:v>
                </c:pt>
                <c:pt idx="315">
                  <c:v>44309</c:v>
                </c:pt>
                <c:pt idx="316">
                  <c:v>44312</c:v>
                </c:pt>
                <c:pt idx="317">
                  <c:v>44313</c:v>
                </c:pt>
                <c:pt idx="318">
                  <c:v>44314</c:v>
                </c:pt>
                <c:pt idx="319">
                  <c:v>44315</c:v>
                </c:pt>
                <c:pt idx="320">
                  <c:v>44316</c:v>
                </c:pt>
                <c:pt idx="321">
                  <c:v>44322</c:v>
                </c:pt>
                <c:pt idx="322">
                  <c:v>44323</c:v>
                </c:pt>
                <c:pt idx="323">
                  <c:v>44326</c:v>
                </c:pt>
                <c:pt idx="324">
                  <c:v>44327</c:v>
                </c:pt>
                <c:pt idx="325">
                  <c:v>44328</c:v>
                </c:pt>
                <c:pt idx="326">
                  <c:v>44329</c:v>
                </c:pt>
                <c:pt idx="327">
                  <c:v>44330</c:v>
                </c:pt>
                <c:pt idx="328">
                  <c:v>44333</c:v>
                </c:pt>
                <c:pt idx="329">
                  <c:v>44334</c:v>
                </c:pt>
                <c:pt idx="330">
                  <c:v>44335</c:v>
                </c:pt>
                <c:pt idx="331">
                  <c:v>44336</c:v>
                </c:pt>
                <c:pt idx="332">
                  <c:v>44337</c:v>
                </c:pt>
                <c:pt idx="333">
                  <c:v>44340</c:v>
                </c:pt>
                <c:pt idx="334">
                  <c:v>44341</c:v>
                </c:pt>
                <c:pt idx="335">
                  <c:v>44342</c:v>
                </c:pt>
                <c:pt idx="336">
                  <c:v>44343</c:v>
                </c:pt>
                <c:pt idx="337">
                  <c:v>44344</c:v>
                </c:pt>
                <c:pt idx="338">
                  <c:v>44347</c:v>
                </c:pt>
                <c:pt idx="339">
                  <c:v>44348</c:v>
                </c:pt>
                <c:pt idx="340">
                  <c:v>44349</c:v>
                </c:pt>
                <c:pt idx="341">
                  <c:v>44350</c:v>
                </c:pt>
                <c:pt idx="342">
                  <c:v>44351</c:v>
                </c:pt>
                <c:pt idx="343">
                  <c:v>44354</c:v>
                </c:pt>
                <c:pt idx="344">
                  <c:v>44355</c:v>
                </c:pt>
                <c:pt idx="345">
                  <c:v>44356</c:v>
                </c:pt>
                <c:pt idx="346">
                  <c:v>44357</c:v>
                </c:pt>
                <c:pt idx="347">
                  <c:v>44358</c:v>
                </c:pt>
                <c:pt idx="348">
                  <c:v>44362</c:v>
                </c:pt>
                <c:pt idx="349">
                  <c:v>44363</c:v>
                </c:pt>
                <c:pt idx="350">
                  <c:v>44364</c:v>
                </c:pt>
                <c:pt idx="351">
                  <c:v>44365</c:v>
                </c:pt>
                <c:pt idx="352">
                  <c:v>44368</c:v>
                </c:pt>
                <c:pt idx="353">
                  <c:v>44369</c:v>
                </c:pt>
                <c:pt idx="354">
                  <c:v>44370</c:v>
                </c:pt>
                <c:pt idx="355">
                  <c:v>44371</c:v>
                </c:pt>
                <c:pt idx="356">
                  <c:v>44372</c:v>
                </c:pt>
                <c:pt idx="357">
                  <c:v>44375</c:v>
                </c:pt>
                <c:pt idx="358">
                  <c:v>44376</c:v>
                </c:pt>
                <c:pt idx="359">
                  <c:v>44377</c:v>
                </c:pt>
                <c:pt idx="360" formatCode="m/d/yyyy">
                  <c:v>44378</c:v>
                </c:pt>
                <c:pt idx="361" formatCode="m/d/yyyy">
                  <c:v>44379</c:v>
                </c:pt>
                <c:pt idx="362" formatCode="m/d/yyyy">
                  <c:v>44382</c:v>
                </c:pt>
                <c:pt idx="363" formatCode="m/d/yyyy">
                  <c:v>44383</c:v>
                </c:pt>
                <c:pt idx="364" formatCode="m/d/yyyy">
                  <c:v>44384</c:v>
                </c:pt>
                <c:pt idx="365" formatCode="m/d/yyyy">
                  <c:v>44385</c:v>
                </c:pt>
                <c:pt idx="366" formatCode="m/d/yyyy">
                  <c:v>44386</c:v>
                </c:pt>
                <c:pt idx="367" formatCode="m/d/yyyy">
                  <c:v>44389</c:v>
                </c:pt>
                <c:pt idx="368" formatCode="m/d/yyyy">
                  <c:v>44390</c:v>
                </c:pt>
                <c:pt idx="369" formatCode="m/d/yyyy">
                  <c:v>44391</c:v>
                </c:pt>
                <c:pt idx="370" formatCode="m/d/yyyy">
                  <c:v>44392</c:v>
                </c:pt>
                <c:pt idx="371" formatCode="m/d/yyyy">
                  <c:v>44393</c:v>
                </c:pt>
                <c:pt idx="372" formatCode="m/d/yyyy">
                  <c:v>44396</c:v>
                </c:pt>
                <c:pt idx="373" formatCode="m/d/yyyy">
                  <c:v>44397</c:v>
                </c:pt>
                <c:pt idx="374" formatCode="m/d/yyyy">
                  <c:v>44398</c:v>
                </c:pt>
                <c:pt idx="375" formatCode="m/d/yyyy">
                  <c:v>44399</c:v>
                </c:pt>
                <c:pt idx="376" formatCode="m/d/yyyy">
                  <c:v>44400</c:v>
                </c:pt>
                <c:pt idx="377" formatCode="m/d/yyyy">
                  <c:v>44403</c:v>
                </c:pt>
                <c:pt idx="378" formatCode="m/d/yyyy">
                  <c:v>44404</c:v>
                </c:pt>
                <c:pt idx="379" formatCode="m/d/yyyy">
                  <c:v>44405</c:v>
                </c:pt>
                <c:pt idx="380" formatCode="m/d/yyyy">
                  <c:v>44406</c:v>
                </c:pt>
                <c:pt idx="381" formatCode="m/d/yyyy">
                  <c:v>44407</c:v>
                </c:pt>
              </c:numCache>
            </c:numRef>
          </c:cat>
          <c:val>
            <c:numRef>
              <c:f>Sheet2!$F$2:$F$1248</c:f>
              <c:numCache>
                <c:formatCode>#,##0.0000_ </c:formatCode>
                <c:ptCount val="321"/>
                <c:pt idx="0">
                  <c:v>1</c:v>
                </c:pt>
                <c:pt idx="1">
                  <c:v>1.002667</c:v>
                </c:pt>
                <c:pt idx="2">
                  <c:v>1.0000184999999999</c:v>
                </c:pt>
                <c:pt idx="3">
                  <c:v>0.99751599999999996</c:v>
                </c:pt>
                <c:pt idx="4">
                  <c:v>0.99776849999999995</c:v>
                </c:pt>
                <c:pt idx="5">
                  <c:v>1.0024755000000001</c:v>
                </c:pt>
                <c:pt idx="6">
                  <c:v>1.0033434999999999</c:v>
                </c:pt>
                <c:pt idx="7">
                  <c:v>1.0055274999999999</c:v>
                </c:pt>
                <c:pt idx="8">
                  <c:v>1.0071334999999999</c:v>
                </c:pt>
                <c:pt idx="9">
                  <c:v>1.0069414999999999</c:v>
                </c:pt>
                <c:pt idx="10">
                  <c:v>1.013674</c:v>
                </c:pt>
                <c:pt idx="11">
                  <c:v>1.0185284999999999</c:v>
                </c:pt>
                <c:pt idx="12">
                  <c:v>1.015101</c:v>
                </c:pt>
                <c:pt idx="13">
                  <c:v>1.0082184999999999</c:v>
                </c:pt>
                <c:pt idx="14">
                  <c:v>1.0166139999999999</c:v>
                </c:pt>
                <c:pt idx="15">
                  <c:v>1.002982</c:v>
                </c:pt>
                <c:pt idx="16">
                  <c:v>0.97943400000000003</c:v>
                </c:pt>
                <c:pt idx="17">
                  <c:v>0.98610450000000005</c:v>
                </c:pt>
                <c:pt idx="18">
                  <c:v>0.98635349999999999</c:v>
                </c:pt>
                <c:pt idx="19">
                  <c:v>0.98162799999999995</c:v>
                </c:pt>
                <c:pt idx="20">
                  <c:v>0.98482700000000001</c:v>
                </c:pt>
                <c:pt idx="21">
                  <c:v>0.99187700000000001</c:v>
                </c:pt>
                <c:pt idx="22">
                  <c:v>0.99389799999999995</c:v>
                </c:pt>
                <c:pt idx="23">
                  <c:v>0.99204499999999995</c:v>
                </c:pt>
                <c:pt idx="24">
                  <c:v>0.99555199999999999</c:v>
                </c:pt>
                <c:pt idx="25">
                  <c:v>0.99469200000000002</c:v>
                </c:pt>
                <c:pt idx="26">
                  <c:v>0.994197</c:v>
                </c:pt>
                <c:pt idx="27">
                  <c:v>0.99345249999999996</c:v>
                </c:pt>
                <c:pt idx="28">
                  <c:v>0.99164600000000003</c:v>
                </c:pt>
                <c:pt idx="29">
                  <c:v>0.9890215</c:v>
                </c:pt>
                <c:pt idx="30">
                  <c:v>0.98329650000000002</c:v>
                </c:pt>
                <c:pt idx="31">
                  <c:v>0.98178650000000001</c:v>
                </c:pt>
                <c:pt idx="32">
                  <c:v>0.98049249999999999</c:v>
                </c:pt>
                <c:pt idx="33">
                  <c:v>0.99092049999999998</c:v>
                </c:pt>
                <c:pt idx="34">
                  <c:v>0.97338049999999998</c:v>
                </c:pt>
                <c:pt idx="35">
                  <c:v>0.97813050000000001</c:v>
                </c:pt>
                <c:pt idx="36">
                  <c:v>0.97908899999999999</c:v>
                </c:pt>
                <c:pt idx="37">
                  <c:v>0.97601400000000005</c:v>
                </c:pt>
                <c:pt idx="38">
                  <c:v>0.97272599999999998</c:v>
                </c:pt>
                <c:pt idx="39">
                  <c:v>0.96780949999999999</c:v>
                </c:pt>
                <c:pt idx="40">
                  <c:v>0.95079599999999997</c:v>
                </c:pt>
                <c:pt idx="41">
                  <c:v>0.95211250000000003</c:v>
                </c:pt>
                <c:pt idx="42">
                  <c:v>0.94986000000000004</c:v>
                </c:pt>
                <c:pt idx="43">
                  <c:v>0.92508049999999997</c:v>
                </c:pt>
                <c:pt idx="44">
                  <c:v>0.89488350000000005</c:v>
                </c:pt>
                <c:pt idx="45">
                  <c:v>0.84355599999999997</c:v>
                </c:pt>
                <c:pt idx="46">
                  <c:v>0.85047150000000005</c:v>
                </c:pt>
                <c:pt idx="47">
                  <c:v>0.91283950000000003</c:v>
                </c:pt>
                <c:pt idx="48">
                  <c:v>0.89611249999999998</c:v>
                </c:pt>
                <c:pt idx="49">
                  <c:v>0.94597299999999995</c:v>
                </c:pt>
                <c:pt idx="50">
                  <c:v>0.90070600000000001</c:v>
                </c:pt>
                <c:pt idx="51">
                  <c:v>0.92038799999999998</c:v>
                </c:pt>
                <c:pt idx="52">
                  <c:v>0.920126</c:v>
                </c:pt>
                <c:pt idx="53">
                  <c:v>0.9235295</c:v>
                </c:pt>
                <c:pt idx="54">
                  <c:v>0.92015899999999995</c:v>
                </c:pt>
                <c:pt idx="55">
                  <c:v>0.94695149999999995</c:v>
                </c:pt>
                <c:pt idx="56">
                  <c:v>0.964808</c:v>
                </c:pt>
                <c:pt idx="57">
                  <c:v>0.98422549999999998</c:v>
                </c:pt>
                <c:pt idx="58">
                  <c:v>0.99982850000000001</c:v>
                </c:pt>
                <c:pt idx="59">
                  <c:v>0.99475000000000002</c:v>
                </c:pt>
                <c:pt idx="60">
                  <c:v>1.0155315</c:v>
                </c:pt>
                <c:pt idx="61">
                  <c:v>1.0320864999999999</c:v>
                </c:pt>
                <c:pt idx="62">
                  <c:v>1.0273825000000001</c:v>
                </c:pt>
                <c:pt idx="63">
                  <c:v>1.0189075000000001</c:v>
                </c:pt>
                <c:pt idx="64">
                  <c:v>1.0037720000000001</c:v>
                </c:pt>
                <c:pt idx="65">
                  <c:v>0.99379550000000005</c:v>
                </c:pt>
                <c:pt idx="66">
                  <c:v>1.0011540000000001</c:v>
                </c:pt>
                <c:pt idx="67">
                  <c:v>0.99774099999999999</c:v>
                </c:pt>
                <c:pt idx="68">
                  <c:v>0.9971835</c:v>
                </c:pt>
                <c:pt idx="69">
                  <c:v>0.99542299999999995</c:v>
                </c:pt>
                <c:pt idx="70">
                  <c:v>0.99629699999999999</c:v>
                </c:pt>
                <c:pt idx="71">
                  <c:v>0.99370049999999999</c:v>
                </c:pt>
                <c:pt idx="72">
                  <c:v>0.99060349999999997</c:v>
                </c:pt>
                <c:pt idx="73">
                  <c:v>0.98825050000000003</c:v>
                </c:pt>
                <c:pt idx="74">
                  <c:v>0.98351849999999996</c:v>
                </c:pt>
                <c:pt idx="75">
                  <c:v>0.98088200000000003</c:v>
                </c:pt>
                <c:pt idx="76">
                  <c:v>0.98204749999999996</c:v>
                </c:pt>
                <c:pt idx="77">
                  <c:v>0.982464</c:v>
                </c:pt>
                <c:pt idx="78">
                  <c:v>0.97524250000000001</c:v>
                </c:pt>
                <c:pt idx="79">
                  <c:v>0.97135000000000005</c:v>
                </c:pt>
                <c:pt idx="80">
                  <c:v>0.96644850000000004</c:v>
                </c:pt>
                <c:pt idx="81">
                  <c:v>0.96496999999999999</c:v>
                </c:pt>
                <c:pt idx="82">
                  <c:v>0.9659915</c:v>
                </c:pt>
                <c:pt idx="83">
                  <c:v>0.96451699999999996</c:v>
                </c:pt>
                <c:pt idx="84">
                  <c:v>0.96586099999999997</c:v>
                </c:pt>
                <c:pt idx="85">
                  <c:v>0.96408749999999999</c:v>
                </c:pt>
                <c:pt idx="86">
                  <c:v>0.96064400000000005</c:v>
                </c:pt>
                <c:pt idx="87">
                  <c:v>0.95826500000000003</c:v>
                </c:pt>
                <c:pt idx="88">
                  <c:v>0.95650800000000002</c:v>
                </c:pt>
                <c:pt idx="89">
                  <c:v>0.95910200000000001</c:v>
                </c:pt>
                <c:pt idx="90">
                  <c:v>0.97233449999999999</c:v>
                </c:pt>
                <c:pt idx="91">
                  <c:v>0.98324549999999999</c:v>
                </c:pt>
                <c:pt idx="92">
                  <c:v>0.98560300000000001</c:v>
                </c:pt>
                <c:pt idx="93">
                  <c:v>0.98280000000000001</c:v>
                </c:pt>
                <c:pt idx="94">
                  <c:v>0.98167800000000005</c:v>
                </c:pt>
                <c:pt idx="95">
                  <c:v>0.98032699999999995</c:v>
                </c:pt>
                <c:pt idx="96">
                  <c:v>0.98629299999999998</c:v>
                </c:pt>
                <c:pt idx="97">
                  <c:v>0.989371</c:v>
                </c:pt>
                <c:pt idx="98">
                  <c:v>0.98916349999999997</c:v>
                </c:pt>
                <c:pt idx="99">
                  <c:v>0.98809800000000003</c:v>
                </c:pt>
                <c:pt idx="100">
                  <c:v>0.99349050000000005</c:v>
                </c:pt>
                <c:pt idx="101">
                  <c:v>0.99544650000000001</c:v>
                </c:pt>
                <c:pt idx="102">
                  <c:v>0.99572899999999998</c:v>
                </c:pt>
                <c:pt idx="103">
                  <c:v>0.99399599999999999</c:v>
                </c:pt>
                <c:pt idx="104">
                  <c:v>0.98987550000000002</c:v>
                </c:pt>
                <c:pt idx="105">
                  <c:v>0.99093500000000001</c:v>
                </c:pt>
                <c:pt idx="106">
                  <c:v>0.98453349999999995</c:v>
                </c:pt>
                <c:pt idx="107">
                  <c:v>0.99097749999999996</c:v>
                </c:pt>
                <c:pt idx="108">
                  <c:v>0.99119500000000005</c:v>
                </c:pt>
                <c:pt idx="109">
                  <c:v>0.99196799999999996</c:v>
                </c:pt>
                <c:pt idx="110">
                  <c:v>0.99242900000000001</c:v>
                </c:pt>
                <c:pt idx="111">
                  <c:v>0.99202299999999999</c:v>
                </c:pt>
                <c:pt idx="112">
                  <c:v>0.99031499999999995</c:v>
                </c:pt>
                <c:pt idx="113">
                  <c:v>0.996699</c:v>
                </c:pt>
                <c:pt idx="114">
                  <c:v>1.007374</c:v>
                </c:pt>
                <c:pt idx="115">
                  <c:v>1.0138020000000001</c:v>
                </c:pt>
                <c:pt idx="116">
                  <c:v>1.009806</c:v>
                </c:pt>
                <c:pt idx="117">
                  <c:v>0.99957399999999996</c:v>
                </c:pt>
                <c:pt idx="118">
                  <c:v>0.995421</c:v>
                </c:pt>
                <c:pt idx="119">
                  <c:v>0.93614549999999996</c:v>
                </c:pt>
                <c:pt idx="120">
                  <c:v>0.99828050000000002</c:v>
                </c:pt>
                <c:pt idx="121">
                  <c:v>0.97819900000000004</c:v>
                </c:pt>
                <c:pt idx="122">
                  <c:v>0.97661900000000001</c:v>
                </c:pt>
                <c:pt idx="123">
                  <c:v>0.97119500000000003</c:v>
                </c:pt>
                <c:pt idx="124">
                  <c:v>1.0121045</c:v>
                </c:pt>
                <c:pt idx="125">
                  <c:v>1.0140670000000001</c:v>
                </c:pt>
                <c:pt idx="126">
                  <c:v>1.0119069999999999</c:v>
                </c:pt>
                <c:pt idx="127">
                  <c:v>0.96011599999999997</c:v>
                </c:pt>
                <c:pt idx="128">
                  <c:v>1.0046444999999999</c:v>
                </c:pt>
                <c:pt idx="129">
                  <c:v>0.99831150000000002</c:v>
                </c:pt>
                <c:pt idx="130">
                  <c:v>1.0126875</c:v>
                </c:pt>
                <c:pt idx="131">
                  <c:v>1.0146964999999999</c:v>
                </c:pt>
                <c:pt idx="132">
                  <c:v>1.0110144999999999</c:v>
                </c:pt>
                <c:pt idx="133">
                  <c:v>0.97203899999999999</c:v>
                </c:pt>
                <c:pt idx="134">
                  <c:v>0.99471050000000005</c:v>
                </c:pt>
                <c:pt idx="135">
                  <c:v>1.0017244999999999</c:v>
                </c:pt>
                <c:pt idx="136">
                  <c:v>0.99723899999999999</c:v>
                </c:pt>
                <c:pt idx="137">
                  <c:v>0.99698299999999995</c:v>
                </c:pt>
                <c:pt idx="138">
                  <c:v>0.99407699999999999</c:v>
                </c:pt>
                <c:pt idx="139">
                  <c:v>1.0025025000000001</c:v>
                </c:pt>
                <c:pt idx="140">
                  <c:v>1.0083549999999999</c:v>
                </c:pt>
                <c:pt idx="141">
                  <c:v>1.006087</c:v>
                </c:pt>
                <c:pt idx="142">
                  <c:v>1.013949</c:v>
                </c:pt>
                <c:pt idx="143">
                  <c:v>1.0319615</c:v>
                </c:pt>
                <c:pt idx="144">
                  <c:v>1.0429619999999999</c:v>
                </c:pt>
                <c:pt idx="145">
                  <c:v>1.0548995000000001</c:v>
                </c:pt>
                <c:pt idx="146">
                  <c:v>1.0691885000000001</c:v>
                </c:pt>
                <c:pt idx="147">
                  <c:v>1.0739795000000001</c:v>
                </c:pt>
                <c:pt idx="148">
                  <c:v>1.0734385</c:v>
                </c:pt>
                <c:pt idx="149">
                  <c:v>1.0591159999999999</c:v>
                </c:pt>
                <c:pt idx="150">
                  <c:v>1.068791</c:v>
                </c:pt>
                <c:pt idx="151">
                  <c:v>1.0729569999999999</c:v>
                </c:pt>
                <c:pt idx="152">
                  <c:v>1.0801149999999999</c:v>
                </c:pt>
                <c:pt idx="153">
                  <c:v>1.0812984999999999</c:v>
                </c:pt>
                <c:pt idx="154">
                  <c:v>1.0964449999999999</c:v>
                </c:pt>
                <c:pt idx="155">
                  <c:v>1.1023594999999999</c:v>
                </c:pt>
                <c:pt idx="156">
                  <c:v>1.0986015</c:v>
                </c:pt>
                <c:pt idx="157">
                  <c:v>1.108905</c:v>
                </c:pt>
                <c:pt idx="158">
                  <c:v>1.0921274999999999</c:v>
                </c:pt>
                <c:pt idx="159">
                  <c:v>1.0944370000000001</c:v>
                </c:pt>
                <c:pt idx="160">
                  <c:v>1.1003149999999999</c:v>
                </c:pt>
                <c:pt idx="161">
                  <c:v>1.0975375000000001</c:v>
                </c:pt>
                <c:pt idx="162">
                  <c:v>1.10378</c:v>
                </c:pt>
                <c:pt idx="163">
                  <c:v>1.1038665000000001</c:v>
                </c:pt>
                <c:pt idx="164">
                  <c:v>1.1065665</c:v>
                </c:pt>
                <c:pt idx="165">
                  <c:v>1.1058515</c:v>
                </c:pt>
                <c:pt idx="166">
                  <c:v>1.097254</c:v>
                </c:pt>
                <c:pt idx="167">
                  <c:v>1.1081570000000001</c:v>
                </c:pt>
                <c:pt idx="168">
                  <c:v>1.1169169999999999</c:v>
                </c:pt>
                <c:pt idx="169">
                  <c:v>1.1244665</c:v>
                </c:pt>
                <c:pt idx="170">
                  <c:v>1.1272435000000001</c:v>
                </c:pt>
                <c:pt idx="171">
                  <c:v>1.1286849999999999</c:v>
                </c:pt>
                <c:pt idx="172">
                  <c:v>1.1267505</c:v>
                </c:pt>
                <c:pt idx="173">
                  <c:v>1.1170850000000001</c:v>
                </c:pt>
                <c:pt idx="174">
                  <c:v>1.1146855</c:v>
                </c:pt>
                <c:pt idx="175">
                  <c:v>1.112733</c:v>
                </c:pt>
                <c:pt idx="176">
                  <c:v>1.1178779999999999</c:v>
                </c:pt>
                <c:pt idx="177">
                  <c:v>1.1111825</c:v>
                </c:pt>
                <c:pt idx="178">
                  <c:v>1.1117414999999999</c:v>
                </c:pt>
                <c:pt idx="179">
                  <c:v>1.1117600000000001</c:v>
                </c:pt>
                <c:pt idx="180">
                  <c:v>1.1034195</c:v>
                </c:pt>
                <c:pt idx="181">
                  <c:v>1.1005484999999999</c:v>
                </c:pt>
                <c:pt idx="182">
                  <c:v>1.1598245</c:v>
                </c:pt>
                <c:pt idx="183">
                  <c:v>1.1483100000000008</c:v>
                </c:pt>
                <c:pt idx="184">
                  <c:v>1.1524530000000008</c:v>
                </c:pt>
                <c:pt idx="185">
                  <c:v>1.1562465000000008</c:v>
                </c:pt>
                <c:pt idx="186">
                  <c:v>1.1591205000000009</c:v>
                </c:pt>
                <c:pt idx="187">
                  <c:v>1.1641550000000009</c:v>
                </c:pt>
                <c:pt idx="188">
                  <c:v>1.1729995000000009</c:v>
                </c:pt>
                <c:pt idx="189">
                  <c:v>1.177329000000001</c:v>
                </c:pt>
                <c:pt idx="190">
                  <c:v>1.177272000000001</c:v>
                </c:pt>
                <c:pt idx="191">
                  <c:v>1.1767155000000009</c:v>
                </c:pt>
                <c:pt idx="192">
                  <c:v>1.1766580000000009</c:v>
                </c:pt>
                <c:pt idx="193">
                  <c:v>1.177911000000001</c:v>
                </c:pt>
                <c:pt idx="194">
                  <c:v>1.1784830000000008</c:v>
                </c:pt>
                <c:pt idx="195">
                  <c:v>1.179893000000001</c:v>
                </c:pt>
                <c:pt idx="196">
                  <c:v>1.1804560000000008</c:v>
                </c:pt>
                <c:pt idx="197">
                  <c:v>1.1771285000000009</c:v>
                </c:pt>
                <c:pt idx="198">
                  <c:v>1.1774510000000009</c:v>
                </c:pt>
                <c:pt idx="199">
                  <c:v>1.1760270000000008</c:v>
                </c:pt>
                <c:pt idx="200">
                  <c:v>1.182430000000001</c:v>
                </c:pt>
                <c:pt idx="201">
                  <c:v>1.1853535000000008</c:v>
                </c:pt>
                <c:pt idx="202">
                  <c:v>1.1877835000000001</c:v>
                </c:pt>
                <c:pt idx="203">
                  <c:v>1.1866565000000009</c:v>
                </c:pt>
                <c:pt idx="204">
                  <c:v>1.1874760000000009</c:v>
                </c:pt>
                <c:pt idx="205">
                  <c:v>1.1910054999999999</c:v>
                </c:pt>
                <c:pt idx="206">
                  <c:v>1.194873500000001</c:v>
                </c:pt>
                <c:pt idx="207">
                  <c:v>1.1895560000000009</c:v>
                </c:pt>
                <c:pt idx="208">
                  <c:v>1.192617500000001</c:v>
                </c:pt>
                <c:pt idx="209">
                  <c:v>1.195489500000001</c:v>
                </c:pt>
                <c:pt idx="210">
                  <c:v>1.1948340000000008</c:v>
                </c:pt>
                <c:pt idx="211">
                  <c:v>1.1943470000000009</c:v>
                </c:pt>
                <c:pt idx="212">
                  <c:v>1.1984830000000009</c:v>
                </c:pt>
                <c:pt idx="213">
                  <c:v>1.1971425000000009</c:v>
                </c:pt>
                <c:pt idx="214">
                  <c:v>1.197821500000001</c:v>
                </c:pt>
                <c:pt idx="215">
                  <c:v>1.1994805000000008</c:v>
                </c:pt>
                <c:pt idx="216">
                  <c:v>1.204617500000001</c:v>
                </c:pt>
                <c:pt idx="217">
                  <c:v>1.200755500000001</c:v>
                </c:pt>
                <c:pt idx="218">
                  <c:v>1.201528000000001</c:v>
                </c:pt>
                <c:pt idx="219">
                  <c:v>1.189045557500001</c:v>
                </c:pt>
                <c:pt idx="220">
                  <c:v>1.1899605295000011</c:v>
                </c:pt>
                <c:pt idx="221">
                  <c:v>1.1919164510000011</c:v>
                </c:pt>
                <c:pt idx="222">
                  <c:v>1.1965994210000011</c:v>
                </c:pt>
                <c:pt idx="223">
                  <c:v>1.2023685220000011</c:v>
                </c:pt>
                <c:pt idx="224">
                  <c:v>1.2079884555000011</c:v>
                </c:pt>
                <c:pt idx="225">
                  <c:v>1.2131014290000008</c:v>
                </c:pt>
                <c:pt idx="226">
                  <c:v>1.216336817000002</c:v>
                </c:pt>
                <c:pt idx="227">
                  <c:v>1.2157001125000009</c:v>
                </c:pt>
                <c:pt idx="228">
                  <c:v>1.2188250285000009</c:v>
                </c:pt>
                <c:pt idx="229">
                  <c:v>1.2197390580000009</c:v>
                </c:pt>
                <c:pt idx="230">
                  <c:v>1.2196594210000011</c:v>
                </c:pt>
                <c:pt idx="231">
                  <c:v>1.2178440470000009</c:v>
                </c:pt>
                <c:pt idx="232">
                  <c:v>1.2197125400000011</c:v>
                </c:pt>
                <c:pt idx="233">
                  <c:v>1.218069776000001</c:v>
                </c:pt>
                <c:pt idx="234">
                  <c:v>1.2185636940000011</c:v>
                </c:pt>
                <c:pt idx="235">
                  <c:v>1.218678587500001</c:v>
                </c:pt>
                <c:pt idx="236">
                  <c:v>1.2206404870000009</c:v>
                </c:pt>
                <c:pt idx="237">
                  <c:v>1.2210897670000009</c:v>
                </c:pt>
                <c:pt idx="238">
                  <c:v>1.221802962000001</c:v>
                </c:pt>
                <c:pt idx="239">
                  <c:v>1.221678470000001</c:v>
                </c:pt>
                <c:pt idx="240">
                  <c:v>1.220492412500001</c:v>
                </c:pt>
                <c:pt idx="241">
                  <c:v>1.2173348190000011</c:v>
                </c:pt>
                <c:pt idx="242">
                  <c:v>1.2177976865000011</c:v>
                </c:pt>
                <c:pt idx="243">
                  <c:v>1.2175193895000009</c:v>
                </c:pt>
                <c:pt idx="244">
                  <c:v>1.212061743500001</c:v>
                </c:pt>
                <c:pt idx="245">
                  <c:v>1.192966031500001</c:v>
                </c:pt>
                <c:pt idx="246">
                  <c:v>1.199399531500001</c:v>
                </c:pt>
                <c:pt idx="247">
                  <c:v>1.230730318481968</c:v>
                </c:pt>
                <c:pt idx="248">
                  <c:v>1.1694842649407631</c:v>
                </c:pt>
                <c:pt idx="249">
                  <c:v>1.1792933784880661</c:v>
                </c:pt>
                <c:pt idx="250">
                  <c:v>1.1801209015968972</c:v>
                </c:pt>
                <c:pt idx="251">
                  <c:v>1.193009885487978</c:v>
                </c:pt>
                <c:pt idx="252">
                  <c:v>1.1975861559566221</c:v>
                </c:pt>
                <c:pt idx="253">
                  <c:v>1.1973096736245801</c:v>
                </c:pt>
                <c:pt idx="254">
                  <c:v>1.1994763692314592</c:v>
                </c:pt>
                <c:pt idx="255">
                  <c:v>1.1965410097330231</c:v>
                </c:pt>
                <c:pt idx="256">
                  <c:v>1.205862601050115</c:v>
                </c:pt>
                <c:pt idx="257">
                  <c:v>1.20541127919</c:v>
                </c:pt>
                <c:pt idx="258">
                  <c:v>1.2012216106616511</c:v>
                </c:pt>
                <c:pt idx="259">
                  <c:v>1.2032179400210672</c:v>
                </c:pt>
                <c:pt idx="260">
                  <c:v>1.198369294995137</c:v>
                </c:pt>
                <c:pt idx="261">
                  <c:v>1.1976860535680021</c:v>
                </c:pt>
                <c:pt idx="262">
                  <c:v>1.2016743644987702</c:v>
                </c:pt>
                <c:pt idx="263">
                  <c:v>1.2097172106496932</c:v>
                </c:pt>
                <c:pt idx="264">
                  <c:v>1.2154297273008912</c:v>
                </c:pt>
                <c:pt idx="265">
                  <c:v>1.2148412874930161</c:v>
                </c:pt>
                <c:pt idx="266">
                  <c:v>1.2120706770815621</c:v>
                </c:pt>
                <c:pt idx="267">
                  <c:v>1.2156395310591581</c:v>
                </c:pt>
                <c:pt idx="268">
                  <c:v>1.220025573076555</c:v>
                </c:pt>
                <c:pt idx="269">
                  <c:v>1.2111807571572071</c:v>
                </c:pt>
                <c:pt idx="270">
                  <c:v>1.2334986823839291</c:v>
                </c:pt>
                <c:pt idx="271">
                  <c:v>1.2481109735992981</c:v>
                </c:pt>
                <c:pt idx="272">
                  <c:v>1.2366241659754831</c:v>
                </c:pt>
                <c:pt idx="273">
                  <c:v>1.2379733291021362</c:v>
                </c:pt>
                <c:pt idx="274">
                  <c:v>1.230630682952226</c:v>
                </c:pt>
                <c:pt idx="275">
                  <c:v>1.2332336248586502</c:v>
                </c:pt>
                <c:pt idx="276">
                  <c:v>1.2490927557386702</c:v>
                </c:pt>
                <c:pt idx="277">
                  <c:v>1.2653969022482532</c:v>
                </c:pt>
                <c:pt idx="278">
                  <c:v>1.2638129175636501</c:v>
                </c:pt>
                <c:pt idx="279">
                  <c:v>1.2689620572816351</c:v>
                </c:pt>
                <c:pt idx="280">
                  <c:v>1.2839745086279051</c:v>
                </c:pt>
                <c:pt idx="281">
                  <c:v>1.2834118664241001</c:v>
                </c:pt>
                <c:pt idx="282">
                  <c:v>1.2441835944399962</c:v>
                </c:pt>
                <c:pt idx="283">
                  <c:v>1.2479459883588901</c:v>
                </c:pt>
                <c:pt idx="284">
                  <c:v>1.2641198621096601</c:v>
                </c:pt>
                <c:pt idx="285">
                  <c:v>1.264815251525248</c:v>
                </c:pt>
                <c:pt idx="286">
                  <c:v>1.2731524851226601</c:v>
                </c:pt>
                <c:pt idx="287">
                  <c:v>1.2779273193564351</c:v>
                </c:pt>
                <c:pt idx="288">
                  <c:v>1.2744292490313212</c:v>
                </c:pt>
                <c:pt idx="289">
                  <c:v>1.2761986717652032</c:v>
                </c:pt>
                <c:pt idx="290">
                  <c:v>1.2694827105827511</c:v>
                </c:pt>
                <c:pt idx="291">
                  <c:v>1.2827569426083172</c:v>
                </c:pt>
                <c:pt idx="292">
                  <c:v>1.266941716978762</c:v>
                </c:pt>
                <c:pt idx="293">
                  <c:v>1.2555725214778291</c:v>
                </c:pt>
                <c:pt idx="294">
                  <c:v>1.2696528616179632</c:v>
                </c:pt>
                <c:pt idx="295">
                  <c:v>1.2628206740793402</c:v>
                </c:pt>
                <c:pt idx="296">
                  <c:v>1.2604392679892451</c:v>
                </c:pt>
                <c:pt idx="297">
                  <c:v>1.254317650072573</c:v>
                </c:pt>
                <c:pt idx="298">
                  <c:v>1.251969848999271</c:v>
                </c:pt>
                <c:pt idx="299">
                  <c:v>1.2524871694212052</c:v>
                </c:pt>
                <c:pt idx="300">
                  <c:v>1.2480962165061051</c:v>
                </c:pt>
                <c:pt idx="301">
                  <c:v>1.2470457273699551</c:v>
                </c:pt>
                <c:pt idx="302">
                  <c:v>1.2445909273699551</c:v>
                </c:pt>
                <c:pt idx="303">
                  <c:v>1.2428752273699553</c:v>
                </c:pt>
                <c:pt idx="304">
                  <c:v>1.2396055273699551</c:v>
                </c:pt>
                <c:pt idx="305">
                  <c:v>1.2421859273699551</c:v>
                </c:pt>
                <c:pt idx="306">
                  <c:v>1.2482827273699553</c:v>
                </c:pt>
                <c:pt idx="307">
                  <c:v>1.2442963273699552</c:v>
                </c:pt>
                <c:pt idx="308">
                  <c:v>1.2407488273699552</c:v>
                </c:pt>
                <c:pt idx="309">
                  <c:v>1.2409297273699551</c:v>
                </c:pt>
                <c:pt idx="310">
                  <c:v>1.2366452273699551</c:v>
                </c:pt>
                <c:pt idx="311">
                  <c:v>1.2504594273699552</c:v>
                </c:pt>
                <c:pt idx="312">
                  <c:v>1.2493089273699551</c:v>
                </c:pt>
                <c:pt idx="313">
                  <c:v>1.2482200273699551</c:v>
                </c:pt>
                <c:pt idx="314">
                  <c:v>1.2480851273699551</c:v>
                </c:pt>
                <c:pt idx="315">
                  <c:v>1.2479164273699552</c:v>
                </c:pt>
                <c:pt idx="316">
                  <c:v>1.2487536273699551</c:v>
                </c:pt>
                <c:pt idx="317">
                  <c:v>1.2509713273699552</c:v>
                </c:pt>
                <c:pt idx="318">
                  <c:v>1.2534263273699551</c:v>
                </c:pt>
                <c:pt idx="319">
                  <c:v>1.2545396273699552</c:v>
                </c:pt>
                <c:pt idx="320">
                  <c:v>1.2555740273699552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1-4D0A-8DAB-891776E13291}"/>
            </c:ext>
          </c:extLst>
        </c:ser>
        <c:ser>
          <c:idx val="1"/>
          <c:order val="1"/>
          <c:tx>
            <c:strRef>
              <c:f>Sheet2!$G$1</c:f>
              <c:strCache>
                <c:ptCount val="1"/>
                <c:pt idx="0">
                  <c:v>2:30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Sheet2!$A$2:$A$1309</c:f>
              <c:numCache>
                <c:formatCode>yyyy\-mm\-dd;@</c:formatCode>
                <c:ptCount val="382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43892</c:v>
                </c:pt>
                <c:pt idx="36">
                  <c:v>43893</c:v>
                </c:pt>
                <c:pt idx="37">
                  <c:v>43894</c:v>
                </c:pt>
                <c:pt idx="38">
                  <c:v>43895</c:v>
                </c:pt>
                <c:pt idx="39">
                  <c:v>43896</c:v>
                </c:pt>
                <c:pt idx="40">
                  <c:v>43899</c:v>
                </c:pt>
                <c:pt idx="41">
                  <c:v>43900</c:v>
                </c:pt>
                <c:pt idx="42">
                  <c:v>43901</c:v>
                </c:pt>
                <c:pt idx="43">
                  <c:v>43902</c:v>
                </c:pt>
                <c:pt idx="44">
                  <c:v>43903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43913</c:v>
                </c:pt>
                <c:pt idx="51">
                  <c:v>43914</c:v>
                </c:pt>
                <c:pt idx="52">
                  <c:v>43915</c:v>
                </c:pt>
                <c:pt idx="53">
                  <c:v>43916</c:v>
                </c:pt>
                <c:pt idx="54">
                  <c:v>43917</c:v>
                </c:pt>
                <c:pt idx="55">
                  <c:v>43920</c:v>
                </c:pt>
                <c:pt idx="56">
                  <c:v>43921</c:v>
                </c:pt>
                <c:pt idx="57">
                  <c:v>43922</c:v>
                </c:pt>
                <c:pt idx="58">
                  <c:v>43923</c:v>
                </c:pt>
                <c:pt idx="59">
                  <c:v>43924</c:v>
                </c:pt>
                <c:pt idx="60">
                  <c:v>43928</c:v>
                </c:pt>
                <c:pt idx="61">
                  <c:v>43929</c:v>
                </c:pt>
                <c:pt idx="62">
                  <c:v>43930</c:v>
                </c:pt>
                <c:pt idx="63">
                  <c:v>43931</c:v>
                </c:pt>
                <c:pt idx="64">
                  <c:v>43934</c:v>
                </c:pt>
                <c:pt idx="65">
                  <c:v>43935</c:v>
                </c:pt>
                <c:pt idx="66">
                  <c:v>43936</c:v>
                </c:pt>
                <c:pt idx="67">
                  <c:v>43937</c:v>
                </c:pt>
                <c:pt idx="68">
                  <c:v>43938</c:v>
                </c:pt>
                <c:pt idx="69">
                  <c:v>43941</c:v>
                </c:pt>
                <c:pt idx="70">
                  <c:v>43942</c:v>
                </c:pt>
                <c:pt idx="71">
                  <c:v>43943</c:v>
                </c:pt>
                <c:pt idx="72">
                  <c:v>43944</c:v>
                </c:pt>
                <c:pt idx="73">
                  <c:v>43945</c:v>
                </c:pt>
                <c:pt idx="74">
                  <c:v>43948</c:v>
                </c:pt>
                <c:pt idx="75">
                  <c:v>43949</c:v>
                </c:pt>
                <c:pt idx="76">
                  <c:v>43950</c:v>
                </c:pt>
                <c:pt idx="77">
                  <c:v>43951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44011</c:v>
                </c:pt>
                <c:pt idx="115">
                  <c:v>44012</c:v>
                </c:pt>
                <c:pt idx="116">
                  <c:v>44013</c:v>
                </c:pt>
                <c:pt idx="117">
                  <c:v>44014</c:v>
                </c:pt>
                <c:pt idx="118">
                  <c:v>44015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44025</c:v>
                </c:pt>
                <c:pt idx="125">
                  <c:v>44026</c:v>
                </c:pt>
                <c:pt idx="126">
                  <c:v>44027</c:v>
                </c:pt>
                <c:pt idx="127">
                  <c:v>44028</c:v>
                </c:pt>
                <c:pt idx="128">
                  <c:v>44029</c:v>
                </c:pt>
                <c:pt idx="129">
                  <c:v>44032</c:v>
                </c:pt>
                <c:pt idx="130">
                  <c:v>44033</c:v>
                </c:pt>
                <c:pt idx="131">
                  <c:v>44034</c:v>
                </c:pt>
                <c:pt idx="132">
                  <c:v>44035</c:v>
                </c:pt>
                <c:pt idx="133">
                  <c:v>44036</c:v>
                </c:pt>
                <c:pt idx="134">
                  <c:v>44039</c:v>
                </c:pt>
                <c:pt idx="135">
                  <c:v>44040</c:v>
                </c:pt>
                <c:pt idx="136">
                  <c:v>44041</c:v>
                </c:pt>
                <c:pt idx="137">
                  <c:v>44042</c:v>
                </c:pt>
                <c:pt idx="138">
                  <c:v>44043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44053</c:v>
                </c:pt>
                <c:pt idx="145">
                  <c:v>44054</c:v>
                </c:pt>
                <c:pt idx="146">
                  <c:v>44055</c:v>
                </c:pt>
                <c:pt idx="147">
                  <c:v>44056</c:v>
                </c:pt>
                <c:pt idx="148">
                  <c:v>44057</c:v>
                </c:pt>
                <c:pt idx="149">
                  <c:v>44060</c:v>
                </c:pt>
                <c:pt idx="150">
                  <c:v>44061</c:v>
                </c:pt>
                <c:pt idx="151">
                  <c:v>44062</c:v>
                </c:pt>
                <c:pt idx="152">
                  <c:v>44063</c:v>
                </c:pt>
                <c:pt idx="153">
                  <c:v>44064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44074</c:v>
                </c:pt>
                <c:pt idx="160">
                  <c:v>44075</c:v>
                </c:pt>
                <c:pt idx="161">
                  <c:v>44076</c:v>
                </c:pt>
                <c:pt idx="162">
                  <c:v>44077</c:v>
                </c:pt>
                <c:pt idx="163">
                  <c:v>44078</c:v>
                </c:pt>
                <c:pt idx="164">
                  <c:v>44081</c:v>
                </c:pt>
                <c:pt idx="165">
                  <c:v>44082</c:v>
                </c:pt>
                <c:pt idx="166">
                  <c:v>44083</c:v>
                </c:pt>
                <c:pt idx="167">
                  <c:v>44084</c:v>
                </c:pt>
                <c:pt idx="168">
                  <c:v>44085</c:v>
                </c:pt>
                <c:pt idx="169">
                  <c:v>44088</c:v>
                </c:pt>
                <c:pt idx="170">
                  <c:v>44089</c:v>
                </c:pt>
                <c:pt idx="171">
                  <c:v>44090</c:v>
                </c:pt>
                <c:pt idx="172">
                  <c:v>44091</c:v>
                </c:pt>
                <c:pt idx="173">
                  <c:v>44092</c:v>
                </c:pt>
                <c:pt idx="174">
                  <c:v>44095</c:v>
                </c:pt>
                <c:pt idx="175">
                  <c:v>44096</c:v>
                </c:pt>
                <c:pt idx="176">
                  <c:v>44097</c:v>
                </c:pt>
                <c:pt idx="177">
                  <c:v>44098</c:v>
                </c:pt>
                <c:pt idx="178">
                  <c:v>44099</c:v>
                </c:pt>
                <c:pt idx="179">
                  <c:v>44102</c:v>
                </c:pt>
                <c:pt idx="180">
                  <c:v>44103</c:v>
                </c:pt>
                <c:pt idx="181">
                  <c:v>44104</c:v>
                </c:pt>
                <c:pt idx="182">
                  <c:v>44113</c:v>
                </c:pt>
                <c:pt idx="183">
                  <c:v>44116</c:v>
                </c:pt>
                <c:pt idx="184">
                  <c:v>44117</c:v>
                </c:pt>
                <c:pt idx="185">
                  <c:v>44118</c:v>
                </c:pt>
                <c:pt idx="186">
                  <c:v>44119</c:v>
                </c:pt>
                <c:pt idx="187">
                  <c:v>44120</c:v>
                </c:pt>
                <c:pt idx="188">
                  <c:v>44123</c:v>
                </c:pt>
                <c:pt idx="189">
                  <c:v>44124</c:v>
                </c:pt>
                <c:pt idx="190">
                  <c:v>44125</c:v>
                </c:pt>
                <c:pt idx="191">
                  <c:v>44126</c:v>
                </c:pt>
                <c:pt idx="192">
                  <c:v>44127</c:v>
                </c:pt>
                <c:pt idx="193">
                  <c:v>44130</c:v>
                </c:pt>
                <c:pt idx="194">
                  <c:v>44131</c:v>
                </c:pt>
                <c:pt idx="195">
                  <c:v>44132</c:v>
                </c:pt>
                <c:pt idx="196">
                  <c:v>44133</c:v>
                </c:pt>
                <c:pt idx="197">
                  <c:v>44134</c:v>
                </c:pt>
                <c:pt idx="198">
                  <c:v>44137</c:v>
                </c:pt>
                <c:pt idx="199">
                  <c:v>44138</c:v>
                </c:pt>
                <c:pt idx="200">
                  <c:v>44139</c:v>
                </c:pt>
                <c:pt idx="201">
                  <c:v>44140</c:v>
                </c:pt>
                <c:pt idx="202">
                  <c:v>44141</c:v>
                </c:pt>
                <c:pt idx="203">
                  <c:v>44144</c:v>
                </c:pt>
                <c:pt idx="204">
                  <c:v>44145</c:v>
                </c:pt>
                <c:pt idx="205">
                  <c:v>44146</c:v>
                </c:pt>
                <c:pt idx="206">
                  <c:v>44147</c:v>
                </c:pt>
                <c:pt idx="207">
                  <c:v>44148</c:v>
                </c:pt>
                <c:pt idx="208">
                  <c:v>44151</c:v>
                </c:pt>
                <c:pt idx="209">
                  <c:v>44152</c:v>
                </c:pt>
                <c:pt idx="210">
                  <c:v>44153</c:v>
                </c:pt>
                <c:pt idx="211">
                  <c:v>44154</c:v>
                </c:pt>
                <c:pt idx="212">
                  <c:v>44155</c:v>
                </c:pt>
                <c:pt idx="213">
                  <c:v>44158</c:v>
                </c:pt>
                <c:pt idx="214">
                  <c:v>44159</c:v>
                </c:pt>
                <c:pt idx="215">
                  <c:v>44160</c:v>
                </c:pt>
                <c:pt idx="216">
                  <c:v>44161</c:v>
                </c:pt>
                <c:pt idx="217">
                  <c:v>44162</c:v>
                </c:pt>
                <c:pt idx="218">
                  <c:v>44165</c:v>
                </c:pt>
                <c:pt idx="219">
                  <c:v>44166</c:v>
                </c:pt>
                <c:pt idx="220">
                  <c:v>44167</c:v>
                </c:pt>
                <c:pt idx="221">
                  <c:v>44168</c:v>
                </c:pt>
                <c:pt idx="222">
                  <c:v>44169</c:v>
                </c:pt>
                <c:pt idx="223">
                  <c:v>44172</c:v>
                </c:pt>
                <c:pt idx="224">
                  <c:v>44173</c:v>
                </c:pt>
                <c:pt idx="225">
                  <c:v>44174</c:v>
                </c:pt>
                <c:pt idx="226">
                  <c:v>44175</c:v>
                </c:pt>
                <c:pt idx="227">
                  <c:v>44176</c:v>
                </c:pt>
                <c:pt idx="228">
                  <c:v>44179</c:v>
                </c:pt>
                <c:pt idx="229">
                  <c:v>44180</c:v>
                </c:pt>
                <c:pt idx="230">
                  <c:v>44181</c:v>
                </c:pt>
                <c:pt idx="231">
                  <c:v>44182</c:v>
                </c:pt>
                <c:pt idx="232">
                  <c:v>44183</c:v>
                </c:pt>
                <c:pt idx="233">
                  <c:v>44186</c:v>
                </c:pt>
                <c:pt idx="234">
                  <c:v>44187</c:v>
                </c:pt>
                <c:pt idx="235">
                  <c:v>44188</c:v>
                </c:pt>
                <c:pt idx="236">
                  <c:v>44189</c:v>
                </c:pt>
                <c:pt idx="237">
                  <c:v>44190</c:v>
                </c:pt>
                <c:pt idx="238">
                  <c:v>44193</c:v>
                </c:pt>
                <c:pt idx="239">
                  <c:v>44194</c:v>
                </c:pt>
                <c:pt idx="240">
                  <c:v>44195</c:v>
                </c:pt>
                <c:pt idx="241">
                  <c:v>44196</c:v>
                </c:pt>
                <c:pt idx="242">
                  <c:v>44200</c:v>
                </c:pt>
                <c:pt idx="243">
                  <c:v>44201</c:v>
                </c:pt>
                <c:pt idx="244">
                  <c:v>44202</c:v>
                </c:pt>
                <c:pt idx="245">
                  <c:v>44203</c:v>
                </c:pt>
                <c:pt idx="246">
                  <c:v>44204</c:v>
                </c:pt>
                <c:pt idx="247">
                  <c:v>44207</c:v>
                </c:pt>
                <c:pt idx="248">
                  <c:v>44208</c:v>
                </c:pt>
                <c:pt idx="249">
                  <c:v>44209</c:v>
                </c:pt>
                <c:pt idx="250">
                  <c:v>44210</c:v>
                </c:pt>
                <c:pt idx="251">
                  <c:v>44211</c:v>
                </c:pt>
                <c:pt idx="252">
                  <c:v>44214</c:v>
                </c:pt>
                <c:pt idx="253">
                  <c:v>44215</c:v>
                </c:pt>
                <c:pt idx="254">
                  <c:v>44216</c:v>
                </c:pt>
                <c:pt idx="255">
                  <c:v>44217</c:v>
                </c:pt>
                <c:pt idx="256">
                  <c:v>44218</c:v>
                </c:pt>
                <c:pt idx="257">
                  <c:v>44221</c:v>
                </c:pt>
                <c:pt idx="258">
                  <c:v>44222</c:v>
                </c:pt>
                <c:pt idx="259">
                  <c:v>44223</c:v>
                </c:pt>
                <c:pt idx="260">
                  <c:v>44224</c:v>
                </c:pt>
                <c:pt idx="261">
                  <c:v>44225</c:v>
                </c:pt>
                <c:pt idx="262">
                  <c:v>44228</c:v>
                </c:pt>
                <c:pt idx="263">
                  <c:v>44229</c:v>
                </c:pt>
                <c:pt idx="264">
                  <c:v>44230</c:v>
                </c:pt>
                <c:pt idx="265">
                  <c:v>44231</c:v>
                </c:pt>
                <c:pt idx="266">
                  <c:v>44232</c:v>
                </c:pt>
                <c:pt idx="267">
                  <c:v>44235</c:v>
                </c:pt>
                <c:pt idx="268">
                  <c:v>44236</c:v>
                </c:pt>
                <c:pt idx="269">
                  <c:v>44237</c:v>
                </c:pt>
                <c:pt idx="270">
                  <c:v>44245</c:v>
                </c:pt>
                <c:pt idx="271">
                  <c:v>44246</c:v>
                </c:pt>
                <c:pt idx="272">
                  <c:v>44249</c:v>
                </c:pt>
                <c:pt idx="273">
                  <c:v>44250</c:v>
                </c:pt>
                <c:pt idx="274">
                  <c:v>44251</c:v>
                </c:pt>
                <c:pt idx="275">
                  <c:v>44252</c:v>
                </c:pt>
                <c:pt idx="276">
                  <c:v>44253</c:v>
                </c:pt>
                <c:pt idx="277">
                  <c:v>44256</c:v>
                </c:pt>
                <c:pt idx="278">
                  <c:v>44257</c:v>
                </c:pt>
                <c:pt idx="279">
                  <c:v>44258</c:v>
                </c:pt>
                <c:pt idx="280">
                  <c:v>44259</c:v>
                </c:pt>
                <c:pt idx="281">
                  <c:v>44260</c:v>
                </c:pt>
                <c:pt idx="282">
                  <c:v>44263</c:v>
                </c:pt>
                <c:pt idx="283">
                  <c:v>44264</c:v>
                </c:pt>
                <c:pt idx="284">
                  <c:v>44265</c:v>
                </c:pt>
                <c:pt idx="285">
                  <c:v>44266</c:v>
                </c:pt>
                <c:pt idx="286">
                  <c:v>44267</c:v>
                </c:pt>
                <c:pt idx="287">
                  <c:v>44270</c:v>
                </c:pt>
                <c:pt idx="288">
                  <c:v>44271</c:v>
                </c:pt>
                <c:pt idx="289">
                  <c:v>44272</c:v>
                </c:pt>
                <c:pt idx="290">
                  <c:v>44273</c:v>
                </c:pt>
                <c:pt idx="291">
                  <c:v>44274</c:v>
                </c:pt>
                <c:pt idx="292">
                  <c:v>44277</c:v>
                </c:pt>
                <c:pt idx="293">
                  <c:v>44278</c:v>
                </c:pt>
                <c:pt idx="294">
                  <c:v>44279</c:v>
                </c:pt>
                <c:pt idx="295">
                  <c:v>44280</c:v>
                </c:pt>
                <c:pt idx="296">
                  <c:v>44281</c:v>
                </c:pt>
                <c:pt idx="297">
                  <c:v>44284</c:v>
                </c:pt>
                <c:pt idx="298">
                  <c:v>44285</c:v>
                </c:pt>
                <c:pt idx="299">
                  <c:v>44286</c:v>
                </c:pt>
                <c:pt idx="300">
                  <c:v>44287</c:v>
                </c:pt>
                <c:pt idx="301">
                  <c:v>44288</c:v>
                </c:pt>
                <c:pt idx="302">
                  <c:v>44292</c:v>
                </c:pt>
                <c:pt idx="303">
                  <c:v>44293</c:v>
                </c:pt>
                <c:pt idx="304">
                  <c:v>44294</c:v>
                </c:pt>
                <c:pt idx="305">
                  <c:v>44295</c:v>
                </c:pt>
                <c:pt idx="306">
                  <c:v>44298</c:v>
                </c:pt>
                <c:pt idx="307">
                  <c:v>44299</c:v>
                </c:pt>
                <c:pt idx="308">
                  <c:v>44300</c:v>
                </c:pt>
                <c:pt idx="309">
                  <c:v>44301</c:v>
                </c:pt>
                <c:pt idx="310">
                  <c:v>44302</c:v>
                </c:pt>
                <c:pt idx="311">
                  <c:v>44305</c:v>
                </c:pt>
                <c:pt idx="312">
                  <c:v>44306</c:v>
                </c:pt>
                <c:pt idx="313">
                  <c:v>44307</c:v>
                </c:pt>
                <c:pt idx="314">
                  <c:v>44308</c:v>
                </c:pt>
                <c:pt idx="315">
                  <c:v>44309</c:v>
                </c:pt>
                <c:pt idx="316">
                  <c:v>44312</c:v>
                </c:pt>
                <c:pt idx="317">
                  <c:v>44313</c:v>
                </c:pt>
                <c:pt idx="318">
                  <c:v>44314</c:v>
                </c:pt>
                <c:pt idx="319">
                  <c:v>44315</c:v>
                </c:pt>
                <c:pt idx="320">
                  <c:v>44316</c:v>
                </c:pt>
                <c:pt idx="321">
                  <c:v>44322</c:v>
                </c:pt>
                <c:pt idx="322">
                  <c:v>44323</c:v>
                </c:pt>
                <c:pt idx="323">
                  <c:v>44326</c:v>
                </c:pt>
                <c:pt idx="324">
                  <c:v>44327</c:v>
                </c:pt>
                <c:pt idx="325">
                  <c:v>44328</c:v>
                </c:pt>
                <c:pt idx="326">
                  <c:v>44329</c:v>
                </c:pt>
                <c:pt idx="327">
                  <c:v>44330</c:v>
                </c:pt>
                <c:pt idx="328">
                  <c:v>44333</c:v>
                </c:pt>
                <c:pt idx="329">
                  <c:v>44334</c:v>
                </c:pt>
                <c:pt idx="330">
                  <c:v>44335</c:v>
                </c:pt>
                <c:pt idx="331">
                  <c:v>44336</c:v>
                </c:pt>
                <c:pt idx="332">
                  <c:v>44337</c:v>
                </c:pt>
                <c:pt idx="333">
                  <c:v>44340</c:v>
                </c:pt>
                <c:pt idx="334">
                  <c:v>44341</c:v>
                </c:pt>
                <c:pt idx="335">
                  <c:v>44342</c:v>
                </c:pt>
                <c:pt idx="336">
                  <c:v>44343</c:v>
                </c:pt>
                <c:pt idx="337">
                  <c:v>44344</c:v>
                </c:pt>
                <c:pt idx="338">
                  <c:v>44347</c:v>
                </c:pt>
                <c:pt idx="339">
                  <c:v>44348</c:v>
                </c:pt>
                <c:pt idx="340">
                  <c:v>44349</c:v>
                </c:pt>
                <c:pt idx="341">
                  <c:v>44350</c:v>
                </c:pt>
                <c:pt idx="342">
                  <c:v>44351</c:v>
                </c:pt>
                <c:pt idx="343">
                  <c:v>44354</c:v>
                </c:pt>
                <c:pt idx="344">
                  <c:v>44355</c:v>
                </c:pt>
                <c:pt idx="345">
                  <c:v>44356</c:v>
                </c:pt>
                <c:pt idx="346">
                  <c:v>44357</c:v>
                </c:pt>
                <c:pt idx="347">
                  <c:v>44358</c:v>
                </c:pt>
                <c:pt idx="348">
                  <c:v>44362</c:v>
                </c:pt>
                <c:pt idx="349">
                  <c:v>44363</c:v>
                </c:pt>
                <c:pt idx="350">
                  <c:v>44364</c:v>
                </c:pt>
                <c:pt idx="351">
                  <c:v>44365</c:v>
                </c:pt>
                <c:pt idx="352">
                  <c:v>44368</c:v>
                </c:pt>
                <c:pt idx="353">
                  <c:v>44369</c:v>
                </c:pt>
                <c:pt idx="354">
                  <c:v>44370</c:v>
                </c:pt>
                <c:pt idx="355">
                  <c:v>44371</c:v>
                </c:pt>
                <c:pt idx="356">
                  <c:v>44372</c:v>
                </c:pt>
                <c:pt idx="357">
                  <c:v>44375</c:v>
                </c:pt>
                <c:pt idx="358">
                  <c:v>44376</c:v>
                </c:pt>
                <c:pt idx="359">
                  <c:v>44377</c:v>
                </c:pt>
                <c:pt idx="360" formatCode="m/d/yyyy">
                  <c:v>44378</c:v>
                </c:pt>
                <c:pt idx="361" formatCode="m/d/yyyy">
                  <c:v>44379</c:v>
                </c:pt>
                <c:pt idx="362" formatCode="m/d/yyyy">
                  <c:v>44382</c:v>
                </c:pt>
                <c:pt idx="363" formatCode="m/d/yyyy">
                  <c:v>44383</c:v>
                </c:pt>
                <c:pt idx="364" formatCode="m/d/yyyy">
                  <c:v>44384</c:v>
                </c:pt>
                <c:pt idx="365" formatCode="m/d/yyyy">
                  <c:v>44385</c:v>
                </c:pt>
                <c:pt idx="366" formatCode="m/d/yyyy">
                  <c:v>44386</c:v>
                </c:pt>
                <c:pt idx="367" formatCode="m/d/yyyy">
                  <c:v>44389</c:v>
                </c:pt>
                <c:pt idx="368" formatCode="m/d/yyyy">
                  <c:v>44390</c:v>
                </c:pt>
                <c:pt idx="369" formatCode="m/d/yyyy">
                  <c:v>44391</c:v>
                </c:pt>
                <c:pt idx="370" formatCode="m/d/yyyy">
                  <c:v>44392</c:v>
                </c:pt>
                <c:pt idx="371" formatCode="m/d/yyyy">
                  <c:v>44393</c:v>
                </c:pt>
                <c:pt idx="372" formatCode="m/d/yyyy">
                  <c:v>44396</c:v>
                </c:pt>
                <c:pt idx="373" formatCode="m/d/yyyy">
                  <c:v>44397</c:v>
                </c:pt>
                <c:pt idx="374" formatCode="m/d/yyyy">
                  <c:v>44398</c:v>
                </c:pt>
                <c:pt idx="375" formatCode="m/d/yyyy">
                  <c:v>44399</c:v>
                </c:pt>
                <c:pt idx="376" formatCode="m/d/yyyy">
                  <c:v>44400</c:v>
                </c:pt>
                <c:pt idx="377" formatCode="m/d/yyyy">
                  <c:v>44403</c:v>
                </c:pt>
                <c:pt idx="378" formatCode="m/d/yyyy">
                  <c:v>44404</c:v>
                </c:pt>
                <c:pt idx="379" formatCode="m/d/yyyy">
                  <c:v>44405</c:v>
                </c:pt>
                <c:pt idx="380" formatCode="m/d/yyyy">
                  <c:v>44406</c:v>
                </c:pt>
                <c:pt idx="381" formatCode="m/d/yyyy">
                  <c:v>44407</c:v>
                </c:pt>
              </c:numCache>
            </c:numRef>
          </c:cat>
          <c:val>
            <c:numRef>
              <c:f>Sheet2!$G$2:$G$1309</c:f>
              <c:numCache>
                <c:formatCode>#,##0.0000_ </c:formatCode>
                <c:ptCount val="382"/>
                <c:pt idx="120">
                  <c:v>0.99828050000000002</c:v>
                </c:pt>
                <c:pt idx="121">
                  <c:v>1.010753</c:v>
                </c:pt>
                <c:pt idx="122">
                  <c:v>1.0025915000000001</c:v>
                </c:pt>
                <c:pt idx="123">
                  <c:v>1.0093249999999998</c:v>
                </c:pt>
                <c:pt idx="124">
                  <c:v>1.0383779999999989</c:v>
                </c:pt>
                <c:pt idx="125">
                  <c:v>1.0445449999999992</c:v>
                </c:pt>
                <c:pt idx="126">
                  <c:v>1.0453359999999992</c:v>
                </c:pt>
                <c:pt idx="127">
                  <c:v>0.98878899999999903</c:v>
                </c:pt>
                <c:pt idx="128">
                  <c:v>1.021887999999999</c:v>
                </c:pt>
                <c:pt idx="129">
                  <c:v>1.0095214999999993</c:v>
                </c:pt>
                <c:pt idx="130">
                  <c:v>1.0203794999999989</c:v>
                </c:pt>
                <c:pt idx="131">
                  <c:v>1.0244459999999991</c:v>
                </c:pt>
                <c:pt idx="132">
                  <c:v>1.0188180000000002</c:v>
                </c:pt>
                <c:pt idx="133">
                  <c:v>0.98131899999999905</c:v>
                </c:pt>
                <c:pt idx="134">
                  <c:v>0.99938799999999917</c:v>
                </c:pt>
                <c:pt idx="135">
                  <c:v>1.006761499999999</c:v>
                </c:pt>
                <c:pt idx="136">
                  <c:v>0.9999514999999991</c:v>
                </c:pt>
                <c:pt idx="137">
                  <c:v>0.9987234999999991</c:v>
                </c:pt>
                <c:pt idx="138">
                  <c:v>0.99661999999999906</c:v>
                </c:pt>
                <c:pt idx="139">
                  <c:v>1.0019664999999989</c:v>
                </c:pt>
                <c:pt idx="140">
                  <c:v>1.0046959999999991</c:v>
                </c:pt>
                <c:pt idx="141">
                  <c:v>1.007714499999999</c:v>
                </c:pt>
                <c:pt idx="142">
                  <c:v>1.0203664999999993</c:v>
                </c:pt>
                <c:pt idx="143">
                  <c:v>1.020538999999999</c:v>
                </c:pt>
                <c:pt idx="144">
                  <c:v>1.0416114999999999</c:v>
                </c:pt>
                <c:pt idx="145">
                  <c:v>1.0584115000000001</c:v>
                </c:pt>
                <c:pt idx="146">
                  <c:v>1.0573220000000001</c:v>
                </c:pt>
                <c:pt idx="147">
                  <c:v>1.070671999999999</c:v>
                </c:pt>
                <c:pt idx="148">
                  <c:v>1.079010499999999</c:v>
                </c:pt>
                <c:pt idx="149">
                  <c:v>1.0460934999999989</c:v>
                </c:pt>
                <c:pt idx="150">
                  <c:v>1.051539999999999</c:v>
                </c:pt>
                <c:pt idx="151">
                  <c:v>1.0574194999999991</c:v>
                </c:pt>
                <c:pt idx="152">
                  <c:v>1.056241999999999</c:v>
                </c:pt>
                <c:pt idx="153">
                  <c:v>1.065379499999999</c:v>
                </c:pt>
                <c:pt idx="154">
                  <c:v>1.069048999999999</c:v>
                </c:pt>
                <c:pt idx="155">
                  <c:v>1.079542999999999</c:v>
                </c:pt>
                <c:pt idx="156">
                  <c:v>1.0767979999999999</c:v>
                </c:pt>
                <c:pt idx="157">
                  <c:v>1.084268499999999</c:v>
                </c:pt>
                <c:pt idx="158">
                  <c:v>1.0641394999999991</c:v>
                </c:pt>
                <c:pt idx="159">
                  <c:v>1.0685064999999991</c:v>
                </c:pt>
                <c:pt idx="160">
                  <c:v>1.074306999999999</c:v>
                </c:pt>
                <c:pt idx="161">
                  <c:v>1.0729669999999991</c:v>
                </c:pt>
                <c:pt idx="162">
                  <c:v>1.0748894999999992</c:v>
                </c:pt>
                <c:pt idx="163">
                  <c:v>1.0726219999999991</c:v>
                </c:pt>
                <c:pt idx="164">
                  <c:v>1.0816039999999991</c:v>
                </c:pt>
                <c:pt idx="165">
                  <c:v>1.0909464999999992</c:v>
                </c:pt>
                <c:pt idx="166">
                  <c:v>1.090206999999999</c:v>
                </c:pt>
                <c:pt idx="167">
                  <c:v>1.0992639999999991</c:v>
                </c:pt>
                <c:pt idx="168">
                  <c:v>1.1089589999999991</c:v>
                </c:pt>
                <c:pt idx="169">
                  <c:v>1.1160314999999992</c:v>
                </c:pt>
                <c:pt idx="170">
                  <c:v>1.119666499999999</c:v>
                </c:pt>
                <c:pt idx="171">
                  <c:v>1.1209664999999991</c:v>
                </c:pt>
                <c:pt idx="172">
                  <c:v>1.1222044999999992</c:v>
                </c:pt>
                <c:pt idx="173">
                  <c:v>1.1132269999999991</c:v>
                </c:pt>
                <c:pt idx="174">
                  <c:v>1.107105499999999</c:v>
                </c:pt>
                <c:pt idx="175">
                  <c:v>1.1058229999999991</c:v>
                </c:pt>
                <c:pt idx="176">
                  <c:v>1.112674999999999</c:v>
                </c:pt>
                <c:pt idx="177">
                  <c:v>1.106057499999999</c:v>
                </c:pt>
                <c:pt idx="178">
                  <c:v>1.1078089999999992</c:v>
                </c:pt>
                <c:pt idx="179">
                  <c:v>1.106441499999999</c:v>
                </c:pt>
                <c:pt idx="180">
                  <c:v>1.1004489999999991</c:v>
                </c:pt>
                <c:pt idx="181">
                  <c:v>1.1018434999999991</c:v>
                </c:pt>
                <c:pt idx="182">
                  <c:v>1.1549414999999978</c:v>
                </c:pt>
                <c:pt idx="183">
                  <c:v>1.1475119999999979</c:v>
                </c:pt>
                <c:pt idx="184">
                  <c:v>1.1492514999999979</c:v>
                </c:pt>
                <c:pt idx="185">
                  <c:v>1.1535804999999979</c:v>
                </c:pt>
                <c:pt idx="186">
                  <c:v>1.1557739999999979</c:v>
                </c:pt>
                <c:pt idx="187">
                  <c:v>1.1607149999999979</c:v>
                </c:pt>
                <c:pt idx="188">
                  <c:v>1.170292499999998</c:v>
                </c:pt>
                <c:pt idx="189">
                  <c:v>1.1753894999999979</c:v>
                </c:pt>
                <c:pt idx="190">
                  <c:v>1.174600999999998</c:v>
                </c:pt>
                <c:pt idx="191">
                  <c:v>1.174360999999998</c:v>
                </c:pt>
                <c:pt idx="192">
                  <c:v>1.1715879999999979</c:v>
                </c:pt>
                <c:pt idx="193">
                  <c:v>1.171949499999998</c:v>
                </c:pt>
                <c:pt idx="194">
                  <c:v>1.1748349999999979</c:v>
                </c:pt>
                <c:pt idx="195">
                  <c:v>1.175849499999998</c:v>
                </c:pt>
                <c:pt idx="196">
                  <c:v>1.1775024999999979</c:v>
                </c:pt>
                <c:pt idx="197">
                  <c:v>1.1699739999999978</c:v>
                </c:pt>
                <c:pt idx="198">
                  <c:v>1.1721074999999979</c:v>
                </c:pt>
                <c:pt idx="199">
                  <c:v>1.1709464999999979</c:v>
                </c:pt>
                <c:pt idx="200">
                  <c:v>1.176211499999998</c:v>
                </c:pt>
                <c:pt idx="201">
                  <c:v>1.1777994999999979</c:v>
                </c:pt>
                <c:pt idx="202">
                  <c:v>1.1808504999999978</c:v>
                </c:pt>
                <c:pt idx="203">
                  <c:v>1.1758054999999978</c:v>
                </c:pt>
                <c:pt idx="204">
                  <c:v>1.1808999999999978</c:v>
                </c:pt>
                <c:pt idx="205">
                  <c:v>1.1828179999999979</c:v>
                </c:pt>
                <c:pt idx="206">
                  <c:v>1.1847964999999978</c:v>
                </c:pt>
                <c:pt idx="207">
                  <c:v>1.1743154999999978</c:v>
                </c:pt>
                <c:pt idx="208">
                  <c:v>1.1815784999999979</c:v>
                </c:pt>
                <c:pt idx="209">
                  <c:v>1.1827314999999978</c:v>
                </c:pt>
                <c:pt idx="210">
                  <c:v>1.1835149999999979</c:v>
                </c:pt>
                <c:pt idx="211">
                  <c:v>1.182238499999998</c:v>
                </c:pt>
                <c:pt idx="212">
                  <c:v>1.1858374999999979</c:v>
                </c:pt>
                <c:pt idx="213">
                  <c:v>1.183831999999998</c:v>
                </c:pt>
                <c:pt idx="214">
                  <c:v>1.1856589999999978</c:v>
                </c:pt>
                <c:pt idx="215">
                  <c:v>1.185803499999998</c:v>
                </c:pt>
                <c:pt idx="216">
                  <c:v>1.1912739999999979</c:v>
                </c:pt>
                <c:pt idx="217">
                  <c:v>1.1899179999999978</c:v>
                </c:pt>
                <c:pt idx="218">
                  <c:v>1.1910689999999979</c:v>
                </c:pt>
                <c:pt idx="219">
                  <c:v>1.174399099999998</c:v>
                </c:pt>
                <c:pt idx="220">
                  <c:v>1.1712100999999979</c:v>
                </c:pt>
                <c:pt idx="221">
                  <c:v>1.1734675999999979</c:v>
                </c:pt>
                <c:pt idx="222">
                  <c:v>1.1793000999999981</c:v>
                </c:pt>
                <c:pt idx="223">
                  <c:v>1.1860500999999981</c:v>
                </c:pt>
                <c:pt idx="224">
                  <c:v>1.1926915999999981</c:v>
                </c:pt>
                <c:pt idx="225">
                  <c:v>1.1963705999999981</c:v>
                </c:pt>
                <c:pt idx="226">
                  <c:v>1.199623599999998</c:v>
                </c:pt>
                <c:pt idx="227">
                  <c:v>1.194691099999998</c:v>
                </c:pt>
                <c:pt idx="228">
                  <c:v>1.2047550999999981</c:v>
                </c:pt>
                <c:pt idx="229">
                  <c:v>1.205080099999998</c:v>
                </c:pt>
                <c:pt idx="230">
                  <c:v>1.204538599999998</c:v>
                </c:pt>
                <c:pt idx="231">
                  <c:v>1.202438099999998</c:v>
                </c:pt>
                <c:pt idx="232">
                  <c:v>1.2042435999999981</c:v>
                </c:pt>
                <c:pt idx="233">
                  <c:v>1.203334099999998</c:v>
                </c:pt>
                <c:pt idx="234">
                  <c:v>1.2020945999999979</c:v>
                </c:pt>
                <c:pt idx="235">
                  <c:v>1.2036510999999981</c:v>
                </c:pt>
                <c:pt idx="236">
                  <c:v>1.2057860999999981</c:v>
                </c:pt>
                <c:pt idx="237">
                  <c:v>1.206777099999998</c:v>
                </c:pt>
                <c:pt idx="238">
                  <c:v>1.209566099999998</c:v>
                </c:pt>
                <c:pt idx="239">
                  <c:v>1.2079180999999981</c:v>
                </c:pt>
                <c:pt idx="240">
                  <c:v>1.206163599999998</c:v>
                </c:pt>
                <c:pt idx="241">
                  <c:v>1.2011825999999981</c:v>
                </c:pt>
                <c:pt idx="242">
                  <c:v>1.204292099999998</c:v>
                </c:pt>
                <c:pt idx="243">
                  <c:v>1.2061275999999981</c:v>
                </c:pt>
                <c:pt idx="244">
                  <c:v>1.201809099999998</c:v>
                </c:pt>
                <c:pt idx="245">
                  <c:v>1.197242599999998</c:v>
                </c:pt>
                <c:pt idx="246">
                  <c:v>1.1934035999999979</c:v>
                </c:pt>
                <c:pt idx="247">
                  <c:v>1.2247343869819649</c:v>
                </c:pt>
                <c:pt idx="248">
                  <c:v>1.16348833344076</c:v>
                </c:pt>
                <c:pt idx="249">
                  <c:v>1.173297446988063</c:v>
                </c:pt>
                <c:pt idx="250">
                  <c:v>1.1741249700968941</c:v>
                </c:pt>
                <c:pt idx="251">
                  <c:v>1.1870139539879749</c:v>
                </c:pt>
                <c:pt idx="252">
                  <c:v>1.191590224456619</c:v>
                </c:pt>
                <c:pt idx="253">
                  <c:v>1.191313742124577</c:v>
                </c:pt>
                <c:pt idx="254">
                  <c:v>1.1934804377314561</c:v>
                </c:pt>
                <c:pt idx="255">
                  <c:v>1.19054507823302</c:v>
                </c:pt>
                <c:pt idx="256">
                  <c:v>1.1999400046314679</c:v>
                </c:pt>
                <c:pt idx="257">
                  <c:v>1.20251580055067</c:v>
                </c:pt>
                <c:pt idx="258">
                  <c:v>1.202605131807257</c:v>
                </c:pt>
                <c:pt idx="259">
                  <c:v>1.204619415446589</c:v>
                </c:pt>
                <c:pt idx="260">
                  <c:v>1.1984223031684991</c:v>
                </c:pt>
                <c:pt idx="261">
                  <c:v>1.1929413687416299</c:v>
                </c:pt>
                <c:pt idx="262">
                  <c:v>1.1988889181349849</c:v>
                </c:pt>
                <c:pt idx="263">
                  <c:v>1.2074693690849061</c:v>
                </c:pt>
                <c:pt idx="264">
                  <c:v>1.21247222665367</c:v>
                </c:pt>
                <c:pt idx="265">
                  <c:v>1.2108549536378079</c:v>
                </c:pt>
                <c:pt idx="266">
                  <c:v>1.20920557550964</c:v>
                </c:pt>
                <c:pt idx="267">
                  <c:v>1.212005587077734</c:v>
                </c:pt>
                <c:pt idx="268">
                  <c:v>1.212074165345022</c:v>
                </c:pt>
                <c:pt idx="269">
                  <c:v>1.195320395284269</c:v>
                </c:pt>
                <c:pt idx="270">
                  <c:v>1.2128540128352969</c:v>
                </c:pt>
                <c:pt idx="271">
                  <c:v>1.22750703114922</c:v>
                </c:pt>
                <c:pt idx="272">
                  <c:v>1.2190560761387681</c:v>
                </c:pt>
                <c:pt idx="273">
                  <c:v>1.2203099899974961</c:v>
                </c:pt>
                <c:pt idx="274">
                  <c:v>1.21227404064038</c:v>
                </c:pt>
                <c:pt idx="275">
                  <c:v>1.214048630289434</c:v>
                </c:pt>
                <c:pt idx="276">
                  <c:v>1.2257864971702159</c:v>
                </c:pt>
                <c:pt idx="277">
                  <c:v>1.2334337406223659</c:v>
                </c:pt>
                <c:pt idx="278">
                  <c:v>1.2388593420708809</c:v>
                </c:pt>
                <c:pt idx="279">
                  <c:v>1.2358798937388449</c:v>
                </c:pt>
                <c:pt idx="280">
                  <c:v>1.254482445573843</c:v>
                </c:pt>
                <c:pt idx="281">
                  <c:v>1.2509605725760611</c:v>
                </c:pt>
                <c:pt idx="282">
                  <c:v>1.2342467339876819</c:v>
                </c:pt>
                <c:pt idx="283">
                  <c:v>1.2406018186293211</c:v>
                </c:pt>
                <c:pt idx="284">
                  <c:v>1.258063226309057</c:v>
                </c:pt>
                <c:pt idx="285">
                  <c:v>1.266772942379998</c:v>
                </c:pt>
                <c:pt idx="286">
                  <c:v>1.2730359640452169</c:v>
                </c:pt>
                <c:pt idx="287">
                  <c:v>1.2829617618718461</c:v>
                </c:pt>
                <c:pt idx="288">
                  <c:v>1.279971972732501</c:v>
                </c:pt>
                <c:pt idx="289">
                  <c:v>1.2765657556205989</c:v>
                </c:pt>
                <c:pt idx="290">
                  <c:v>1.281123871529926</c:v>
                </c:pt>
                <c:pt idx="291">
                  <c:v>1.2893976872963999</c:v>
                </c:pt>
                <c:pt idx="292">
                  <c:v>1.2819174312253809</c:v>
                </c:pt>
                <c:pt idx="293">
                  <c:v>1.28066769961792</c:v>
                </c:pt>
                <c:pt idx="294">
                  <c:v>1.288256062778836</c:v>
                </c:pt>
                <c:pt idx="295">
                  <c:v>1.2843054739848201</c:v>
                </c:pt>
                <c:pt idx="296">
                  <c:v>1.283243983967731</c:v>
                </c:pt>
                <c:pt idx="297">
                  <c:v>1.2796181353285541</c:v>
                </c:pt>
                <c:pt idx="298">
                  <c:v>1.272352078472563</c:v>
                </c:pt>
                <c:pt idx="299">
                  <c:v>1.274189862837865</c:v>
                </c:pt>
                <c:pt idx="300">
                  <c:v>1.2703429335615648</c:v>
                </c:pt>
                <c:pt idx="301">
                  <c:v>1.2725315282266649</c:v>
                </c:pt>
                <c:pt idx="302">
                  <c:v>1.2681458282266649</c:v>
                </c:pt>
                <c:pt idx="303">
                  <c:v>1.2677037282266648</c:v>
                </c:pt>
                <c:pt idx="304">
                  <c:v>1.2649151282266649</c:v>
                </c:pt>
                <c:pt idx="305">
                  <c:v>1.2676635282266648</c:v>
                </c:pt>
                <c:pt idx="306">
                  <c:v>1.2735614282266647</c:v>
                </c:pt>
                <c:pt idx="307">
                  <c:v>1.2713494282266649</c:v>
                </c:pt>
                <c:pt idx="308">
                  <c:v>1.2679855282266648</c:v>
                </c:pt>
                <c:pt idx="309">
                  <c:v>1.2685148282266649</c:v>
                </c:pt>
                <c:pt idx="310">
                  <c:v>1.2658058282266649</c:v>
                </c:pt>
                <c:pt idx="311">
                  <c:v>1.2798866282266648</c:v>
                </c:pt>
                <c:pt idx="312">
                  <c:v>1.2788150282266648</c:v>
                </c:pt>
                <c:pt idx="313">
                  <c:v>1.2780156282266648</c:v>
                </c:pt>
                <c:pt idx="314">
                  <c:v>1.2781702282266649</c:v>
                </c:pt>
                <c:pt idx="315">
                  <c:v>1.2790504282266648</c:v>
                </c:pt>
                <c:pt idx="316">
                  <c:v>1.2787007282266649</c:v>
                </c:pt>
                <c:pt idx="317">
                  <c:v>1.2824927282266649</c:v>
                </c:pt>
                <c:pt idx="318">
                  <c:v>1.2845143282266649</c:v>
                </c:pt>
                <c:pt idx="319">
                  <c:v>1.2853904282266648</c:v>
                </c:pt>
                <c:pt idx="320">
                  <c:v>1.2867757282266648</c:v>
                </c:pt>
                <c:pt idx="321">
                  <c:v>1.2926914282266648</c:v>
                </c:pt>
                <c:pt idx="322">
                  <c:v>1.290120428226665</c:v>
                </c:pt>
                <c:pt idx="323">
                  <c:v>1.2932463282266649</c:v>
                </c:pt>
                <c:pt idx="324">
                  <c:v>1.2925861282266649</c:v>
                </c:pt>
                <c:pt idx="325">
                  <c:v>1.2932438282266649</c:v>
                </c:pt>
                <c:pt idx="326">
                  <c:v>1.2887895282266648</c:v>
                </c:pt>
                <c:pt idx="327">
                  <c:v>1.2541208282266649</c:v>
                </c:pt>
                <c:pt idx="328">
                  <c:v>1.245618128226665</c:v>
                </c:pt>
                <c:pt idx="329">
                  <c:v>1.2490489282266648</c:v>
                </c:pt>
                <c:pt idx="330">
                  <c:v>1.2524563282266648</c:v>
                </c:pt>
                <c:pt idx="331">
                  <c:v>1.2529539282266648</c:v>
                </c:pt>
                <c:pt idx="332">
                  <c:v>1.2543214282266648</c:v>
                </c:pt>
                <c:pt idx="333">
                  <c:v>1.2574220282266648</c:v>
                </c:pt>
                <c:pt idx="334">
                  <c:v>1.2367687282266648</c:v>
                </c:pt>
                <c:pt idx="335">
                  <c:v>1.2374662282266649</c:v>
                </c:pt>
                <c:pt idx="336">
                  <c:v>1.2360590282266648</c:v>
                </c:pt>
                <c:pt idx="337">
                  <c:v>1.2379029282266649</c:v>
                </c:pt>
                <c:pt idx="338">
                  <c:v>1.2422046955917048</c:v>
                </c:pt>
                <c:pt idx="339">
                  <c:v>1.2501635755778449</c:v>
                </c:pt>
                <c:pt idx="340">
                  <c:v>1.2659631532907549</c:v>
                </c:pt>
                <c:pt idx="341">
                  <c:v>1.2719423532907548</c:v>
                </c:pt>
                <c:pt idx="342">
                  <c:v>1.2751739532907549</c:v>
                </c:pt>
                <c:pt idx="343">
                  <c:v>1.2782161532907548</c:v>
                </c:pt>
                <c:pt idx="344">
                  <c:v>1.2772508532907549</c:v>
                </c:pt>
                <c:pt idx="345">
                  <c:v>1.2902877532907548</c:v>
                </c:pt>
                <c:pt idx="346">
                  <c:v>1.2943369532907549</c:v>
                </c:pt>
                <c:pt idx="347">
                  <c:v>1.2955115532907548</c:v>
                </c:pt>
                <c:pt idx="348">
                  <c:v>1.2978778532907549</c:v>
                </c:pt>
                <c:pt idx="349">
                  <c:v>1.2956488532907549</c:v>
                </c:pt>
                <c:pt idx="350">
                  <c:v>1.3019158532907549</c:v>
                </c:pt>
                <c:pt idx="351">
                  <c:v>1.3032988532907548</c:v>
                </c:pt>
                <c:pt idx="352">
                  <c:v>1.3031151532907548</c:v>
                </c:pt>
                <c:pt idx="353">
                  <c:v>1.3038980532907549</c:v>
                </c:pt>
                <c:pt idx="354">
                  <c:v>1.3082796532907548</c:v>
                </c:pt>
                <c:pt idx="355">
                  <c:v>1.3096068532907548</c:v>
                </c:pt>
                <c:pt idx="356">
                  <c:v>1.3022830532907548</c:v>
                </c:pt>
                <c:pt idx="357">
                  <c:v>1.3038264532907549</c:v>
                </c:pt>
                <c:pt idx="358">
                  <c:v>1.3030245532907549</c:v>
                </c:pt>
                <c:pt idx="359">
                  <c:v>1.3028637532907548</c:v>
                </c:pt>
                <c:pt idx="360">
                  <c:v>1.3051453532907549</c:v>
                </c:pt>
                <c:pt idx="361">
                  <c:v>1.2961648532907548</c:v>
                </c:pt>
                <c:pt idx="362">
                  <c:v>1.3000854532907549</c:v>
                </c:pt>
                <c:pt idx="363">
                  <c:v>1.2983351532907548</c:v>
                </c:pt>
                <c:pt idx="364">
                  <c:v>1.2907246532907548</c:v>
                </c:pt>
                <c:pt idx="365">
                  <c:v>1.2877980532907549</c:v>
                </c:pt>
                <c:pt idx="366">
                  <c:v>1.2889781532907549</c:v>
                </c:pt>
                <c:pt idx="367">
                  <c:v>1.2895052532907549</c:v>
                </c:pt>
                <c:pt idx="368">
                  <c:v>1.2914810532907548</c:v>
                </c:pt>
                <c:pt idx="369">
                  <c:v>1.2890725532907548</c:v>
                </c:pt>
                <c:pt idx="370">
                  <c:v>1.2901025532907548</c:v>
                </c:pt>
                <c:pt idx="371">
                  <c:v>1.2904553532907548</c:v>
                </c:pt>
                <c:pt idx="372">
                  <c:v>1.2957455532907549</c:v>
                </c:pt>
                <c:pt idx="373">
                  <c:v>1.2942503532907548</c:v>
                </c:pt>
                <c:pt idx="374">
                  <c:v>1.2958060532907549</c:v>
                </c:pt>
                <c:pt idx="375">
                  <c:v>1.2972503532907549</c:v>
                </c:pt>
                <c:pt idx="376">
                  <c:v>1.2964048532907548</c:v>
                </c:pt>
                <c:pt idx="377">
                  <c:v>1.2761293532907549</c:v>
                </c:pt>
                <c:pt idx="378">
                  <c:v>1.2602313532907548</c:v>
                </c:pt>
                <c:pt idx="379">
                  <c:v>1.2556407532907548</c:v>
                </c:pt>
                <c:pt idx="380">
                  <c:v>1.2524535532907548</c:v>
                </c:pt>
                <c:pt idx="381">
                  <c:v>1.2500400532907547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11-4D0A-8DAB-891776E13291}"/>
            </c:ext>
          </c:extLst>
        </c:ser>
        <c:ser>
          <c:idx val="2"/>
          <c:order val="2"/>
          <c:tx>
            <c:strRef>
              <c:f>Sheet2!$H$1</c:f>
              <c:strCache>
                <c:ptCount val="1"/>
                <c:pt idx="0">
                  <c:v>2:50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Sheet2!$A$2:$A$1309</c:f>
              <c:numCache>
                <c:formatCode>yyyy\-mm\-dd;@</c:formatCode>
                <c:ptCount val="382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43892</c:v>
                </c:pt>
                <c:pt idx="36">
                  <c:v>43893</c:v>
                </c:pt>
                <c:pt idx="37">
                  <c:v>43894</c:v>
                </c:pt>
                <c:pt idx="38">
                  <c:v>43895</c:v>
                </c:pt>
                <c:pt idx="39">
                  <c:v>43896</c:v>
                </c:pt>
                <c:pt idx="40">
                  <c:v>43899</c:v>
                </c:pt>
                <c:pt idx="41">
                  <c:v>43900</c:v>
                </c:pt>
                <c:pt idx="42">
                  <c:v>43901</c:v>
                </c:pt>
                <c:pt idx="43">
                  <c:v>43902</c:v>
                </c:pt>
                <c:pt idx="44">
                  <c:v>43903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43913</c:v>
                </c:pt>
                <c:pt idx="51">
                  <c:v>43914</c:v>
                </c:pt>
                <c:pt idx="52">
                  <c:v>43915</c:v>
                </c:pt>
                <c:pt idx="53">
                  <c:v>43916</c:v>
                </c:pt>
                <c:pt idx="54">
                  <c:v>43917</c:v>
                </c:pt>
                <c:pt idx="55">
                  <c:v>43920</c:v>
                </c:pt>
                <c:pt idx="56">
                  <c:v>43921</c:v>
                </c:pt>
                <c:pt idx="57">
                  <c:v>43922</c:v>
                </c:pt>
                <c:pt idx="58">
                  <c:v>43923</c:v>
                </c:pt>
                <c:pt idx="59">
                  <c:v>43924</c:v>
                </c:pt>
                <c:pt idx="60">
                  <c:v>43928</c:v>
                </c:pt>
                <c:pt idx="61">
                  <c:v>43929</c:v>
                </c:pt>
                <c:pt idx="62">
                  <c:v>43930</c:v>
                </c:pt>
                <c:pt idx="63">
                  <c:v>43931</c:v>
                </c:pt>
                <c:pt idx="64">
                  <c:v>43934</c:v>
                </c:pt>
                <c:pt idx="65">
                  <c:v>43935</c:v>
                </c:pt>
                <c:pt idx="66">
                  <c:v>43936</c:v>
                </c:pt>
                <c:pt idx="67">
                  <c:v>43937</c:v>
                </c:pt>
                <c:pt idx="68">
                  <c:v>43938</c:v>
                </c:pt>
                <c:pt idx="69">
                  <c:v>43941</c:v>
                </c:pt>
                <c:pt idx="70">
                  <c:v>43942</c:v>
                </c:pt>
                <c:pt idx="71">
                  <c:v>43943</c:v>
                </c:pt>
                <c:pt idx="72">
                  <c:v>43944</c:v>
                </c:pt>
                <c:pt idx="73">
                  <c:v>43945</c:v>
                </c:pt>
                <c:pt idx="74">
                  <c:v>43948</c:v>
                </c:pt>
                <c:pt idx="75">
                  <c:v>43949</c:v>
                </c:pt>
                <c:pt idx="76">
                  <c:v>43950</c:v>
                </c:pt>
                <c:pt idx="77">
                  <c:v>43951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44011</c:v>
                </c:pt>
                <c:pt idx="115">
                  <c:v>44012</c:v>
                </c:pt>
                <c:pt idx="116">
                  <c:v>44013</c:v>
                </c:pt>
                <c:pt idx="117">
                  <c:v>44014</c:v>
                </c:pt>
                <c:pt idx="118">
                  <c:v>44015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44025</c:v>
                </c:pt>
                <c:pt idx="125">
                  <c:v>44026</c:v>
                </c:pt>
                <c:pt idx="126">
                  <c:v>44027</c:v>
                </c:pt>
                <c:pt idx="127">
                  <c:v>44028</c:v>
                </c:pt>
                <c:pt idx="128">
                  <c:v>44029</c:v>
                </c:pt>
                <c:pt idx="129">
                  <c:v>44032</c:v>
                </c:pt>
                <c:pt idx="130">
                  <c:v>44033</c:v>
                </c:pt>
                <c:pt idx="131">
                  <c:v>44034</c:v>
                </c:pt>
                <c:pt idx="132">
                  <c:v>44035</c:v>
                </c:pt>
                <c:pt idx="133">
                  <c:v>44036</c:v>
                </c:pt>
                <c:pt idx="134">
                  <c:v>44039</c:v>
                </c:pt>
                <c:pt idx="135">
                  <c:v>44040</c:v>
                </c:pt>
                <c:pt idx="136">
                  <c:v>44041</c:v>
                </c:pt>
                <c:pt idx="137">
                  <c:v>44042</c:v>
                </c:pt>
                <c:pt idx="138">
                  <c:v>44043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44053</c:v>
                </c:pt>
                <c:pt idx="145">
                  <c:v>44054</c:v>
                </c:pt>
                <c:pt idx="146">
                  <c:v>44055</c:v>
                </c:pt>
                <c:pt idx="147">
                  <c:v>44056</c:v>
                </c:pt>
                <c:pt idx="148">
                  <c:v>44057</c:v>
                </c:pt>
                <c:pt idx="149">
                  <c:v>44060</c:v>
                </c:pt>
                <c:pt idx="150">
                  <c:v>44061</c:v>
                </c:pt>
                <c:pt idx="151">
                  <c:v>44062</c:v>
                </c:pt>
                <c:pt idx="152">
                  <c:v>44063</c:v>
                </c:pt>
                <c:pt idx="153">
                  <c:v>44064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44074</c:v>
                </c:pt>
                <c:pt idx="160">
                  <c:v>44075</c:v>
                </c:pt>
                <c:pt idx="161">
                  <c:v>44076</c:v>
                </c:pt>
                <c:pt idx="162">
                  <c:v>44077</c:v>
                </c:pt>
                <c:pt idx="163">
                  <c:v>44078</c:v>
                </c:pt>
                <c:pt idx="164">
                  <c:v>44081</c:v>
                </c:pt>
                <c:pt idx="165">
                  <c:v>44082</c:v>
                </c:pt>
                <c:pt idx="166">
                  <c:v>44083</c:v>
                </c:pt>
                <c:pt idx="167">
                  <c:v>44084</c:v>
                </c:pt>
                <c:pt idx="168">
                  <c:v>44085</c:v>
                </c:pt>
                <c:pt idx="169">
                  <c:v>44088</c:v>
                </c:pt>
                <c:pt idx="170">
                  <c:v>44089</c:v>
                </c:pt>
                <c:pt idx="171">
                  <c:v>44090</c:v>
                </c:pt>
                <c:pt idx="172">
                  <c:v>44091</c:v>
                </c:pt>
                <c:pt idx="173">
                  <c:v>44092</c:v>
                </c:pt>
                <c:pt idx="174">
                  <c:v>44095</c:v>
                </c:pt>
                <c:pt idx="175">
                  <c:v>44096</c:v>
                </c:pt>
                <c:pt idx="176">
                  <c:v>44097</c:v>
                </c:pt>
                <c:pt idx="177">
                  <c:v>44098</c:v>
                </c:pt>
                <c:pt idx="178">
                  <c:v>44099</c:v>
                </c:pt>
                <c:pt idx="179">
                  <c:v>44102</c:v>
                </c:pt>
                <c:pt idx="180">
                  <c:v>44103</c:v>
                </c:pt>
                <c:pt idx="181">
                  <c:v>44104</c:v>
                </c:pt>
                <c:pt idx="182">
                  <c:v>44113</c:v>
                </c:pt>
                <c:pt idx="183">
                  <c:v>44116</c:v>
                </c:pt>
                <c:pt idx="184">
                  <c:v>44117</c:v>
                </c:pt>
                <c:pt idx="185">
                  <c:v>44118</c:v>
                </c:pt>
                <c:pt idx="186">
                  <c:v>44119</c:v>
                </c:pt>
                <c:pt idx="187">
                  <c:v>44120</c:v>
                </c:pt>
                <c:pt idx="188">
                  <c:v>44123</c:v>
                </c:pt>
                <c:pt idx="189">
                  <c:v>44124</c:v>
                </c:pt>
                <c:pt idx="190">
                  <c:v>44125</c:v>
                </c:pt>
                <c:pt idx="191">
                  <c:v>44126</c:v>
                </c:pt>
                <c:pt idx="192">
                  <c:v>44127</c:v>
                </c:pt>
                <c:pt idx="193">
                  <c:v>44130</c:v>
                </c:pt>
                <c:pt idx="194">
                  <c:v>44131</c:v>
                </c:pt>
                <c:pt idx="195">
                  <c:v>44132</c:v>
                </c:pt>
                <c:pt idx="196">
                  <c:v>44133</c:v>
                </c:pt>
                <c:pt idx="197">
                  <c:v>44134</c:v>
                </c:pt>
                <c:pt idx="198">
                  <c:v>44137</c:v>
                </c:pt>
                <c:pt idx="199">
                  <c:v>44138</c:v>
                </c:pt>
                <c:pt idx="200">
                  <c:v>44139</c:v>
                </c:pt>
                <c:pt idx="201">
                  <c:v>44140</c:v>
                </c:pt>
                <c:pt idx="202">
                  <c:v>44141</c:v>
                </c:pt>
                <c:pt idx="203">
                  <c:v>44144</c:v>
                </c:pt>
                <c:pt idx="204">
                  <c:v>44145</c:v>
                </c:pt>
                <c:pt idx="205">
                  <c:v>44146</c:v>
                </c:pt>
                <c:pt idx="206">
                  <c:v>44147</c:v>
                </c:pt>
                <c:pt idx="207">
                  <c:v>44148</c:v>
                </c:pt>
                <c:pt idx="208">
                  <c:v>44151</c:v>
                </c:pt>
                <c:pt idx="209">
                  <c:v>44152</c:v>
                </c:pt>
                <c:pt idx="210">
                  <c:v>44153</c:v>
                </c:pt>
                <c:pt idx="211">
                  <c:v>44154</c:v>
                </c:pt>
                <c:pt idx="212">
                  <c:v>44155</c:v>
                </c:pt>
                <c:pt idx="213">
                  <c:v>44158</c:v>
                </c:pt>
                <c:pt idx="214">
                  <c:v>44159</c:v>
                </c:pt>
                <c:pt idx="215">
                  <c:v>44160</c:v>
                </c:pt>
                <c:pt idx="216">
                  <c:v>44161</c:v>
                </c:pt>
                <c:pt idx="217">
                  <c:v>44162</c:v>
                </c:pt>
                <c:pt idx="218">
                  <c:v>44165</c:v>
                </c:pt>
                <c:pt idx="219">
                  <c:v>44166</c:v>
                </c:pt>
                <c:pt idx="220">
                  <c:v>44167</c:v>
                </c:pt>
                <c:pt idx="221">
                  <c:v>44168</c:v>
                </c:pt>
                <c:pt idx="222">
                  <c:v>44169</c:v>
                </c:pt>
                <c:pt idx="223">
                  <c:v>44172</c:v>
                </c:pt>
                <c:pt idx="224">
                  <c:v>44173</c:v>
                </c:pt>
                <c:pt idx="225">
                  <c:v>44174</c:v>
                </c:pt>
                <c:pt idx="226">
                  <c:v>44175</c:v>
                </c:pt>
                <c:pt idx="227">
                  <c:v>44176</c:v>
                </c:pt>
                <c:pt idx="228">
                  <c:v>44179</c:v>
                </c:pt>
                <c:pt idx="229">
                  <c:v>44180</c:v>
                </c:pt>
                <c:pt idx="230">
                  <c:v>44181</c:v>
                </c:pt>
                <c:pt idx="231">
                  <c:v>44182</c:v>
                </c:pt>
                <c:pt idx="232">
                  <c:v>44183</c:v>
                </c:pt>
                <c:pt idx="233">
                  <c:v>44186</c:v>
                </c:pt>
                <c:pt idx="234">
                  <c:v>44187</c:v>
                </c:pt>
                <c:pt idx="235">
                  <c:v>44188</c:v>
                </c:pt>
                <c:pt idx="236">
                  <c:v>44189</c:v>
                </c:pt>
                <c:pt idx="237">
                  <c:v>44190</c:v>
                </c:pt>
                <c:pt idx="238">
                  <c:v>44193</c:v>
                </c:pt>
                <c:pt idx="239">
                  <c:v>44194</c:v>
                </c:pt>
                <c:pt idx="240">
                  <c:v>44195</c:v>
                </c:pt>
                <c:pt idx="241">
                  <c:v>44196</c:v>
                </c:pt>
                <c:pt idx="242">
                  <c:v>44200</c:v>
                </c:pt>
                <c:pt idx="243">
                  <c:v>44201</c:v>
                </c:pt>
                <c:pt idx="244">
                  <c:v>44202</c:v>
                </c:pt>
                <c:pt idx="245">
                  <c:v>44203</c:v>
                </c:pt>
                <c:pt idx="246">
                  <c:v>44204</c:v>
                </c:pt>
                <c:pt idx="247">
                  <c:v>44207</c:v>
                </c:pt>
                <c:pt idx="248">
                  <c:v>44208</c:v>
                </c:pt>
                <c:pt idx="249">
                  <c:v>44209</c:v>
                </c:pt>
                <c:pt idx="250">
                  <c:v>44210</c:v>
                </c:pt>
                <c:pt idx="251">
                  <c:v>44211</c:v>
                </c:pt>
                <c:pt idx="252">
                  <c:v>44214</c:v>
                </c:pt>
                <c:pt idx="253">
                  <c:v>44215</c:v>
                </c:pt>
                <c:pt idx="254">
                  <c:v>44216</c:v>
                </c:pt>
                <c:pt idx="255">
                  <c:v>44217</c:v>
                </c:pt>
                <c:pt idx="256">
                  <c:v>44218</c:v>
                </c:pt>
                <c:pt idx="257">
                  <c:v>44221</c:v>
                </c:pt>
                <c:pt idx="258">
                  <c:v>44222</c:v>
                </c:pt>
                <c:pt idx="259">
                  <c:v>44223</c:v>
                </c:pt>
                <c:pt idx="260">
                  <c:v>44224</c:v>
                </c:pt>
                <c:pt idx="261">
                  <c:v>44225</c:v>
                </c:pt>
                <c:pt idx="262">
                  <c:v>44228</c:v>
                </c:pt>
                <c:pt idx="263">
                  <c:v>44229</c:v>
                </c:pt>
                <c:pt idx="264">
                  <c:v>44230</c:v>
                </c:pt>
                <c:pt idx="265">
                  <c:v>44231</c:v>
                </c:pt>
                <c:pt idx="266">
                  <c:v>44232</c:v>
                </c:pt>
                <c:pt idx="267">
                  <c:v>44235</c:v>
                </c:pt>
                <c:pt idx="268">
                  <c:v>44236</c:v>
                </c:pt>
                <c:pt idx="269">
                  <c:v>44237</c:v>
                </c:pt>
                <c:pt idx="270">
                  <c:v>44245</c:v>
                </c:pt>
                <c:pt idx="271">
                  <c:v>44246</c:v>
                </c:pt>
                <c:pt idx="272">
                  <c:v>44249</c:v>
                </c:pt>
                <c:pt idx="273">
                  <c:v>44250</c:v>
                </c:pt>
                <c:pt idx="274">
                  <c:v>44251</c:v>
                </c:pt>
                <c:pt idx="275">
                  <c:v>44252</c:v>
                </c:pt>
                <c:pt idx="276">
                  <c:v>44253</c:v>
                </c:pt>
                <c:pt idx="277">
                  <c:v>44256</c:v>
                </c:pt>
                <c:pt idx="278">
                  <c:v>44257</c:v>
                </c:pt>
                <c:pt idx="279">
                  <c:v>44258</c:v>
                </c:pt>
                <c:pt idx="280">
                  <c:v>44259</c:v>
                </c:pt>
                <c:pt idx="281">
                  <c:v>44260</c:v>
                </c:pt>
                <c:pt idx="282">
                  <c:v>44263</c:v>
                </c:pt>
                <c:pt idx="283">
                  <c:v>44264</c:v>
                </c:pt>
                <c:pt idx="284">
                  <c:v>44265</c:v>
                </c:pt>
                <c:pt idx="285">
                  <c:v>44266</c:v>
                </c:pt>
                <c:pt idx="286">
                  <c:v>44267</c:v>
                </c:pt>
                <c:pt idx="287">
                  <c:v>44270</c:v>
                </c:pt>
                <c:pt idx="288">
                  <c:v>44271</c:v>
                </c:pt>
                <c:pt idx="289">
                  <c:v>44272</c:v>
                </c:pt>
                <c:pt idx="290">
                  <c:v>44273</c:v>
                </c:pt>
                <c:pt idx="291">
                  <c:v>44274</c:v>
                </c:pt>
                <c:pt idx="292">
                  <c:v>44277</c:v>
                </c:pt>
                <c:pt idx="293">
                  <c:v>44278</c:v>
                </c:pt>
                <c:pt idx="294">
                  <c:v>44279</c:v>
                </c:pt>
                <c:pt idx="295">
                  <c:v>44280</c:v>
                </c:pt>
                <c:pt idx="296">
                  <c:v>44281</c:v>
                </c:pt>
                <c:pt idx="297">
                  <c:v>44284</c:v>
                </c:pt>
                <c:pt idx="298">
                  <c:v>44285</c:v>
                </c:pt>
                <c:pt idx="299">
                  <c:v>44286</c:v>
                </c:pt>
                <c:pt idx="300">
                  <c:v>44287</c:v>
                </c:pt>
                <c:pt idx="301">
                  <c:v>44288</c:v>
                </c:pt>
                <c:pt idx="302">
                  <c:v>44292</c:v>
                </c:pt>
                <c:pt idx="303">
                  <c:v>44293</c:v>
                </c:pt>
                <c:pt idx="304">
                  <c:v>44294</c:v>
                </c:pt>
                <c:pt idx="305">
                  <c:v>44295</c:v>
                </c:pt>
                <c:pt idx="306">
                  <c:v>44298</c:v>
                </c:pt>
                <c:pt idx="307">
                  <c:v>44299</c:v>
                </c:pt>
                <c:pt idx="308">
                  <c:v>44300</c:v>
                </c:pt>
                <c:pt idx="309">
                  <c:v>44301</c:v>
                </c:pt>
                <c:pt idx="310">
                  <c:v>44302</c:v>
                </c:pt>
                <c:pt idx="311">
                  <c:v>44305</c:v>
                </c:pt>
                <c:pt idx="312">
                  <c:v>44306</c:v>
                </c:pt>
                <c:pt idx="313">
                  <c:v>44307</c:v>
                </c:pt>
                <c:pt idx="314">
                  <c:v>44308</c:v>
                </c:pt>
                <c:pt idx="315">
                  <c:v>44309</c:v>
                </c:pt>
                <c:pt idx="316">
                  <c:v>44312</c:v>
                </c:pt>
                <c:pt idx="317">
                  <c:v>44313</c:v>
                </c:pt>
                <c:pt idx="318">
                  <c:v>44314</c:v>
                </c:pt>
                <c:pt idx="319">
                  <c:v>44315</c:v>
                </c:pt>
                <c:pt idx="320">
                  <c:v>44316</c:v>
                </c:pt>
                <c:pt idx="321">
                  <c:v>44322</c:v>
                </c:pt>
                <c:pt idx="322">
                  <c:v>44323</c:v>
                </c:pt>
                <c:pt idx="323">
                  <c:v>44326</c:v>
                </c:pt>
                <c:pt idx="324">
                  <c:v>44327</c:v>
                </c:pt>
                <c:pt idx="325">
                  <c:v>44328</c:v>
                </c:pt>
                <c:pt idx="326">
                  <c:v>44329</c:v>
                </c:pt>
                <c:pt idx="327">
                  <c:v>44330</c:v>
                </c:pt>
                <c:pt idx="328">
                  <c:v>44333</c:v>
                </c:pt>
                <c:pt idx="329">
                  <c:v>44334</c:v>
                </c:pt>
                <c:pt idx="330">
                  <c:v>44335</c:v>
                </c:pt>
                <c:pt idx="331">
                  <c:v>44336</c:v>
                </c:pt>
                <c:pt idx="332">
                  <c:v>44337</c:v>
                </c:pt>
                <c:pt idx="333">
                  <c:v>44340</c:v>
                </c:pt>
                <c:pt idx="334">
                  <c:v>44341</c:v>
                </c:pt>
                <c:pt idx="335">
                  <c:v>44342</c:v>
                </c:pt>
                <c:pt idx="336">
                  <c:v>44343</c:v>
                </c:pt>
                <c:pt idx="337">
                  <c:v>44344</c:v>
                </c:pt>
                <c:pt idx="338">
                  <c:v>44347</c:v>
                </c:pt>
                <c:pt idx="339">
                  <c:v>44348</c:v>
                </c:pt>
                <c:pt idx="340">
                  <c:v>44349</c:v>
                </c:pt>
                <c:pt idx="341">
                  <c:v>44350</c:v>
                </c:pt>
                <c:pt idx="342">
                  <c:v>44351</c:v>
                </c:pt>
                <c:pt idx="343">
                  <c:v>44354</c:v>
                </c:pt>
                <c:pt idx="344">
                  <c:v>44355</c:v>
                </c:pt>
                <c:pt idx="345">
                  <c:v>44356</c:v>
                </c:pt>
                <c:pt idx="346">
                  <c:v>44357</c:v>
                </c:pt>
                <c:pt idx="347">
                  <c:v>44358</c:v>
                </c:pt>
                <c:pt idx="348">
                  <c:v>44362</c:v>
                </c:pt>
                <c:pt idx="349">
                  <c:v>44363</c:v>
                </c:pt>
                <c:pt idx="350">
                  <c:v>44364</c:v>
                </c:pt>
                <c:pt idx="351">
                  <c:v>44365</c:v>
                </c:pt>
                <c:pt idx="352">
                  <c:v>44368</c:v>
                </c:pt>
                <c:pt idx="353">
                  <c:v>44369</c:v>
                </c:pt>
                <c:pt idx="354">
                  <c:v>44370</c:v>
                </c:pt>
                <c:pt idx="355">
                  <c:v>44371</c:v>
                </c:pt>
                <c:pt idx="356">
                  <c:v>44372</c:v>
                </c:pt>
                <c:pt idx="357">
                  <c:v>44375</c:v>
                </c:pt>
                <c:pt idx="358">
                  <c:v>44376</c:v>
                </c:pt>
                <c:pt idx="359">
                  <c:v>44377</c:v>
                </c:pt>
                <c:pt idx="360" formatCode="m/d/yyyy">
                  <c:v>44378</c:v>
                </c:pt>
                <c:pt idx="361" formatCode="m/d/yyyy">
                  <c:v>44379</c:v>
                </c:pt>
                <c:pt idx="362" formatCode="m/d/yyyy">
                  <c:v>44382</c:v>
                </c:pt>
                <c:pt idx="363" formatCode="m/d/yyyy">
                  <c:v>44383</c:v>
                </c:pt>
                <c:pt idx="364" formatCode="m/d/yyyy">
                  <c:v>44384</c:v>
                </c:pt>
                <c:pt idx="365" formatCode="m/d/yyyy">
                  <c:v>44385</c:v>
                </c:pt>
                <c:pt idx="366" formatCode="m/d/yyyy">
                  <c:v>44386</c:v>
                </c:pt>
                <c:pt idx="367" formatCode="m/d/yyyy">
                  <c:v>44389</c:v>
                </c:pt>
                <c:pt idx="368" formatCode="m/d/yyyy">
                  <c:v>44390</c:v>
                </c:pt>
                <c:pt idx="369" formatCode="m/d/yyyy">
                  <c:v>44391</c:v>
                </c:pt>
                <c:pt idx="370" formatCode="m/d/yyyy">
                  <c:v>44392</c:v>
                </c:pt>
                <c:pt idx="371" formatCode="m/d/yyyy">
                  <c:v>44393</c:v>
                </c:pt>
                <c:pt idx="372" formatCode="m/d/yyyy">
                  <c:v>44396</c:v>
                </c:pt>
                <c:pt idx="373" formatCode="m/d/yyyy">
                  <c:v>44397</c:v>
                </c:pt>
                <c:pt idx="374" formatCode="m/d/yyyy">
                  <c:v>44398</c:v>
                </c:pt>
                <c:pt idx="375" formatCode="m/d/yyyy">
                  <c:v>44399</c:v>
                </c:pt>
                <c:pt idx="376" formatCode="m/d/yyyy">
                  <c:v>44400</c:v>
                </c:pt>
                <c:pt idx="377" formatCode="m/d/yyyy">
                  <c:v>44403</c:v>
                </c:pt>
                <c:pt idx="378" formatCode="m/d/yyyy">
                  <c:v>44404</c:v>
                </c:pt>
                <c:pt idx="379" formatCode="m/d/yyyy">
                  <c:v>44405</c:v>
                </c:pt>
                <c:pt idx="380" formatCode="m/d/yyyy">
                  <c:v>44406</c:v>
                </c:pt>
                <c:pt idx="381" formatCode="m/d/yyyy">
                  <c:v>44407</c:v>
                </c:pt>
              </c:numCache>
            </c:numRef>
          </c:cat>
          <c:val>
            <c:numRef>
              <c:f>Sheet2!$H$2:$H$1309</c:f>
              <c:numCache>
                <c:formatCode>#,##0.0000_ </c:formatCode>
                <c:ptCount val="382"/>
                <c:pt idx="120">
                  <c:v>0.99828050000000002</c:v>
                </c:pt>
                <c:pt idx="121">
                  <c:v>1.010753</c:v>
                </c:pt>
                <c:pt idx="122">
                  <c:v>1.0025915000000001</c:v>
                </c:pt>
                <c:pt idx="123">
                  <c:v>1.0093249999999998</c:v>
                </c:pt>
                <c:pt idx="124">
                  <c:v>1.0383779999999989</c:v>
                </c:pt>
                <c:pt idx="125">
                  <c:v>1.0445449999999992</c:v>
                </c:pt>
                <c:pt idx="126">
                  <c:v>1.0453359999999992</c:v>
                </c:pt>
                <c:pt idx="127">
                  <c:v>0.98878899999999903</c:v>
                </c:pt>
                <c:pt idx="128">
                  <c:v>1.021887999999999</c:v>
                </c:pt>
                <c:pt idx="129">
                  <c:v>1.0095214999999993</c:v>
                </c:pt>
                <c:pt idx="130">
                  <c:v>1.0203794999999989</c:v>
                </c:pt>
                <c:pt idx="131">
                  <c:v>1.0244459999999991</c:v>
                </c:pt>
                <c:pt idx="132">
                  <c:v>1.0188180000000002</c:v>
                </c:pt>
                <c:pt idx="133">
                  <c:v>0.98131899999999905</c:v>
                </c:pt>
                <c:pt idx="134">
                  <c:v>0.99938799999999917</c:v>
                </c:pt>
                <c:pt idx="135">
                  <c:v>1.006761499999999</c:v>
                </c:pt>
                <c:pt idx="136">
                  <c:v>0.9999514999999991</c:v>
                </c:pt>
                <c:pt idx="137">
                  <c:v>0.9987234999999991</c:v>
                </c:pt>
                <c:pt idx="138">
                  <c:v>0.99661999999999906</c:v>
                </c:pt>
                <c:pt idx="139">
                  <c:v>1.0019664999999989</c:v>
                </c:pt>
                <c:pt idx="140">
                  <c:v>1.0046959999999991</c:v>
                </c:pt>
                <c:pt idx="141">
                  <c:v>1.0138024999999993</c:v>
                </c:pt>
                <c:pt idx="142">
                  <c:v>1.0184094999999991</c:v>
                </c:pt>
                <c:pt idx="143">
                  <c:v>1.0223759999999993</c:v>
                </c:pt>
                <c:pt idx="144">
                  <c:v>1.0482104999999999</c:v>
                </c:pt>
                <c:pt idx="145">
                  <c:v>1.061455</c:v>
                </c:pt>
                <c:pt idx="146">
                  <c:v>1.069923</c:v>
                </c:pt>
                <c:pt idx="147">
                  <c:v>1.0810245000000001</c:v>
                </c:pt>
                <c:pt idx="148">
                  <c:v>1.086033</c:v>
                </c:pt>
                <c:pt idx="149">
                  <c:v>1.0635330000000001</c:v>
                </c:pt>
                <c:pt idx="150">
                  <c:v>1.0694669999999999</c:v>
                </c:pt>
                <c:pt idx="151">
                  <c:v>1.0781449999999999</c:v>
                </c:pt>
                <c:pt idx="152">
                  <c:v>1.0794309999999991</c:v>
                </c:pt>
                <c:pt idx="153">
                  <c:v>1.0845184999999999</c:v>
                </c:pt>
                <c:pt idx="154">
                  <c:v>1.095865499999999</c:v>
                </c:pt>
                <c:pt idx="155">
                  <c:v>1.1042864999999991</c:v>
                </c:pt>
                <c:pt idx="156">
                  <c:v>1.1019579999999991</c:v>
                </c:pt>
                <c:pt idx="157">
                  <c:v>1.1108635</c:v>
                </c:pt>
                <c:pt idx="158">
                  <c:v>1.0908174999999991</c:v>
                </c:pt>
                <c:pt idx="159">
                  <c:v>1.0972429999999991</c:v>
                </c:pt>
                <c:pt idx="160">
                  <c:v>1.1040879999999991</c:v>
                </c:pt>
                <c:pt idx="161">
                  <c:v>1.1016659999999991</c:v>
                </c:pt>
                <c:pt idx="162">
                  <c:v>1.1008459999999991</c:v>
                </c:pt>
                <c:pt idx="163">
                  <c:v>1.107024499999999</c:v>
                </c:pt>
                <c:pt idx="164">
                  <c:v>1.109207499999999</c:v>
                </c:pt>
                <c:pt idx="165">
                  <c:v>1.115042499999999</c:v>
                </c:pt>
                <c:pt idx="166">
                  <c:v>1.111518999999999</c:v>
                </c:pt>
                <c:pt idx="167">
                  <c:v>1.122093999999999</c:v>
                </c:pt>
                <c:pt idx="168">
                  <c:v>1.1310859999999991</c:v>
                </c:pt>
                <c:pt idx="169">
                  <c:v>1.138940499999999</c:v>
                </c:pt>
                <c:pt idx="170">
                  <c:v>1.141737999999999</c:v>
                </c:pt>
                <c:pt idx="171">
                  <c:v>1.1436259999999991</c:v>
                </c:pt>
                <c:pt idx="172">
                  <c:v>1.1404009999999991</c:v>
                </c:pt>
                <c:pt idx="173">
                  <c:v>1.133415499999999</c:v>
                </c:pt>
                <c:pt idx="174">
                  <c:v>1.1298629999999992</c:v>
                </c:pt>
                <c:pt idx="175">
                  <c:v>1.123160999999999</c:v>
                </c:pt>
                <c:pt idx="176">
                  <c:v>1.130905499999999</c:v>
                </c:pt>
                <c:pt idx="177">
                  <c:v>1.1256769999999992</c:v>
                </c:pt>
                <c:pt idx="178">
                  <c:v>1.1270409999999991</c:v>
                </c:pt>
                <c:pt idx="179">
                  <c:v>1.1222314999999992</c:v>
                </c:pt>
                <c:pt idx="180">
                  <c:v>1.1169019999999992</c:v>
                </c:pt>
                <c:pt idx="181">
                  <c:v>1.1169819999999999</c:v>
                </c:pt>
                <c:pt idx="182">
                  <c:v>1.1457459999999999</c:v>
                </c:pt>
                <c:pt idx="183">
                  <c:v>1.1327434999999999</c:v>
                </c:pt>
                <c:pt idx="184">
                  <c:v>1.1375249999999999</c:v>
                </c:pt>
                <c:pt idx="185">
                  <c:v>1.1411249999999999</c:v>
                </c:pt>
                <c:pt idx="186">
                  <c:v>1.1434770000000001</c:v>
                </c:pt>
                <c:pt idx="187">
                  <c:v>1.1493825</c:v>
                </c:pt>
                <c:pt idx="188">
                  <c:v>1.1572785000000001</c:v>
                </c:pt>
                <c:pt idx="189">
                  <c:v>1.161076</c:v>
                </c:pt>
                <c:pt idx="190">
                  <c:v>1.1609210000000001</c:v>
                </c:pt>
                <c:pt idx="191">
                  <c:v>1.1605084999999999</c:v>
                </c:pt>
                <c:pt idx="192">
                  <c:v>1.1593785000000001</c:v>
                </c:pt>
                <c:pt idx="193">
                  <c:v>1.1616455000000001</c:v>
                </c:pt>
                <c:pt idx="194">
                  <c:v>1.1625034999999999</c:v>
                </c:pt>
                <c:pt idx="195">
                  <c:v>1.1640619999999999</c:v>
                </c:pt>
                <c:pt idx="196">
                  <c:v>1.1656285</c:v>
                </c:pt>
                <c:pt idx="197">
                  <c:v>1.1587000000000001</c:v>
                </c:pt>
                <c:pt idx="198">
                  <c:v>1.1600855000000001</c:v>
                </c:pt>
                <c:pt idx="199">
                  <c:v>1.1592465000000001</c:v>
                </c:pt>
                <c:pt idx="200">
                  <c:v>1.16499</c:v>
                </c:pt>
                <c:pt idx="201">
                  <c:v>1.1668455</c:v>
                </c:pt>
                <c:pt idx="202">
                  <c:v>1.1698625</c:v>
                </c:pt>
                <c:pt idx="203">
                  <c:v>1.1690704999999999</c:v>
                </c:pt>
                <c:pt idx="204">
                  <c:v>1.170736</c:v>
                </c:pt>
                <c:pt idx="205">
                  <c:v>1.1741064999999999</c:v>
                </c:pt>
                <c:pt idx="206">
                  <c:v>1.1779289999999991</c:v>
                </c:pt>
                <c:pt idx="207">
                  <c:v>1.1709389999999991</c:v>
                </c:pt>
                <c:pt idx="208">
                  <c:v>1.176001499999999</c:v>
                </c:pt>
                <c:pt idx="209">
                  <c:v>1.178638499999999</c:v>
                </c:pt>
                <c:pt idx="210">
                  <c:v>1.1777809999999991</c:v>
                </c:pt>
                <c:pt idx="211">
                  <c:v>1.1780129999999991</c:v>
                </c:pt>
                <c:pt idx="212">
                  <c:v>1.1820054999999992</c:v>
                </c:pt>
                <c:pt idx="213">
                  <c:v>1.1823309999999991</c:v>
                </c:pt>
                <c:pt idx="214">
                  <c:v>1.1825529999999991</c:v>
                </c:pt>
                <c:pt idx="215">
                  <c:v>1.183750499999999</c:v>
                </c:pt>
                <c:pt idx="216">
                  <c:v>1.188050499999999</c:v>
                </c:pt>
                <c:pt idx="217">
                  <c:v>1.1841064999999991</c:v>
                </c:pt>
                <c:pt idx="218">
                  <c:v>1.1865389999999991</c:v>
                </c:pt>
                <c:pt idx="219">
                  <c:v>1.1725240464999991</c:v>
                </c:pt>
                <c:pt idx="220">
                  <c:v>1.1693930464999991</c:v>
                </c:pt>
                <c:pt idx="221">
                  <c:v>1.1709960464999991</c:v>
                </c:pt>
                <c:pt idx="222">
                  <c:v>1.1772005464999991</c:v>
                </c:pt>
                <c:pt idx="223">
                  <c:v>1.183176046499999</c:v>
                </c:pt>
                <c:pt idx="224">
                  <c:v>1.1892790464999989</c:v>
                </c:pt>
                <c:pt idx="225">
                  <c:v>1.1917840464999989</c:v>
                </c:pt>
                <c:pt idx="226">
                  <c:v>1.197514546499999</c:v>
                </c:pt>
                <c:pt idx="227">
                  <c:v>1.196810546499999</c:v>
                </c:pt>
                <c:pt idx="228">
                  <c:v>1.2047960464999989</c:v>
                </c:pt>
                <c:pt idx="229">
                  <c:v>1.2047465464999989</c:v>
                </c:pt>
                <c:pt idx="230">
                  <c:v>1.205349046499999</c:v>
                </c:pt>
                <c:pt idx="231">
                  <c:v>1.2022305464999989</c:v>
                </c:pt>
                <c:pt idx="232">
                  <c:v>1.2038200464999991</c:v>
                </c:pt>
                <c:pt idx="233">
                  <c:v>1.2026160464999991</c:v>
                </c:pt>
                <c:pt idx="234">
                  <c:v>1.201204546499999</c:v>
                </c:pt>
                <c:pt idx="235">
                  <c:v>1.2020875464999989</c:v>
                </c:pt>
                <c:pt idx="236">
                  <c:v>1.2041030464999991</c:v>
                </c:pt>
                <c:pt idx="237">
                  <c:v>1.204850546499999</c:v>
                </c:pt>
                <c:pt idx="238">
                  <c:v>1.2066735464999989</c:v>
                </c:pt>
                <c:pt idx="239">
                  <c:v>1.2059835464999991</c:v>
                </c:pt>
                <c:pt idx="240">
                  <c:v>1.204088046499999</c:v>
                </c:pt>
                <c:pt idx="241">
                  <c:v>1.2011295464999989</c:v>
                </c:pt>
                <c:pt idx="242">
                  <c:v>1.202056046499999</c:v>
                </c:pt>
                <c:pt idx="243">
                  <c:v>1.203449046499999</c:v>
                </c:pt>
                <c:pt idx="244">
                  <c:v>1.1994695464999989</c:v>
                </c:pt>
                <c:pt idx="245">
                  <c:v>1.182547046499999</c:v>
                </c:pt>
                <c:pt idx="246">
                  <c:v>1.1888290464999991</c:v>
                </c:pt>
                <c:pt idx="247">
                  <c:v>1.2201598334819661</c:v>
                </c:pt>
                <c:pt idx="248">
                  <c:v>1.1589137799407612</c:v>
                </c:pt>
                <c:pt idx="249">
                  <c:v>1.1687228934880642</c:v>
                </c:pt>
                <c:pt idx="250">
                  <c:v>1.1695504165968953</c:v>
                </c:pt>
                <c:pt idx="251">
                  <c:v>1.1824394004879761</c:v>
                </c:pt>
                <c:pt idx="252">
                  <c:v>1.1870156709566202</c:v>
                </c:pt>
                <c:pt idx="253">
                  <c:v>1.1867391886245782</c:v>
                </c:pt>
                <c:pt idx="254">
                  <c:v>1.1889058842314573</c:v>
                </c:pt>
                <c:pt idx="255">
                  <c:v>1.1859705247330212</c:v>
                </c:pt>
                <c:pt idx="256">
                  <c:v>1.1953654511314691</c:v>
                </c:pt>
                <c:pt idx="257">
                  <c:v>1.1968903443432402</c:v>
                </c:pt>
                <c:pt idx="258">
                  <c:v>1.1943331429978072</c:v>
                </c:pt>
                <c:pt idx="259">
                  <c:v>1.1973943581144453</c:v>
                </c:pt>
                <c:pt idx="260">
                  <c:v>1.1875905871361012</c:v>
                </c:pt>
                <c:pt idx="261">
                  <c:v>1.1874684560680302</c:v>
                </c:pt>
                <c:pt idx="262">
                  <c:v>1.1919448521443181</c:v>
                </c:pt>
                <c:pt idx="263">
                  <c:v>1.2003379460851151</c:v>
                </c:pt>
                <c:pt idx="264">
                  <c:v>1.2059100588467102</c:v>
                </c:pt>
                <c:pt idx="265">
                  <c:v>1.2053343391519011</c:v>
                </c:pt>
                <c:pt idx="266">
                  <c:v>1.2040276356631352</c:v>
                </c:pt>
                <c:pt idx="267">
                  <c:v>1.2071623821296131</c:v>
                </c:pt>
                <c:pt idx="268">
                  <c:v>1.2068117635098752</c:v>
                </c:pt>
                <c:pt idx="269">
                  <c:v>1.1997302617221222</c:v>
                </c:pt>
                <c:pt idx="270">
                  <c:v>1.2213262742395181</c:v>
                </c:pt>
                <c:pt idx="271">
                  <c:v>1.2351017623838081</c:v>
                </c:pt>
                <c:pt idx="272">
                  <c:v>1.2278208592163531</c:v>
                </c:pt>
                <c:pt idx="273">
                  <c:v>1.2284438242454732</c:v>
                </c:pt>
                <c:pt idx="274">
                  <c:v>1.2215570859307212</c:v>
                </c:pt>
                <c:pt idx="275">
                  <c:v>1.2245381457172102</c:v>
                </c:pt>
                <c:pt idx="276">
                  <c:v>1.2402098714304832</c:v>
                </c:pt>
                <c:pt idx="277">
                  <c:v>1.2584933917563172</c:v>
                </c:pt>
                <c:pt idx="278">
                  <c:v>1.2592291478966342</c:v>
                </c:pt>
                <c:pt idx="279">
                  <c:v>1.2601019805020952</c:v>
                </c:pt>
                <c:pt idx="280">
                  <c:v>1.2783664985635532</c:v>
                </c:pt>
                <c:pt idx="281">
                  <c:v>1.2745002042725011</c:v>
                </c:pt>
                <c:pt idx="282">
                  <c:v>1.2361543627398692</c:v>
                </c:pt>
                <c:pt idx="283">
                  <c:v>1.2506645951264521</c:v>
                </c:pt>
                <c:pt idx="284">
                  <c:v>1.2694053905062921</c:v>
                </c:pt>
                <c:pt idx="285">
                  <c:v>1.2727057024951922</c:v>
                </c:pt>
                <c:pt idx="286">
                  <c:v>1.2800002658439782</c:v>
                </c:pt>
                <c:pt idx="287">
                  <c:v>1.2835922315822301</c:v>
                </c:pt>
                <c:pt idx="288">
                  <c:v>1.2792404392884902</c:v>
                </c:pt>
                <c:pt idx="289">
                  <c:v>1.2792708932737091</c:v>
                </c:pt>
                <c:pt idx="290">
                  <c:v>1.2856666860525172</c:v>
                </c:pt>
                <c:pt idx="291">
                  <c:v>1.2931048210644731</c:v>
                </c:pt>
                <c:pt idx="292">
                  <c:v>1.2850974243294642</c:v>
                </c:pt>
                <c:pt idx="293">
                  <c:v>1.2770374807258382</c:v>
                </c:pt>
                <c:pt idx="294">
                  <c:v>1.2835507348847632</c:v>
                </c:pt>
                <c:pt idx="295">
                  <c:v>1.2760238419255843</c:v>
                </c:pt>
                <c:pt idx="296">
                  <c:v>1.2739137846211572</c:v>
                </c:pt>
                <c:pt idx="297">
                  <c:v>1.2705700094751122</c:v>
                </c:pt>
                <c:pt idx="298">
                  <c:v>1.2643801502601673</c:v>
                </c:pt>
                <c:pt idx="299">
                  <c:v>1.2654975729071782</c:v>
                </c:pt>
                <c:pt idx="300">
                  <c:v>1.2632175136093082</c:v>
                </c:pt>
                <c:pt idx="301">
                  <c:v>1.2651678004856883</c:v>
                </c:pt>
                <c:pt idx="302">
                  <c:v>1.2607971004856884</c:v>
                </c:pt>
                <c:pt idx="303">
                  <c:v>1.2586712004856884</c:v>
                </c:pt>
                <c:pt idx="304">
                  <c:v>1.2553650004856882</c:v>
                </c:pt>
                <c:pt idx="305">
                  <c:v>1.2585754004856884</c:v>
                </c:pt>
                <c:pt idx="306">
                  <c:v>1.2657498004856884</c:v>
                </c:pt>
                <c:pt idx="307">
                  <c:v>1.2627557004856884</c:v>
                </c:pt>
                <c:pt idx="308">
                  <c:v>1.2597445004856784</c:v>
                </c:pt>
                <c:pt idx="309">
                  <c:v>1.2593392004856883</c:v>
                </c:pt>
                <c:pt idx="310">
                  <c:v>1.2552079004856784</c:v>
                </c:pt>
                <c:pt idx="311">
                  <c:v>1.2713584004856784</c:v>
                </c:pt>
                <c:pt idx="312">
                  <c:v>1.2703324004856784</c:v>
                </c:pt>
                <c:pt idx="313">
                  <c:v>1.2691936004856883</c:v>
                </c:pt>
                <c:pt idx="314">
                  <c:v>1.2691114004856883</c:v>
                </c:pt>
                <c:pt idx="315">
                  <c:v>1.2690004004856883</c:v>
                </c:pt>
                <c:pt idx="316">
                  <c:v>1.2695520004856784</c:v>
                </c:pt>
                <c:pt idx="317">
                  <c:v>1.2718869004856883</c:v>
                </c:pt>
                <c:pt idx="318">
                  <c:v>1.2756900004856784</c:v>
                </c:pt>
                <c:pt idx="319">
                  <c:v>1.2767940004856784</c:v>
                </c:pt>
                <c:pt idx="320">
                  <c:v>1.2771403004856883</c:v>
                </c:pt>
                <c:pt idx="321">
                  <c:v>1.2831948004856883</c:v>
                </c:pt>
                <c:pt idx="322">
                  <c:v>1.2812158004856784</c:v>
                </c:pt>
                <c:pt idx="323">
                  <c:v>1.2843347004856884</c:v>
                </c:pt>
                <c:pt idx="324">
                  <c:v>1.2837757004856882</c:v>
                </c:pt>
                <c:pt idx="325">
                  <c:v>1.2839722004856784</c:v>
                </c:pt>
                <c:pt idx="326">
                  <c:v>1.2799255004856884</c:v>
                </c:pt>
                <c:pt idx="327">
                  <c:v>1.2474510004856882</c:v>
                </c:pt>
                <c:pt idx="328">
                  <c:v>1.2395513004856784</c:v>
                </c:pt>
                <c:pt idx="329">
                  <c:v>1.2430202004856883</c:v>
                </c:pt>
                <c:pt idx="330">
                  <c:v>1.2478670004856882</c:v>
                </c:pt>
                <c:pt idx="331">
                  <c:v>1.2488015004856883</c:v>
                </c:pt>
                <c:pt idx="332">
                  <c:v>1.2511967004856883</c:v>
                </c:pt>
                <c:pt idx="333">
                  <c:v>1.2545379004856883</c:v>
                </c:pt>
                <c:pt idx="334">
                  <c:v>1.2312696004856882</c:v>
                </c:pt>
                <c:pt idx="335">
                  <c:v>1.2318438004856784</c:v>
                </c:pt>
                <c:pt idx="336">
                  <c:v>1.2305041004856883</c:v>
                </c:pt>
                <c:pt idx="337">
                  <c:v>1.2323480004856884</c:v>
                </c:pt>
                <c:pt idx="338">
                  <c:v>1.2405721437552284</c:v>
                </c:pt>
                <c:pt idx="339">
                  <c:v>1.2405721437552284</c:v>
                </c:pt>
                <c:pt idx="340">
                  <c:v>1.2564814830222084</c:v>
                </c:pt>
                <c:pt idx="341">
                  <c:v>1.2624606830222083</c:v>
                </c:pt>
                <c:pt idx="342">
                  <c:v>1.2658971830222083</c:v>
                </c:pt>
                <c:pt idx="343">
                  <c:v>1.2689147830222083</c:v>
                </c:pt>
                <c:pt idx="344">
                  <c:v>1.2672441830222083</c:v>
                </c:pt>
                <c:pt idx="345">
                  <c:v>1.2813730830222083</c:v>
                </c:pt>
                <c:pt idx="346">
                  <c:v>1.2850255830222084</c:v>
                </c:pt>
                <c:pt idx="347">
                  <c:v>1.2851629830222082</c:v>
                </c:pt>
                <c:pt idx="348">
                  <c:v>1.2877609830222083</c:v>
                </c:pt>
                <c:pt idx="349">
                  <c:v>1.2858605830222083</c:v>
                </c:pt>
                <c:pt idx="350">
                  <c:v>1.2921275830222083</c:v>
                </c:pt>
                <c:pt idx="351">
                  <c:v>1.2935105830222082</c:v>
                </c:pt>
                <c:pt idx="352">
                  <c:v>1.2933268830222082</c:v>
                </c:pt>
                <c:pt idx="353">
                  <c:v>1.2941097830222084</c:v>
                </c:pt>
                <c:pt idx="354">
                  <c:v>1.2984913830222082</c:v>
                </c:pt>
                <c:pt idx="355">
                  <c:v>1.2999376830222082</c:v>
                </c:pt>
                <c:pt idx="356">
                  <c:v>1.2930907830222083</c:v>
                </c:pt>
                <c:pt idx="357">
                  <c:v>1.2946341830222083</c:v>
                </c:pt>
                <c:pt idx="358">
                  <c:v>1.2938322830222084</c:v>
                </c:pt>
                <c:pt idx="359">
                  <c:v>1.2959530830222084</c:v>
                </c:pt>
                <c:pt idx="360">
                  <c:v>1.2869725830222083</c:v>
                </c:pt>
                <c:pt idx="361">
                  <c:v>1.2908931830222083</c:v>
                </c:pt>
                <c:pt idx="362">
                  <c:v>1.2936714830222082</c:v>
                </c:pt>
                <c:pt idx="363">
                  <c:v>1.2891428830222083</c:v>
                </c:pt>
                <c:pt idx="364">
                  <c:v>1.2786057830222084</c:v>
                </c:pt>
                <c:pt idx="365">
                  <c:v>1.2782546830222083</c:v>
                </c:pt>
                <c:pt idx="366">
                  <c:v>1.2800807830222083</c:v>
                </c:pt>
                <c:pt idx="367">
                  <c:v>1.2799749830222082</c:v>
                </c:pt>
                <c:pt idx="368">
                  <c:v>1.2817553830222084</c:v>
                </c:pt>
                <c:pt idx="369">
                  <c:v>1.2850510830222084</c:v>
                </c:pt>
                <c:pt idx="370">
                  <c:v>1.2876312830222083</c:v>
                </c:pt>
                <c:pt idx="371">
                  <c:v>1.2543594830222082</c:v>
                </c:pt>
                <c:pt idx="372">
                  <c:v>1.2691110830222083</c:v>
                </c:pt>
                <c:pt idx="373">
                  <c:v>1.2595152830222083</c:v>
                </c:pt>
                <c:pt idx="374">
                  <c:v>1.2815323830222083</c:v>
                </c:pt>
                <c:pt idx="375">
                  <c:v>1.2802210830222083</c:v>
                </c:pt>
                <c:pt idx="376">
                  <c:v>1.2566482830222083</c:v>
                </c:pt>
                <c:pt idx="377">
                  <c:v>1.2573886830222083</c:v>
                </c:pt>
                <c:pt idx="378">
                  <c:v>1.2789673830222084</c:v>
                </c:pt>
                <c:pt idx="379">
                  <c:v>1.2837853830222083</c:v>
                </c:pt>
                <c:pt idx="380">
                  <c:v>1.2857610830222084</c:v>
                </c:pt>
                <c:pt idx="381">
                  <c:v>1.2873465830222084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11-4D0A-8DAB-891776E13291}"/>
            </c:ext>
          </c:extLst>
        </c:ser>
        <c:ser>
          <c:idx val="3"/>
          <c:order val="3"/>
          <c:tx>
            <c:strRef>
              <c:f>Sheet2!$I$1</c:f>
              <c:strCache>
                <c:ptCount val="1"/>
                <c:pt idx="0">
                  <c:v>收盘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Sheet2!$A$2:$A$1309</c:f>
              <c:numCache>
                <c:formatCode>yyyy\-mm\-dd;@</c:formatCode>
                <c:ptCount val="382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43892</c:v>
                </c:pt>
                <c:pt idx="36">
                  <c:v>43893</c:v>
                </c:pt>
                <c:pt idx="37">
                  <c:v>43894</c:v>
                </c:pt>
                <c:pt idx="38">
                  <c:v>43895</c:v>
                </c:pt>
                <c:pt idx="39">
                  <c:v>43896</c:v>
                </c:pt>
                <c:pt idx="40">
                  <c:v>43899</c:v>
                </c:pt>
                <c:pt idx="41">
                  <c:v>43900</c:v>
                </c:pt>
                <c:pt idx="42">
                  <c:v>43901</c:v>
                </c:pt>
                <c:pt idx="43">
                  <c:v>43902</c:v>
                </c:pt>
                <c:pt idx="44">
                  <c:v>43903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43913</c:v>
                </c:pt>
                <c:pt idx="51">
                  <c:v>43914</c:v>
                </c:pt>
                <c:pt idx="52">
                  <c:v>43915</c:v>
                </c:pt>
                <c:pt idx="53">
                  <c:v>43916</c:v>
                </c:pt>
                <c:pt idx="54">
                  <c:v>43917</c:v>
                </c:pt>
                <c:pt idx="55">
                  <c:v>43920</c:v>
                </c:pt>
                <c:pt idx="56">
                  <c:v>43921</c:v>
                </c:pt>
                <c:pt idx="57">
                  <c:v>43922</c:v>
                </c:pt>
                <c:pt idx="58">
                  <c:v>43923</c:v>
                </c:pt>
                <c:pt idx="59">
                  <c:v>43924</c:v>
                </c:pt>
                <c:pt idx="60">
                  <c:v>43928</c:v>
                </c:pt>
                <c:pt idx="61">
                  <c:v>43929</c:v>
                </c:pt>
                <c:pt idx="62">
                  <c:v>43930</c:v>
                </c:pt>
                <c:pt idx="63">
                  <c:v>43931</c:v>
                </c:pt>
                <c:pt idx="64">
                  <c:v>43934</c:v>
                </c:pt>
                <c:pt idx="65">
                  <c:v>43935</c:v>
                </c:pt>
                <c:pt idx="66">
                  <c:v>43936</c:v>
                </c:pt>
                <c:pt idx="67">
                  <c:v>43937</c:v>
                </c:pt>
                <c:pt idx="68">
                  <c:v>43938</c:v>
                </c:pt>
                <c:pt idx="69">
                  <c:v>43941</c:v>
                </c:pt>
                <c:pt idx="70">
                  <c:v>43942</c:v>
                </c:pt>
                <c:pt idx="71">
                  <c:v>43943</c:v>
                </c:pt>
                <c:pt idx="72">
                  <c:v>43944</c:v>
                </c:pt>
                <c:pt idx="73">
                  <c:v>43945</c:v>
                </c:pt>
                <c:pt idx="74">
                  <c:v>43948</c:v>
                </c:pt>
                <c:pt idx="75">
                  <c:v>43949</c:v>
                </c:pt>
                <c:pt idx="76">
                  <c:v>43950</c:v>
                </c:pt>
                <c:pt idx="77">
                  <c:v>43951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44011</c:v>
                </c:pt>
                <c:pt idx="115">
                  <c:v>44012</c:v>
                </c:pt>
                <c:pt idx="116">
                  <c:v>44013</c:v>
                </c:pt>
                <c:pt idx="117">
                  <c:v>44014</c:v>
                </c:pt>
                <c:pt idx="118">
                  <c:v>44015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44025</c:v>
                </c:pt>
                <c:pt idx="125">
                  <c:v>44026</c:v>
                </c:pt>
                <c:pt idx="126">
                  <c:v>44027</c:v>
                </c:pt>
                <c:pt idx="127">
                  <c:v>44028</c:v>
                </c:pt>
                <c:pt idx="128">
                  <c:v>44029</c:v>
                </c:pt>
                <c:pt idx="129">
                  <c:v>44032</c:v>
                </c:pt>
                <c:pt idx="130">
                  <c:v>44033</c:v>
                </c:pt>
                <c:pt idx="131">
                  <c:v>44034</c:v>
                </c:pt>
                <c:pt idx="132">
                  <c:v>44035</c:v>
                </c:pt>
                <c:pt idx="133">
                  <c:v>44036</c:v>
                </c:pt>
                <c:pt idx="134">
                  <c:v>44039</c:v>
                </c:pt>
                <c:pt idx="135">
                  <c:v>44040</c:v>
                </c:pt>
                <c:pt idx="136">
                  <c:v>44041</c:v>
                </c:pt>
                <c:pt idx="137">
                  <c:v>44042</c:v>
                </c:pt>
                <c:pt idx="138">
                  <c:v>44043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44053</c:v>
                </c:pt>
                <c:pt idx="145">
                  <c:v>44054</c:v>
                </c:pt>
                <c:pt idx="146">
                  <c:v>44055</c:v>
                </c:pt>
                <c:pt idx="147">
                  <c:v>44056</c:v>
                </c:pt>
                <c:pt idx="148">
                  <c:v>44057</c:v>
                </c:pt>
                <c:pt idx="149">
                  <c:v>44060</c:v>
                </c:pt>
                <c:pt idx="150">
                  <c:v>44061</c:v>
                </c:pt>
                <c:pt idx="151">
                  <c:v>44062</c:v>
                </c:pt>
                <c:pt idx="152">
                  <c:v>44063</c:v>
                </c:pt>
                <c:pt idx="153">
                  <c:v>44064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44074</c:v>
                </c:pt>
                <c:pt idx="160">
                  <c:v>44075</c:v>
                </c:pt>
                <c:pt idx="161">
                  <c:v>44076</c:v>
                </c:pt>
                <c:pt idx="162">
                  <c:v>44077</c:v>
                </c:pt>
                <c:pt idx="163">
                  <c:v>44078</c:v>
                </c:pt>
                <c:pt idx="164">
                  <c:v>44081</c:v>
                </c:pt>
                <c:pt idx="165">
                  <c:v>44082</c:v>
                </c:pt>
                <c:pt idx="166">
                  <c:v>44083</c:v>
                </c:pt>
                <c:pt idx="167">
                  <c:v>44084</c:v>
                </c:pt>
                <c:pt idx="168">
                  <c:v>44085</c:v>
                </c:pt>
                <c:pt idx="169">
                  <c:v>44088</c:v>
                </c:pt>
                <c:pt idx="170">
                  <c:v>44089</c:v>
                </c:pt>
                <c:pt idx="171">
                  <c:v>44090</c:v>
                </c:pt>
                <c:pt idx="172">
                  <c:v>44091</c:v>
                </c:pt>
                <c:pt idx="173">
                  <c:v>44092</c:v>
                </c:pt>
                <c:pt idx="174">
                  <c:v>44095</c:v>
                </c:pt>
                <c:pt idx="175">
                  <c:v>44096</c:v>
                </c:pt>
                <c:pt idx="176">
                  <c:v>44097</c:v>
                </c:pt>
                <c:pt idx="177">
                  <c:v>44098</c:v>
                </c:pt>
                <c:pt idx="178">
                  <c:v>44099</c:v>
                </c:pt>
                <c:pt idx="179">
                  <c:v>44102</c:v>
                </c:pt>
                <c:pt idx="180">
                  <c:v>44103</c:v>
                </c:pt>
                <c:pt idx="181">
                  <c:v>44104</c:v>
                </c:pt>
                <c:pt idx="182">
                  <c:v>44113</c:v>
                </c:pt>
                <c:pt idx="183">
                  <c:v>44116</c:v>
                </c:pt>
                <c:pt idx="184">
                  <c:v>44117</c:v>
                </c:pt>
                <c:pt idx="185">
                  <c:v>44118</c:v>
                </c:pt>
                <c:pt idx="186">
                  <c:v>44119</c:v>
                </c:pt>
                <c:pt idx="187">
                  <c:v>44120</c:v>
                </c:pt>
                <c:pt idx="188">
                  <c:v>44123</c:v>
                </c:pt>
                <c:pt idx="189">
                  <c:v>44124</c:v>
                </c:pt>
                <c:pt idx="190">
                  <c:v>44125</c:v>
                </c:pt>
                <c:pt idx="191">
                  <c:v>44126</c:v>
                </c:pt>
                <c:pt idx="192">
                  <c:v>44127</c:v>
                </c:pt>
                <c:pt idx="193">
                  <c:v>44130</c:v>
                </c:pt>
                <c:pt idx="194">
                  <c:v>44131</c:v>
                </c:pt>
                <c:pt idx="195">
                  <c:v>44132</c:v>
                </c:pt>
                <c:pt idx="196">
                  <c:v>44133</c:v>
                </c:pt>
                <c:pt idx="197">
                  <c:v>44134</c:v>
                </c:pt>
                <c:pt idx="198">
                  <c:v>44137</c:v>
                </c:pt>
                <c:pt idx="199">
                  <c:v>44138</c:v>
                </c:pt>
                <c:pt idx="200">
                  <c:v>44139</c:v>
                </c:pt>
                <c:pt idx="201">
                  <c:v>44140</c:v>
                </c:pt>
                <c:pt idx="202">
                  <c:v>44141</c:v>
                </c:pt>
                <c:pt idx="203">
                  <c:v>44144</c:v>
                </c:pt>
                <c:pt idx="204">
                  <c:v>44145</c:v>
                </c:pt>
                <c:pt idx="205">
                  <c:v>44146</c:v>
                </c:pt>
                <c:pt idx="206">
                  <c:v>44147</c:v>
                </c:pt>
                <c:pt idx="207">
                  <c:v>44148</c:v>
                </c:pt>
                <c:pt idx="208">
                  <c:v>44151</c:v>
                </c:pt>
                <c:pt idx="209">
                  <c:v>44152</c:v>
                </c:pt>
                <c:pt idx="210">
                  <c:v>44153</c:v>
                </c:pt>
                <c:pt idx="211">
                  <c:v>44154</c:v>
                </c:pt>
                <c:pt idx="212">
                  <c:v>44155</c:v>
                </c:pt>
                <c:pt idx="213">
                  <c:v>44158</c:v>
                </c:pt>
                <c:pt idx="214">
                  <c:v>44159</c:v>
                </c:pt>
                <c:pt idx="215">
                  <c:v>44160</c:v>
                </c:pt>
                <c:pt idx="216">
                  <c:v>44161</c:v>
                </c:pt>
                <c:pt idx="217">
                  <c:v>44162</c:v>
                </c:pt>
                <c:pt idx="218">
                  <c:v>44165</c:v>
                </c:pt>
                <c:pt idx="219">
                  <c:v>44166</c:v>
                </c:pt>
                <c:pt idx="220">
                  <c:v>44167</c:v>
                </c:pt>
                <c:pt idx="221">
                  <c:v>44168</c:v>
                </c:pt>
                <c:pt idx="222">
                  <c:v>44169</c:v>
                </c:pt>
                <c:pt idx="223">
                  <c:v>44172</c:v>
                </c:pt>
                <c:pt idx="224">
                  <c:v>44173</c:v>
                </c:pt>
                <c:pt idx="225">
                  <c:v>44174</c:v>
                </c:pt>
                <c:pt idx="226">
                  <c:v>44175</c:v>
                </c:pt>
                <c:pt idx="227">
                  <c:v>44176</c:v>
                </c:pt>
                <c:pt idx="228">
                  <c:v>44179</c:v>
                </c:pt>
                <c:pt idx="229">
                  <c:v>44180</c:v>
                </c:pt>
                <c:pt idx="230">
                  <c:v>44181</c:v>
                </c:pt>
                <c:pt idx="231">
                  <c:v>44182</c:v>
                </c:pt>
                <c:pt idx="232">
                  <c:v>44183</c:v>
                </c:pt>
                <c:pt idx="233">
                  <c:v>44186</c:v>
                </c:pt>
                <c:pt idx="234">
                  <c:v>44187</c:v>
                </c:pt>
                <c:pt idx="235">
                  <c:v>44188</c:v>
                </c:pt>
                <c:pt idx="236">
                  <c:v>44189</c:v>
                </c:pt>
                <c:pt idx="237">
                  <c:v>44190</c:v>
                </c:pt>
                <c:pt idx="238">
                  <c:v>44193</c:v>
                </c:pt>
                <c:pt idx="239">
                  <c:v>44194</c:v>
                </c:pt>
                <c:pt idx="240">
                  <c:v>44195</c:v>
                </c:pt>
                <c:pt idx="241">
                  <c:v>44196</c:v>
                </c:pt>
                <c:pt idx="242">
                  <c:v>44200</c:v>
                </c:pt>
                <c:pt idx="243">
                  <c:v>44201</c:v>
                </c:pt>
                <c:pt idx="244">
                  <c:v>44202</c:v>
                </c:pt>
                <c:pt idx="245">
                  <c:v>44203</c:v>
                </c:pt>
                <c:pt idx="246">
                  <c:v>44204</c:v>
                </c:pt>
                <c:pt idx="247">
                  <c:v>44207</c:v>
                </c:pt>
                <c:pt idx="248">
                  <c:v>44208</c:v>
                </c:pt>
                <c:pt idx="249">
                  <c:v>44209</c:v>
                </c:pt>
                <c:pt idx="250">
                  <c:v>44210</c:v>
                </c:pt>
                <c:pt idx="251">
                  <c:v>44211</c:v>
                </c:pt>
                <c:pt idx="252">
                  <c:v>44214</c:v>
                </c:pt>
                <c:pt idx="253">
                  <c:v>44215</c:v>
                </c:pt>
                <c:pt idx="254">
                  <c:v>44216</c:v>
                </c:pt>
                <c:pt idx="255">
                  <c:v>44217</c:v>
                </c:pt>
                <c:pt idx="256">
                  <c:v>44218</c:v>
                </c:pt>
                <c:pt idx="257">
                  <c:v>44221</c:v>
                </c:pt>
                <c:pt idx="258">
                  <c:v>44222</c:v>
                </c:pt>
                <c:pt idx="259">
                  <c:v>44223</c:v>
                </c:pt>
                <c:pt idx="260">
                  <c:v>44224</c:v>
                </c:pt>
                <c:pt idx="261">
                  <c:v>44225</c:v>
                </c:pt>
                <c:pt idx="262">
                  <c:v>44228</c:v>
                </c:pt>
                <c:pt idx="263">
                  <c:v>44229</c:v>
                </c:pt>
                <c:pt idx="264">
                  <c:v>44230</c:v>
                </c:pt>
                <c:pt idx="265">
                  <c:v>44231</c:v>
                </c:pt>
                <c:pt idx="266">
                  <c:v>44232</c:v>
                </c:pt>
                <c:pt idx="267">
                  <c:v>44235</c:v>
                </c:pt>
                <c:pt idx="268">
                  <c:v>44236</c:v>
                </c:pt>
                <c:pt idx="269">
                  <c:v>44237</c:v>
                </c:pt>
                <c:pt idx="270">
                  <c:v>44245</c:v>
                </c:pt>
                <c:pt idx="271">
                  <c:v>44246</c:v>
                </c:pt>
                <c:pt idx="272">
                  <c:v>44249</c:v>
                </c:pt>
                <c:pt idx="273">
                  <c:v>44250</c:v>
                </c:pt>
                <c:pt idx="274">
                  <c:v>44251</c:v>
                </c:pt>
                <c:pt idx="275">
                  <c:v>44252</c:v>
                </c:pt>
                <c:pt idx="276">
                  <c:v>44253</c:v>
                </c:pt>
                <c:pt idx="277">
                  <c:v>44256</c:v>
                </c:pt>
                <c:pt idx="278">
                  <c:v>44257</c:v>
                </c:pt>
                <c:pt idx="279">
                  <c:v>44258</c:v>
                </c:pt>
                <c:pt idx="280">
                  <c:v>44259</c:v>
                </c:pt>
                <c:pt idx="281">
                  <c:v>44260</c:v>
                </c:pt>
                <c:pt idx="282">
                  <c:v>44263</c:v>
                </c:pt>
                <c:pt idx="283">
                  <c:v>44264</c:v>
                </c:pt>
                <c:pt idx="284">
                  <c:v>44265</c:v>
                </c:pt>
                <c:pt idx="285">
                  <c:v>44266</c:v>
                </c:pt>
                <c:pt idx="286">
                  <c:v>44267</c:v>
                </c:pt>
                <c:pt idx="287">
                  <c:v>44270</c:v>
                </c:pt>
                <c:pt idx="288">
                  <c:v>44271</c:v>
                </c:pt>
                <c:pt idx="289">
                  <c:v>44272</c:v>
                </c:pt>
                <c:pt idx="290">
                  <c:v>44273</c:v>
                </c:pt>
                <c:pt idx="291">
                  <c:v>44274</c:v>
                </c:pt>
                <c:pt idx="292">
                  <c:v>44277</c:v>
                </c:pt>
                <c:pt idx="293">
                  <c:v>44278</c:v>
                </c:pt>
                <c:pt idx="294">
                  <c:v>44279</c:v>
                </c:pt>
                <c:pt idx="295">
                  <c:v>44280</c:v>
                </c:pt>
                <c:pt idx="296">
                  <c:v>44281</c:v>
                </c:pt>
                <c:pt idx="297">
                  <c:v>44284</c:v>
                </c:pt>
                <c:pt idx="298">
                  <c:v>44285</c:v>
                </c:pt>
                <c:pt idx="299">
                  <c:v>44286</c:v>
                </c:pt>
                <c:pt idx="300">
                  <c:v>44287</c:v>
                </c:pt>
                <c:pt idx="301">
                  <c:v>44288</c:v>
                </c:pt>
                <c:pt idx="302">
                  <c:v>44292</c:v>
                </c:pt>
                <c:pt idx="303">
                  <c:v>44293</c:v>
                </c:pt>
                <c:pt idx="304">
                  <c:v>44294</c:v>
                </c:pt>
                <c:pt idx="305">
                  <c:v>44295</c:v>
                </c:pt>
                <c:pt idx="306">
                  <c:v>44298</c:v>
                </c:pt>
                <c:pt idx="307">
                  <c:v>44299</c:v>
                </c:pt>
                <c:pt idx="308">
                  <c:v>44300</c:v>
                </c:pt>
                <c:pt idx="309">
                  <c:v>44301</c:v>
                </c:pt>
                <c:pt idx="310">
                  <c:v>44302</c:v>
                </c:pt>
                <c:pt idx="311">
                  <c:v>44305</c:v>
                </c:pt>
                <c:pt idx="312">
                  <c:v>44306</c:v>
                </c:pt>
                <c:pt idx="313">
                  <c:v>44307</c:v>
                </c:pt>
                <c:pt idx="314">
                  <c:v>44308</c:v>
                </c:pt>
                <c:pt idx="315">
                  <c:v>44309</c:v>
                </c:pt>
                <c:pt idx="316">
                  <c:v>44312</c:v>
                </c:pt>
                <c:pt idx="317">
                  <c:v>44313</c:v>
                </c:pt>
                <c:pt idx="318">
                  <c:v>44314</c:v>
                </c:pt>
                <c:pt idx="319">
                  <c:v>44315</c:v>
                </c:pt>
                <c:pt idx="320">
                  <c:v>44316</c:v>
                </c:pt>
                <c:pt idx="321">
                  <c:v>44322</c:v>
                </c:pt>
                <c:pt idx="322">
                  <c:v>44323</c:v>
                </c:pt>
                <c:pt idx="323">
                  <c:v>44326</c:v>
                </c:pt>
                <c:pt idx="324">
                  <c:v>44327</c:v>
                </c:pt>
                <c:pt idx="325">
                  <c:v>44328</c:v>
                </c:pt>
                <c:pt idx="326">
                  <c:v>44329</c:v>
                </c:pt>
                <c:pt idx="327">
                  <c:v>44330</c:v>
                </c:pt>
                <c:pt idx="328">
                  <c:v>44333</c:v>
                </c:pt>
                <c:pt idx="329">
                  <c:v>44334</c:v>
                </c:pt>
                <c:pt idx="330">
                  <c:v>44335</c:v>
                </c:pt>
                <c:pt idx="331">
                  <c:v>44336</c:v>
                </c:pt>
                <c:pt idx="332">
                  <c:v>44337</c:v>
                </c:pt>
                <c:pt idx="333">
                  <c:v>44340</c:v>
                </c:pt>
                <c:pt idx="334">
                  <c:v>44341</c:v>
                </c:pt>
                <c:pt idx="335">
                  <c:v>44342</c:v>
                </c:pt>
                <c:pt idx="336">
                  <c:v>44343</c:v>
                </c:pt>
                <c:pt idx="337">
                  <c:v>44344</c:v>
                </c:pt>
                <c:pt idx="338">
                  <c:v>44347</c:v>
                </c:pt>
                <c:pt idx="339">
                  <c:v>44348</c:v>
                </c:pt>
                <c:pt idx="340">
                  <c:v>44349</c:v>
                </c:pt>
                <c:pt idx="341">
                  <c:v>44350</c:v>
                </c:pt>
                <c:pt idx="342">
                  <c:v>44351</c:v>
                </c:pt>
                <c:pt idx="343">
                  <c:v>44354</c:v>
                </c:pt>
                <c:pt idx="344">
                  <c:v>44355</c:v>
                </c:pt>
                <c:pt idx="345">
                  <c:v>44356</c:v>
                </c:pt>
                <c:pt idx="346">
                  <c:v>44357</c:v>
                </c:pt>
                <c:pt idx="347">
                  <c:v>44358</c:v>
                </c:pt>
                <c:pt idx="348">
                  <c:v>44362</c:v>
                </c:pt>
                <c:pt idx="349">
                  <c:v>44363</c:v>
                </c:pt>
                <c:pt idx="350">
                  <c:v>44364</c:v>
                </c:pt>
                <c:pt idx="351">
                  <c:v>44365</c:v>
                </c:pt>
                <c:pt idx="352">
                  <c:v>44368</c:v>
                </c:pt>
                <c:pt idx="353">
                  <c:v>44369</c:v>
                </c:pt>
                <c:pt idx="354">
                  <c:v>44370</c:v>
                </c:pt>
                <c:pt idx="355">
                  <c:v>44371</c:v>
                </c:pt>
                <c:pt idx="356">
                  <c:v>44372</c:v>
                </c:pt>
                <c:pt idx="357">
                  <c:v>44375</c:v>
                </c:pt>
                <c:pt idx="358">
                  <c:v>44376</c:v>
                </c:pt>
                <c:pt idx="359">
                  <c:v>44377</c:v>
                </c:pt>
                <c:pt idx="360" formatCode="m/d/yyyy">
                  <c:v>44378</c:v>
                </c:pt>
                <c:pt idx="361" formatCode="m/d/yyyy">
                  <c:v>44379</c:v>
                </c:pt>
                <c:pt idx="362" formatCode="m/d/yyyy">
                  <c:v>44382</c:v>
                </c:pt>
                <c:pt idx="363" formatCode="m/d/yyyy">
                  <c:v>44383</c:v>
                </c:pt>
                <c:pt idx="364" formatCode="m/d/yyyy">
                  <c:v>44384</c:v>
                </c:pt>
                <c:pt idx="365" formatCode="m/d/yyyy">
                  <c:v>44385</c:v>
                </c:pt>
                <c:pt idx="366" formatCode="m/d/yyyy">
                  <c:v>44386</c:v>
                </c:pt>
                <c:pt idx="367" formatCode="m/d/yyyy">
                  <c:v>44389</c:v>
                </c:pt>
                <c:pt idx="368" formatCode="m/d/yyyy">
                  <c:v>44390</c:v>
                </c:pt>
                <c:pt idx="369" formatCode="m/d/yyyy">
                  <c:v>44391</c:v>
                </c:pt>
                <c:pt idx="370" formatCode="m/d/yyyy">
                  <c:v>44392</c:v>
                </c:pt>
                <c:pt idx="371" formatCode="m/d/yyyy">
                  <c:v>44393</c:v>
                </c:pt>
                <c:pt idx="372" formatCode="m/d/yyyy">
                  <c:v>44396</c:v>
                </c:pt>
                <c:pt idx="373" formatCode="m/d/yyyy">
                  <c:v>44397</c:v>
                </c:pt>
                <c:pt idx="374" formatCode="m/d/yyyy">
                  <c:v>44398</c:v>
                </c:pt>
                <c:pt idx="375" formatCode="m/d/yyyy">
                  <c:v>44399</c:v>
                </c:pt>
                <c:pt idx="376" formatCode="m/d/yyyy">
                  <c:v>44400</c:v>
                </c:pt>
                <c:pt idx="377" formatCode="m/d/yyyy">
                  <c:v>44403</c:v>
                </c:pt>
                <c:pt idx="378" formatCode="m/d/yyyy">
                  <c:v>44404</c:v>
                </c:pt>
                <c:pt idx="379" formatCode="m/d/yyyy">
                  <c:v>44405</c:v>
                </c:pt>
                <c:pt idx="380" formatCode="m/d/yyyy">
                  <c:v>44406</c:v>
                </c:pt>
                <c:pt idx="381" formatCode="m/d/yyyy">
                  <c:v>44407</c:v>
                </c:pt>
              </c:numCache>
            </c:numRef>
          </c:cat>
          <c:val>
            <c:numRef>
              <c:f>Sheet2!$I$2:$I$1309</c:f>
              <c:numCache>
                <c:formatCode>#,##0.0000_ </c:formatCode>
                <c:ptCount val="382"/>
                <c:pt idx="120">
                  <c:v>0.99828050000000002</c:v>
                </c:pt>
                <c:pt idx="121">
                  <c:v>0.97819900000000004</c:v>
                </c:pt>
                <c:pt idx="122">
                  <c:v>0.97661900000000001</c:v>
                </c:pt>
                <c:pt idx="123">
                  <c:v>0.97119500000000003</c:v>
                </c:pt>
                <c:pt idx="124">
                  <c:v>1.0121045000000002</c:v>
                </c:pt>
                <c:pt idx="125">
                  <c:v>1.0140669999999998</c:v>
                </c:pt>
                <c:pt idx="126">
                  <c:v>1.0119069999999999</c:v>
                </c:pt>
                <c:pt idx="127">
                  <c:v>0.96011599999999997</c:v>
                </c:pt>
                <c:pt idx="128">
                  <c:v>1.0046444999999999</c:v>
                </c:pt>
                <c:pt idx="129">
                  <c:v>0.99831149999999991</c:v>
                </c:pt>
                <c:pt idx="130">
                  <c:v>1.0126875000000002</c:v>
                </c:pt>
                <c:pt idx="131">
                  <c:v>1.0146964999999999</c:v>
                </c:pt>
                <c:pt idx="132">
                  <c:v>1.0110144999999999</c:v>
                </c:pt>
                <c:pt idx="133">
                  <c:v>0.97203899999999999</c:v>
                </c:pt>
                <c:pt idx="134">
                  <c:v>0.99471050000000005</c:v>
                </c:pt>
                <c:pt idx="135">
                  <c:v>1.0017244999999999</c:v>
                </c:pt>
                <c:pt idx="136">
                  <c:v>0.99723899999999999</c:v>
                </c:pt>
                <c:pt idx="137">
                  <c:v>0.99698299999999995</c:v>
                </c:pt>
                <c:pt idx="138">
                  <c:v>0.99407699999999999</c:v>
                </c:pt>
                <c:pt idx="139">
                  <c:v>1.0025025000000001</c:v>
                </c:pt>
                <c:pt idx="140">
                  <c:v>1.0083549999999999</c:v>
                </c:pt>
                <c:pt idx="141">
                  <c:v>1.006087</c:v>
                </c:pt>
                <c:pt idx="142">
                  <c:v>1.0139490000000002</c:v>
                </c:pt>
                <c:pt idx="143">
                  <c:v>1.0319615000000002</c:v>
                </c:pt>
                <c:pt idx="144">
                  <c:v>1.0429619999999999</c:v>
                </c:pt>
                <c:pt idx="145">
                  <c:v>1.0548995000000001</c:v>
                </c:pt>
                <c:pt idx="146">
                  <c:v>1.0691885000000001</c:v>
                </c:pt>
                <c:pt idx="147">
                  <c:v>1.0739795000000001</c:v>
                </c:pt>
                <c:pt idx="148">
                  <c:v>1.0734385</c:v>
                </c:pt>
                <c:pt idx="149">
                  <c:v>1.0591159999999999</c:v>
                </c:pt>
                <c:pt idx="150">
                  <c:v>1.068791</c:v>
                </c:pt>
                <c:pt idx="151">
                  <c:v>1.0729569999999999</c:v>
                </c:pt>
                <c:pt idx="152">
                  <c:v>1.0801149999999999</c:v>
                </c:pt>
                <c:pt idx="153">
                  <c:v>1.0812984999999999</c:v>
                </c:pt>
                <c:pt idx="154">
                  <c:v>1.0964449999999999</c:v>
                </c:pt>
                <c:pt idx="155">
                  <c:v>1.1023594999999999</c:v>
                </c:pt>
                <c:pt idx="156">
                  <c:v>1.0986015</c:v>
                </c:pt>
                <c:pt idx="157">
                  <c:v>1.108905</c:v>
                </c:pt>
                <c:pt idx="158">
                  <c:v>1.0921274999999999</c:v>
                </c:pt>
                <c:pt idx="159">
                  <c:v>1.0944370000000001</c:v>
                </c:pt>
                <c:pt idx="160">
                  <c:v>1.1003149999999999</c:v>
                </c:pt>
                <c:pt idx="161">
                  <c:v>1.0975375000000001</c:v>
                </c:pt>
                <c:pt idx="162">
                  <c:v>1.10378</c:v>
                </c:pt>
                <c:pt idx="163">
                  <c:v>1.1038665000000001</c:v>
                </c:pt>
                <c:pt idx="164">
                  <c:v>1.1065665</c:v>
                </c:pt>
                <c:pt idx="165">
                  <c:v>1.1058515</c:v>
                </c:pt>
                <c:pt idx="166">
                  <c:v>1.097254</c:v>
                </c:pt>
                <c:pt idx="167">
                  <c:v>1.1081570000000001</c:v>
                </c:pt>
                <c:pt idx="168">
                  <c:v>1.1169169999999999</c:v>
                </c:pt>
                <c:pt idx="169">
                  <c:v>1.1244665</c:v>
                </c:pt>
                <c:pt idx="170">
                  <c:v>1.1272435000000001</c:v>
                </c:pt>
                <c:pt idx="171">
                  <c:v>1.1286849999999999</c:v>
                </c:pt>
                <c:pt idx="172">
                  <c:v>1.1267505</c:v>
                </c:pt>
                <c:pt idx="173">
                  <c:v>1.1170850000000001</c:v>
                </c:pt>
                <c:pt idx="174">
                  <c:v>1.1146855</c:v>
                </c:pt>
                <c:pt idx="175">
                  <c:v>1.112733</c:v>
                </c:pt>
                <c:pt idx="176">
                  <c:v>1.1178779999999999</c:v>
                </c:pt>
                <c:pt idx="177">
                  <c:v>1.1111825</c:v>
                </c:pt>
                <c:pt idx="178">
                  <c:v>1.1117414999999999</c:v>
                </c:pt>
                <c:pt idx="179">
                  <c:v>1.1117600000000001</c:v>
                </c:pt>
                <c:pt idx="180">
                  <c:v>1.1034195</c:v>
                </c:pt>
                <c:pt idx="181">
                  <c:v>1.1005484999999999</c:v>
                </c:pt>
                <c:pt idx="182">
                  <c:v>1.1598245</c:v>
                </c:pt>
                <c:pt idx="183">
                  <c:v>1.1483100000000008</c:v>
                </c:pt>
                <c:pt idx="184">
                  <c:v>1.1524530000000008</c:v>
                </c:pt>
                <c:pt idx="185">
                  <c:v>1.1562465000000008</c:v>
                </c:pt>
                <c:pt idx="186">
                  <c:v>1.1591205000000009</c:v>
                </c:pt>
                <c:pt idx="187">
                  <c:v>1.1641550000000009</c:v>
                </c:pt>
                <c:pt idx="188">
                  <c:v>1.1729995000000009</c:v>
                </c:pt>
                <c:pt idx="189">
                  <c:v>1.177329000000001</c:v>
                </c:pt>
                <c:pt idx="190">
                  <c:v>1.177272000000001</c:v>
                </c:pt>
                <c:pt idx="191">
                  <c:v>1.1767155000000009</c:v>
                </c:pt>
                <c:pt idx="192">
                  <c:v>1.1766580000000009</c:v>
                </c:pt>
                <c:pt idx="193">
                  <c:v>1.177911000000001</c:v>
                </c:pt>
                <c:pt idx="194">
                  <c:v>1.1784830000000008</c:v>
                </c:pt>
                <c:pt idx="195">
                  <c:v>1.179893000000001</c:v>
                </c:pt>
                <c:pt idx="196">
                  <c:v>1.1804560000000008</c:v>
                </c:pt>
                <c:pt idx="197">
                  <c:v>1.1771285000000009</c:v>
                </c:pt>
                <c:pt idx="198">
                  <c:v>1.1774510000000009</c:v>
                </c:pt>
                <c:pt idx="199">
                  <c:v>1.1760270000000008</c:v>
                </c:pt>
                <c:pt idx="200">
                  <c:v>1.182430000000001</c:v>
                </c:pt>
                <c:pt idx="201">
                  <c:v>1.1853535000000008</c:v>
                </c:pt>
                <c:pt idx="202">
                  <c:v>1.1877835000000001</c:v>
                </c:pt>
                <c:pt idx="203">
                  <c:v>1.1866565000000009</c:v>
                </c:pt>
                <c:pt idx="204">
                  <c:v>1.1874760000000009</c:v>
                </c:pt>
                <c:pt idx="205">
                  <c:v>1.1910054999999999</c:v>
                </c:pt>
                <c:pt idx="206">
                  <c:v>1.194873500000001</c:v>
                </c:pt>
                <c:pt idx="207">
                  <c:v>1.1895560000000009</c:v>
                </c:pt>
                <c:pt idx="208">
                  <c:v>1.192617500000001</c:v>
                </c:pt>
                <c:pt idx="209">
                  <c:v>1.195489500000001</c:v>
                </c:pt>
                <c:pt idx="210">
                  <c:v>1.1948340000000008</c:v>
                </c:pt>
                <c:pt idx="211">
                  <c:v>1.1943470000000009</c:v>
                </c:pt>
                <c:pt idx="212">
                  <c:v>1.1984830000000009</c:v>
                </c:pt>
                <c:pt idx="213">
                  <c:v>1.1971425000000009</c:v>
                </c:pt>
                <c:pt idx="214">
                  <c:v>1.197821500000001</c:v>
                </c:pt>
                <c:pt idx="215">
                  <c:v>1.1994805000000008</c:v>
                </c:pt>
                <c:pt idx="216">
                  <c:v>1.204617500000001</c:v>
                </c:pt>
                <c:pt idx="217">
                  <c:v>1.200755500000001</c:v>
                </c:pt>
                <c:pt idx="218">
                  <c:v>1.201528000000001</c:v>
                </c:pt>
                <c:pt idx="219">
                  <c:v>1.189045557500001</c:v>
                </c:pt>
                <c:pt idx="220">
                  <c:v>1.1899605295000011</c:v>
                </c:pt>
                <c:pt idx="221">
                  <c:v>1.1919164510000011</c:v>
                </c:pt>
                <c:pt idx="222">
                  <c:v>1.1965994210000011</c:v>
                </c:pt>
                <c:pt idx="223">
                  <c:v>1.2023685220000011</c:v>
                </c:pt>
                <c:pt idx="224">
                  <c:v>1.2079884555000011</c:v>
                </c:pt>
                <c:pt idx="225">
                  <c:v>1.2131014290000008</c:v>
                </c:pt>
                <c:pt idx="226">
                  <c:v>1.216336817000002</c:v>
                </c:pt>
                <c:pt idx="227">
                  <c:v>1.2157001125000009</c:v>
                </c:pt>
                <c:pt idx="228">
                  <c:v>1.2188250285000009</c:v>
                </c:pt>
                <c:pt idx="229">
                  <c:v>1.2197390580000009</c:v>
                </c:pt>
                <c:pt idx="230">
                  <c:v>1.2196594210000011</c:v>
                </c:pt>
                <c:pt idx="231">
                  <c:v>1.2178440470000009</c:v>
                </c:pt>
                <c:pt idx="232">
                  <c:v>1.2197125400000011</c:v>
                </c:pt>
                <c:pt idx="233">
                  <c:v>1.218069776000001</c:v>
                </c:pt>
                <c:pt idx="234">
                  <c:v>1.2185636940000011</c:v>
                </c:pt>
                <c:pt idx="235">
                  <c:v>1.218678587500001</c:v>
                </c:pt>
                <c:pt idx="236">
                  <c:v>1.2206404870000009</c:v>
                </c:pt>
                <c:pt idx="237">
                  <c:v>1.2210897670000009</c:v>
                </c:pt>
                <c:pt idx="238">
                  <c:v>1.221802962000001</c:v>
                </c:pt>
                <c:pt idx="239">
                  <c:v>1.221678470000001</c:v>
                </c:pt>
                <c:pt idx="240">
                  <c:v>1.220492412500001</c:v>
                </c:pt>
                <c:pt idx="241">
                  <c:v>1.2173348190000011</c:v>
                </c:pt>
                <c:pt idx="242">
                  <c:v>1.2177976865000011</c:v>
                </c:pt>
                <c:pt idx="243">
                  <c:v>1.2175193895000009</c:v>
                </c:pt>
                <c:pt idx="244">
                  <c:v>1.212061743500001</c:v>
                </c:pt>
                <c:pt idx="245">
                  <c:v>1.192966031500001</c:v>
                </c:pt>
                <c:pt idx="246">
                  <c:v>1.199399531500001</c:v>
                </c:pt>
                <c:pt idx="247">
                  <c:v>1.230730318481968</c:v>
                </c:pt>
                <c:pt idx="248">
                  <c:v>1.1694842649407631</c:v>
                </c:pt>
                <c:pt idx="249">
                  <c:v>1.1792933784880661</c:v>
                </c:pt>
                <c:pt idx="250">
                  <c:v>1.1801209015968972</c:v>
                </c:pt>
                <c:pt idx="251">
                  <c:v>1.193009885487978</c:v>
                </c:pt>
                <c:pt idx="252">
                  <c:v>1.1975861559566221</c:v>
                </c:pt>
                <c:pt idx="253">
                  <c:v>1.1973096736245801</c:v>
                </c:pt>
                <c:pt idx="254">
                  <c:v>1.1994763692314592</c:v>
                </c:pt>
                <c:pt idx="255">
                  <c:v>1.1965410097330231</c:v>
                </c:pt>
                <c:pt idx="256">
                  <c:v>1.205862601050115</c:v>
                </c:pt>
                <c:pt idx="257">
                  <c:v>1.20541127919</c:v>
                </c:pt>
                <c:pt idx="258">
                  <c:v>1.2012216106616511</c:v>
                </c:pt>
                <c:pt idx="259">
                  <c:v>1.2032179400210672</c:v>
                </c:pt>
                <c:pt idx="260">
                  <c:v>1.198369294995137</c:v>
                </c:pt>
                <c:pt idx="261">
                  <c:v>1.1976860535680021</c:v>
                </c:pt>
                <c:pt idx="262">
                  <c:v>1.2016743644987702</c:v>
                </c:pt>
                <c:pt idx="263">
                  <c:v>1.2097172106496932</c:v>
                </c:pt>
                <c:pt idx="264">
                  <c:v>1.2154297273008912</c:v>
                </c:pt>
                <c:pt idx="265">
                  <c:v>1.2148412874930161</c:v>
                </c:pt>
                <c:pt idx="266">
                  <c:v>1.2120706770815621</c:v>
                </c:pt>
                <c:pt idx="267">
                  <c:v>1.2156395310591581</c:v>
                </c:pt>
                <c:pt idx="268">
                  <c:v>1.220025573076555</c:v>
                </c:pt>
                <c:pt idx="269">
                  <c:v>1.2111807571572071</c:v>
                </c:pt>
                <c:pt idx="270">
                  <c:v>1.2334986823839291</c:v>
                </c:pt>
                <c:pt idx="271">
                  <c:v>1.2481109735992981</c:v>
                </c:pt>
                <c:pt idx="272">
                  <c:v>1.2366241659754831</c:v>
                </c:pt>
                <c:pt idx="273">
                  <c:v>1.2379733291021362</c:v>
                </c:pt>
                <c:pt idx="274">
                  <c:v>1.230630682952226</c:v>
                </c:pt>
                <c:pt idx="275">
                  <c:v>1.2332336248586502</c:v>
                </c:pt>
                <c:pt idx="276">
                  <c:v>1.2490927557386702</c:v>
                </c:pt>
                <c:pt idx="277">
                  <c:v>1.2653969022482532</c:v>
                </c:pt>
                <c:pt idx="278">
                  <c:v>1.2638129175636501</c:v>
                </c:pt>
                <c:pt idx="279">
                  <c:v>1.2689620572816351</c:v>
                </c:pt>
                <c:pt idx="280">
                  <c:v>1.2839745086279051</c:v>
                </c:pt>
                <c:pt idx="281">
                  <c:v>1.2834118664241001</c:v>
                </c:pt>
                <c:pt idx="282">
                  <c:v>1.2441835944399962</c:v>
                </c:pt>
                <c:pt idx="283">
                  <c:v>1.2479459883588901</c:v>
                </c:pt>
                <c:pt idx="284">
                  <c:v>1.2641198621096601</c:v>
                </c:pt>
                <c:pt idx="285">
                  <c:v>1.264815251525248</c:v>
                </c:pt>
                <c:pt idx="286">
                  <c:v>1.2731524851226601</c:v>
                </c:pt>
                <c:pt idx="287">
                  <c:v>1.2779273193564351</c:v>
                </c:pt>
                <c:pt idx="288">
                  <c:v>1.2744292490313212</c:v>
                </c:pt>
                <c:pt idx="289">
                  <c:v>1.2761986717652032</c:v>
                </c:pt>
                <c:pt idx="290">
                  <c:v>1.2694827105827511</c:v>
                </c:pt>
                <c:pt idx="291">
                  <c:v>1.2827569426083172</c:v>
                </c:pt>
                <c:pt idx="292">
                  <c:v>1.266941716978762</c:v>
                </c:pt>
                <c:pt idx="293">
                  <c:v>1.2555725214778291</c:v>
                </c:pt>
                <c:pt idx="294">
                  <c:v>1.2696528616179632</c:v>
                </c:pt>
                <c:pt idx="295">
                  <c:v>1.2628206740793402</c:v>
                </c:pt>
                <c:pt idx="296">
                  <c:v>1.2604392679892451</c:v>
                </c:pt>
                <c:pt idx="297">
                  <c:v>1.254317650072573</c:v>
                </c:pt>
                <c:pt idx="298">
                  <c:v>1.251969848999271</c:v>
                </c:pt>
                <c:pt idx="299">
                  <c:v>1.2524871694212052</c:v>
                </c:pt>
                <c:pt idx="300">
                  <c:v>1.2480962165061051</c:v>
                </c:pt>
                <c:pt idx="301">
                  <c:v>1.2470457273699551</c:v>
                </c:pt>
                <c:pt idx="302">
                  <c:v>1.2445909273699551</c:v>
                </c:pt>
                <c:pt idx="303">
                  <c:v>1.2428752273699553</c:v>
                </c:pt>
                <c:pt idx="304">
                  <c:v>1.2396055273699551</c:v>
                </c:pt>
                <c:pt idx="305">
                  <c:v>1.2421859273699551</c:v>
                </c:pt>
                <c:pt idx="306">
                  <c:v>1.2482827273699553</c:v>
                </c:pt>
                <c:pt idx="307">
                  <c:v>1.2442963273699552</c:v>
                </c:pt>
                <c:pt idx="308">
                  <c:v>1.2407488273699552</c:v>
                </c:pt>
                <c:pt idx="309">
                  <c:v>1.2409297273699551</c:v>
                </c:pt>
                <c:pt idx="310">
                  <c:v>1.2366452273699551</c:v>
                </c:pt>
                <c:pt idx="311">
                  <c:v>1.2504594273699552</c:v>
                </c:pt>
                <c:pt idx="312">
                  <c:v>1.2493089273699551</c:v>
                </c:pt>
                <c:pt idx="313">
                  <c:v>1.2482200273699551</c:v>
                </c:pt>
                <c:pt idx="314">
                  <c:v>1.2480851273699551</c:v>
                </c:pt>
                <c:pt idx="315">
                  <c:v>1.2479164273699552</c:v>
                </c:pt>
                <c:pt idx="316">
                  <c:v>1.2487536273699551</c:v>
                </c:pt>
                <c:pt idx="317">
                  <c:v>1.2509713273699552</c:v>
                </c:pt>
                <c:pt idx="318">
                  <c:v>1.2534263273699551</c:v>
                </c:pt>
                <c:pt idx="319">
                  <c:v>1.2545396273699552</c:v>
                </c:pt>
                <c:pt idx="320">
                  <c:v>1.2555740273699552</c:v>
                </c:pt>
                <c:pt idx="321">
                  <c:v>1.2624451273699551</c:v>
                </c:pt>
                <c:pt idx="322">
                  <c:v>1.2617873273699551</c:v>
                </c:pt>
                <c:pt idx="323">
                  <c:v>1.2674883273699551</c:v>
                </c:pt>
                <c:pt idx="324">
                  <c:v>1.2670998273699552</c:v>
                </c:pt>
                <c:pt idx="325">
                  <c:v>1.2666531273699553</c:v>
                </c:pt>
                <c:pt idx="326">
                  <c:v>1.2652819273699552</c:v>
                </c:pt>
                <c:pt idx="327">
                  <c:v>1.2355481273699551</c:v>
                </c:pt>
                <c:pt idx="328">
                  <c:v>1.2319800273699553</c:v>
                </c:pt>
                <c:pt idx="329">
                  <c:v>1.2343838273699552</c:v>
                </c:pt>
                <c:pt idx="330">
                  <c:v>1.2401824273699551</c:v>
                </c:pt>
                <c:pt idx="331">
                  <c:v>1.2416630273699552</c:v>
                </c:pt>
                <c:pt idx="332">
                  <c:v>1.2465218273699552</c:v>
                </c:pt>
                <c:pt idx="333">
                  <c:v>1.2485937273699552</c:v>
                </c:pt>
                <c:pt idx="334">
                  <c:v>1.2289046273699551</c:v>
                </c:pt>
                <c:pt idx="335">
                  <c:v>1.2298443273699551</c:v>
                </c:pt>
                <c:pt idx="336">
                  <c:v>1.2271366273699551</c:v>
                </c:pt>
                <c:pt idx="337">
                  <c:v>1.2303946848639751</c:v>
                </c:pt>
                <c:pt idx="338">
                  <c:v>1.2319954692699251</c:v>
                </c:pt>
                <c:pt idx="339">
                  <c:v>1.2410513692699152</c:v>
                </c:pt>
                <c:pt idx="340">
                  <c:v>1.2602491692699151</c:v>
                </c:pt>
                <c:pt idx="341">
                  <c:v>1.2677147692699251</c:v>
                </c:pt>
                <c:pt idx="342">
                  <c:v>1.2679937692699152</c:v>
                </c:pt>
                <c:pt idx="343">
                  <c:v>1.2697075140544651</c:v>
                </c:pt>
                <c:pt idx="344">
                  <c:v>1.2674258085420451</c:v>
                </c:pt>
                <c:pt idx="345">
                  <c:v>1.2784863085420453</c:v>
                </c:pt>
                <c:pt idx="346">
                  <c:v>1.2840857085420452</c:v>
                </c:pt>
                <c:pt idx="347">
                  <c:v>1.2835722085420451</c:v>
                </c:pt>
                <c:pt idx="348">
                  <c:v>1.2882866085420452</c:v>
                </c:pt>
                <c:pt idx="349">
                  <c:v>1.2855431085420452</c:v>
                </c:pt>
                <c:pt idx="350">
                  <c:v>1.2907663085420451</c:v>
                </c:pt>
                <c:pt idx="351">
                  <c:v>1.2924729085420452</c:v>
                </c:pt>
                <c:pt idx="352">
                  <c:v>1.2937963085420452</c:v>
                </c:pt>
                <c:pt idx="353">
                  <c:v>1.2944742085420451</c:v>
                </c:pt>
                <c:pt idx="354">
                  <c:v>1.2991313085420453</c:v>
                </c:pt>
                <c:pt idx="355">
                  <c:v>1.3005309085420451</c:v>
                </c:pt>
                <c:pt idx="356">
                  <c:v>1.2965474085420452</c:v>
                </c:pt>
                <c:pt idx="357">
                  <c:v>1.2984165085420452</c:v>
                </c:pt>
                <c:pt idx="358">
                  <c:v>1.2973325085420451</c:v>
                </c:pt>
                <c:pt idx="359">
                  <c:v>1.2957216085420451</c:v>
                </c:pt>
                <c:pt idx="360">
                  <c:v>1.2957779085420451</c:v>
                </c:pt>
                <c:pt idx="361">
                  <c:v>1.2868670085420453</c:v>
                </c:pt>
                <c:pt idx="362">
                  <c:v>1.2924500085420452</c:v>
                </c:pt>
                <c:pt idx="363">
                  <c:v>1.2938384085420451</c:v>
                </c:pt>
                <c:pt idx="364">
                  <c:v>1.2929156085420452</c:v>
                </c:pt>
                <c:pt idx="365">
                  <c:v>1.2914359085420453</c:v>
                </c:pt>
                <c:pt idx="366">
                  <c:v>1.2922097085420452</c:v>
                </c:pt>
                <c:pt idx="367">
                  <c:v>1.2913852085420452</c:v>
                </c:pt>
                <c:pt idx="368">
                  <c:v>1.2939500085420452</c:v>
                </c:pt>
                <c:pt idx="369">
                  <c:v>1.2928128085420452</c:v>
                </c:pt>
                <c:pt idx="370">
                  <c:v>1.2940255085420451</c:v>
                </c:pt>
                <c:pt idx="371">
                  <c:v>1.2916067085420451</c:v>
                </c:pt>
                <c:pt idx="372">
                  <c:v>1.2967475085420452</c:v>
                </c:pt>
                <c:pt idx="373">
                  <c:v>1.2954599085420451</c:v>
                </c:pt>
                <c:pt idx="374">
                  <c:v>1.2972188085420451</c:v>
                </c:pt>
                <c:pt idx="375">
                  <c:v>1.2986899085420451</c:v>
                </c:pt>
                <c:pt idx="376">
                  <c:v>1.2994299085420451</c:v>
                </c:pt>
                <c:pt idx="377">
                  <c:v>1.2812637085420451</c:v>
                </c:pt>
                <c:pt idx="378">
                  <c:v>1.2616931085420451</c:v>
                </c:pt>
                <c:pt idx="379">
                  <c:v>1.2585190085420452</c:v>
                </c:pt>
                <c:pt idx="380">
                  <c:v>1.2552755085420453</c:v>
                </c:pt>
                <c:pt idx="381">
                  <c:v>1.2531893085420451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11-4D0A-8DAB-891776E13291}"/>
            </c:ext>
          </c:extLst>
        </c:ser>
        <c:ser>
          <c:idx val="4"/>
          <c:order val="4"/>
          <c:tx>
            <c:strRef>
              <c:f>Sheet2!$J$1</c:f>
              <c:strCache>
                <c:ptCount val="1"/>
                <c:pt idx="0">
                  <c:v>实盘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Sheet2!$A$2:$A$1309</c:f>
              <c:numCache>
                <c:formatCode>yyyy\-mm\-dd;@</c:formatCode>
                <c:ptCount val="382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43865</c:v>
                </c:pt>
                <c:pt idx="17">
                  <c:v>43866</c:v>
                </c:pt>
                <c:pt idx="18">
                  <c:v>43867</c:v>
                </c:pt>
                <c:pt idx="19">
                  <c:v>43868</c:v>
                </c:pt>
                <c:pt idx="20">
                  <c:v>43871</c:v>
                </c:pt>
                <c:pt idx="21">
                  <c:v>43872</c:v>
                </c:pt>
                <c:pt idx="22">
                  <c:v>43873</c:v>
                </c:pt>
                <c:pt idx="23">
                  <c:v>43874</c:v>
                </c:pt>
                <c:pt idx="24">
                  <c:v>43875</c:v>
                </c:pt>
                <c:pt idx="25">
                  <c:v>43878</c:v>
                </c:pt>
                <c:pt idx="26">
                  <c:v>43879</c:v>
                </c:pt>
                <c:pt idx="27">
                  <c:v>43880</c:v>
                </c:pt>
                <c:pt idx="28">
                  <c:v>43881</c:v>
                </c:pt>
                <c:pt idx="29">
                  <c:v>43882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43892</c:v>
                </c:pt>
                <c:pt idx="36">
                  <c:v>43893</c:v>
                </c:pt>
                <c:pt idx="37">
                  <c:v>43894</c:v>
                </c:pt>
                <c:pt idx="38">
                  <c:v>43895</c:v>
                </c:pt>
                <c:pt idx="39">
                  <c:v>43896</c:v>
                </c:pt>
                <c:pt idx="40">
                  <c:v>43899</c:v>
                </c:pt>
                <c:pt idx="41">
                  <c:v>43900</c:v>
                </c:pt>
                <c:pt idx="42">
                  <c:v>43901</c:v>
                </c:pt>
                <c:pt idx="43">
                  <c:v>43902</c:v>
                </c:pt>
                <c:pt idx="44">
                  <c:v>43903</c:v>
                </c:pt>
                <c:pt idx="45">
                  <c:v>43906</c:v>
                </c:pt>
                <c:pt idx="46">
                  <c:v>43907</c:v>
                </c:pt>
                <c:pt idx="47">
                  <c:v>43908</c:v>
                </c:pt>
                <c:pt idx="48">
                  <c:v>43909</c:v>
                </c:pt>
                <c:pt idx="49">
                  <c:v>43910</c:v>
                </c:pt>
                <c:pt idx="50">
                  <c:v>43913</c:v>
                </c:pt>
                <c:pt idx="51">
                  <c:v>43914</c:v>
                </c:pt>
                <c:pt idx="52">
                  <c:v>43915</c:v>
                </c:pt>
                <c:pt idx="53">
                  <c:v>43916</c:v>
                </c:pt>
                <c:pt idx="54">
                  <c:v>43917</c:v>
                </c:pt>
                <c:pt idx="55">
                  <c:v>43920</c:v>
                </c:pt>
                <c:pt idx="56">
                  <c:v>43921</c:v>
                </c:pt>
                <c:pt idx="57">
                  <c:v>43922</c:v>
                </c:pt>
                <c:pt idx="58">
                  <c:v>43923</c:v>
                </c:pt>
                <c:pt idx="59">
                  <c:v>43924</c:v>
                </c:pt>
                <c:pt idx="60">
                  <c:v>43928</c:v>
                </c:pt>
                <c:pt idx="61">
                  <c:v>43929</c:v>
                </c:pt>
                <c:pt idx="62">
                  <c:v>43930</c:v>
                </c:pt>
                <c:pt idx="63">
                  <c:v>43931</c:v>
                </c:pt>
                <c:pt idx="64">
                  <c:v>43934</c:v>
                </c:pt>
                <c:pt idx="65">
                  <c:v>43935</c:v>
                </c:pt>
                <c:pt idx="66">
                  <c:v>43936</c:v>
                </c:pt>
                <c:pt idx="67">
                  <c:v>43937</c:v>
                </c:pt>
                <c:pt idx="68">
                  <c:v>43938</c:v>
                </c:pt>
                <c:pt idx="69">
                  <c:v>43941</c:v>
                </c:pt>
                <c:pt idx="70">
                  <c:v>43942</c:v>
                </c:pt>
                <c:pt idx="71">
                  <c:v>43943</c:v>
                </c:pt>
                <c:pt idx="72">
                  <c:v>43944</c:v>
                </c:pt>
                <c:pt idx="73">
                  <c:v>43945</c:v>
                </c:pt>
                <c:pt idx="74">
                  <c:v>43948</c:v>
                </c:pt>
                <c:pt idx="75">
                  <c:v>43949</c:v>
                </c:pt>
                <c:pt idx="76">
                  <c:v>43950</c:v>
                </c:pt>
                <c:pt idx="77">
                  <c:v>43951</c:v>
                </c:pt>
                <c:pt idx="78">
                  <c:v>43957</c:v>
                </c:pt>
                <c:pt idx="79">
                  <c:v>43958</c:v>
                </c:pt>
                <c:pt idx="80">
                  <c:v>43959</c:v>
                </c:pt>
                <c:pt idx="81">
                  <c:v>43962</c:v>
                </c:pt>
                <c:pt idx="82">
                  <c:v>43963</c:v>
                </c:pt>
                <c:pt idx="83">
                  <c:v>43964</c:v>
                </c:pt>
                <c:pt idx="84">
                  <c:v>43965</c:v>
                </c:pt>
                <c:pt idx="85">
                  <c:v>43966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44011</c:v>
                </c:pt>
                <c:pt idx="115">
                  <c:v>44012</c:v>
                </c:pt>
                <c:pt idx="116">
                  <c:v>44013</c:v>
                </c:pt>
                <c:pt idx="117">
                  <c:v>44014</c:v>
                </c:pt>
                <c:pt idx="118">
                  <c:v>44015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44025</c:v>
                </c:pt>
                <c:pt idx="125">
                  <c:v>44026</c:v>
                </c:pt>
                <c:pt idx="126">
                  <c:v>44027</c:v>
                </c:pt>
                <c:pt idx="127">
                  <c:v>44028</c:v>
                </c:pt>
                <c:pt idx="128">
                  <c:v>44029</c:v>
                </c:pt>
                <c:pt idx="129">
                  <c:v>44032</c:v>
                </c:pt>
                <c:pt idx="130">
                  <c:v>44033</c:v>
                </c:pt>
                <c:pt idx="131">
                  <c:v>44034</c:v>
                </c:pt>
                <c:pt idx="132">
                  <c:v>44035</c:v>
                </c:pt>
                <c:pt idx="133">
                  <c:v>44036</c:v>
                </c:pt>
                <c:pt idx="134">
                  <c:v>44039</c:v>
                </c:pt>
                <c:pt idx="135">
                  <c:v>44040</c:v>
                </c:pt>
                <c:pt idx="136">
                  <c:v>44041</c:v>
                </c:pt>
                <c:pt idx="137">
                  <c:v>44042</c:v>
                </c:pt>
                <c:pt idx="138">
                  <c:v>44043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44053</c:v>
                </c:pt>
                <c:pt idx="145">
                  <c:v>44054</c:v>
                </c:pt>
                <c:pt idx="146">
                  <c:v>44055</c:v>
                </c:pt>
                <c:pt idx="147">
                  <c:v>44056</c:v>
                </c:pt>
                <c:pt idx="148">
                  <c:v>44057</c:v>
                </c:pt>
                <c:pt idx="149">
                  <c:v>44060</c:v>
                </c:pt>
                <c:pt idx="150">
                  <c:v>44061</c:v>
                </c:pt>
                <c:pt idx="151">
                  <c:v>44062</c:v>
                </c:pt>
                <c:pt idx="152">
                  <c:v>44063</c:v>
                </c:pt>
                <c:pt idx="153">
                  <c:v>44064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44074</c:v>
                </c:pt>
                <c:pt idx="160">
                  <c:v>44075</c:v>
                </c:pt>
                <c:pt idx="161">
                  <c:v>44076</c:v>
                </c:pt>
                <c:pt idx="162">
                  <c:v>44077</c:v>
                </c:pt>
                <c:pt idx="163">
                  <c:v>44078</c:v>
                </c:pt>
                <c:pt idx="164">
                  <c:v>44081</c:v>
                </c:pt>
                <c:pt idx="165">
                  <c:v>44082</c:v>
                </c:pt>
                <c:pt idx="166">
                  <c:v>44083</c:v>
                </c:pt>
                <c:pt idx="167">
                  <c:v>44084</c:v>
                </c:pt>
                <c:pt idx="168">
                  <c:v>44085</c:v>
                </c:pt>
                <c:pt idx="169">
                  <c:v>44088</c:v>
                </c:pt>
                <c:pt idx="170">
                  <c:v>44089</c:v>
                </c:pt>
                <c:pt idx="171">
                  <c:v>44090</c:v>
                </c:pt>
                <c:pt idx="172">
                  <c:v>44091</c:v>
                </c:pt>
                <c:pt idx="173">
                  <c:v>44092</c:v>
                </c:pt>
                <c:pt idx="174">
                  <c:v>44095</c:v>
                </c:pt>
                <c:pt idx="175">
                  <c:v>44096</c:v>
                </c:pt>
                <c:pt idx="176">
                  <c:v>44097</c:v>
                </c:pt>
                <c:pt idx="177">
                  <c:v>44098</c:v>
                </c:pt>
                <c:pt idx="178">
                  <c:v>44099</c:v>
                </c:pt>
                <c:pt idx="179">
                  <c:v>44102</c:v>
                </c:pt>
                <c:pt idx="180">
                  <c:v>44103</c:v>
                </c:pt>
                <c:pt idx="181">
                  <c:v>44104</c:v>
                </c:pt>
                <c:pt idx="182">
                  <c:v>44113</c:v>
                </c:pt>
                <c:pt idx="183">
                  <c:v>44116</c:v>
                </c:pt>
                <c:pt idx="184">
                  <c:v>44117</c:v>
                </c:pt>
                <c:pt idx="185">
                  <c:v>44118</c:v>
                </c:pt>
                <c:pt idx="186">
                  <c:v>44119</c:v>
                </c:pt>
                <c:pt idx="187">
                  <c:v>44120</c:v>
                </c:pt>
                <c:pt idx="188">
                  <c:v>44123</c:v>
                </c:pt>
                <c:pt idx="189">
                  <c:v>44124</c:v>
                </c:pt>
                <c:pt idx="190">
                  <c:v>44125</c:v>
                </c:pt>
                <c:pt idx="191">
                  <c:v>44126</c:v>
                </c:pt>
                <c:pt idx="192">
                  <c:v>44127</c:v>
                </c:pt>
                <c:pt idx="193">
                  <c:v>44130</c:v>
                </c:pt>
                <c:pt idx="194">
                  <c:v>44131</c:v>
                </c:pt>
                <c:pt idx="195">
                  <c:v>44132</c:v>
                </c:pt>
                <c:pt idx="196">
                  <c:v>44133</c:v>
                </c:pt>
                <c:pt idx="197">
                  <c:v>44134</c:v>
                </c:pt>
                <c:pt idx="198">
                  <c:v>44137</c:v>
                </c:pt>
                <c:pt idx="199">
                  <c:v>44138</c:v>
                </c:pt>
                <c:pt idx="200">
                  <c:v>44139</c:v>
                </c:pt>
                <c:pt idx="201">
                  <c:v>44140</c:v>
                </c:pt>
                <c:pt idx="202">
                  <c:v>44141</c:v>
                </c:pt>
                <c:pt idx="203">
                  <c:v>44144</c:v>
                </c:pt>
                <c:pt idx="204">
                  <c:v>44145</c:v>
                </c:pt>
                <c:pt idx="205">
                  <c:v>44146</c:v>
                </c:pt>
                <c:pt idx="206">
                  <c:v>44147</c:v>
                </c:pt>
                <c:pt idx="207">
                  <c:v>44148</c:v>
                </c:pt>
                <c:pt idx="208">
                  <c:v>44151</c:v>
                </c:pt>
                <c:pt idx="209">
                  <c:v>44152</c:v>
                </c:pt>
                <c:pt idx="210">
                  <c:v>44153</c:v>
                </c:pt>
                <c:pt idx="211">
                  <c:v>44154</c:v>
                </c:pt>
                <c:pt idx="212">
                  <c:v>44155</c:v>
                </c:pt>
                <c:pt idx="213">
                  <c:v>44158</c:v>
                </c:pt>
                <c:pt idx="214">
                  <c:v>44159</c:v>
                </c:pt>
                <c:pt idx="215">
                  <c:v>44160</c:v>
                </c:pt>
                <c:pt idx="216">
                  <c:v>44161</c:v>
                </c:pt>
                <c:pt idx="217">
                  <c:v>44162</c:v>
                </c:pt>
                <c:pt idx="218">
                  <c:v>44165</c:v>
                </c:pt>
                <c:pt idx="219">
                  <c:v>44166</c:v>
                </c:pt>
                <c:pt idx="220">
                  <c:v>44167</c:v>
                </c:pt>
                <c:pt idx="221">
                  <c:v>44168</c:v>
                </c:pt>
                <c:pt idx="222">
                  <c:v>44169</c:v>
                </c:pt>
                <c:pt idx="223">
                  <c:v>44172</c:v>
                </c:pt>
                <c:pt idx="224">
                  <c:v>44173</c:v>
                </c:pt>
                <c:pt idx="225">
                  <c:v>44174</c:v>
                </c:pt>
                <c:pt idx="226">
                  <c:v>44175</c:v>
                </c:pt>
                <c:pt idx="227">
                  <c:v>44176</c:v>
                </c:pt>
                <c:pt idx="228">
                  <c:v>44179</c:v>
                </c:pt>
                <c:pt idx="229">
                  <c:v>44180</c:v>
                </c:pt>
                <c:pt idx="230">
                  <c:v>44181</c:v>
                </c:pt>
                <c:pt idx="231">
                  <c:v>44182</c:v>
                </c:pt>
                <c:pt idx="232">
                  <c:v>44183</c:v>
                </c:pt>
                <c:pt idx="233">
                  <c:v>44186</c:v>
                </c:pt>
                <c:pt idx="234">
                  <c:v>44187</c:v>
                </c:pt>
                <c:pt idx="235">
                  <c:v>44188</c:v>
                </c:pt>
                <c:pt idx="236">
                  <c:v>44189</c:v>
                </c:pt>
                <c:pt idx="237">
                  <c:v>44190</c:v>
                </c:pt>
                <c:pt idx="238">
                  <c:v>44193</c:v>
                </c:pt>
                <c:pt idx="239">
                  <c:v>44194</c:v>
                </c:pt>
                <c:pt idx="240">
                  <c:v>44195</c:v>
                </c:pt>
                <c:pt idx="241">
                  <c:v>44196</c:v>
                </c:pt>
                <c:pt idx="242">
                  <c:v>44200</c:v>
                </c:pt>
                <c:pt idx="243">
                  <c:v>44201</c:v>
                </c:pt>
                <c:pt idx="244">
                  <c:v>44202</c:v>
                </c:pt>
                <c:pt idx="245">
                  <c:v>44203</c:v>
                </c:pt>
                <c:pt idx="246">
                  <c:v>44204</c:v>
                </c:pt>
                <c:pt idx="247">
                  <c:v>44207</c:v>
                </c:pt>
                <c:pt idx="248">
                  <c:v>44208</c:v>
                </c:pt>
                <c:pt idx="249">
                  <c:v>44209</c:v>
                </c:pt>
                <c:pt idx="250">
                  <c:v>44210</c:v>
                </c:pt>
                <c:pt idx="251">
                  <c:v>44211</c:v>
                </c:pt>
                <c:pt idx="252">
                  <c:v>44214</c:v>
                </c:pt>
                <c:pt idx="253">
                  <c:v>44215</c:v>
                </c:pt>
                <c:pt idx="254">
                  <c:v>44216</c:v>
                </c:pt>
                <c:pt idx="255">
                  <c:v>44217</c:v>
                </c:pt>
                <c:pt idx="256">
                  <c:v>44218</c:v>
                </c:pt>
                <c:pt idx="257">
                  <c:v>44221</c:v>
                </c:pt>
                <c:pt idx="258">
                  <c:v>44222</c:v>
                </c:pt>
                <c:pt idx="259">
                  <c:v>44223</c:v>
                </c:pt>
                <c:pt idx="260">
                  <c:v>44224</c:v>
                </c:pt>
                <c:pt idx="261">
                  <c:v>44225</c:v>
                </c:pt>
                <c:pt idx="262">
                  <c:v>44228</c:v>
                </c:pt>
                <c:pt idx="263">
                  <c:v>44229</c:v>
                </c:pt>
                <c:pt idx="264">
                  <c:v>44230</c:v>
                </c:pt>
                <c:pt idx="265">
                  <c:v>44231</c:v>
                </c:pt>
                <c:pt idx="266">
                  <c:v>44232</c:v>
                </c:pt>
                <c:pt idx="267">
                  <c:v>44235</c:v>
                </c:pt>
                <c:pt idx="268">
                  <c:v>44236</c:v>
                </c:pt>
                <c:pt idx="269">
                  <c:v>44237</c:v>
                </c:pt>
                <c:pt idx="270">
                  <c:v>44245</c:v>
                </c:pt>
                <c:pt idx="271">
                  <c:v>44246</c:v>
                </c:pt>
                <c:pt idx="272">
                  <c:v>44249</c:v>
                </c:pt>
                <c:pt idx="273">
                  <c:v>44250</c:v>
                </c:pt>
                <c:pt idx="274">
                  <c:v>44251</c:v>
                </c:pt>
                <c:pt idx="275">
                  <c:v>44252</c:v>
                </c:pt>
                <c:pt idx="276">
                  <c:v>44253</c:v>
                </c:pt>
                <c:pt idx="277">
                  <c:v>44256</c:v>
                </c:pt>
                <c:pt idx="278">
                  <c:v>44257</c:v>
                </c:pt>
                <c:pt idx="279">
                  <c:v>44258</c:v>
                </c:pt>
                <c:pt idx="280">
                  <c:v>44259</c:v>
                </c:pt>
                <c:pt idx="281">
                  <c:v>44260</c:v>
                </c:pt>
                <c:pt idx="282">
                  <c:v>44263</c:v>
                </c:pt>
                <c:pt idx="283">
                  <c:v>44264</c:v>
                </c:pt>
                <c:pt idx="284">
                  <c:v>44265</c:v>
                </c:pt>
                <c:pt idx="285">
                  <c:v>44266</c:v>
                </c:pt>
                <c:pt idx="286">
                  <c:v>44267</c:v>
                </c:pt>
                <c:pt idx="287">
                  <c:v>44270</c:v>
                </c:pt>
                <c:pt idx="288">
                  <c:v>44271</c:v>
                </c:pt>
                <c:pt idx="289">
                  <c:v>44272</c:v>
                </c:pt>
                <c:pt idx="290">
                  <c:v>44273</c:v>
                </c:pt>
                <c:pt idx="291">
                  <c:v>44274</c:v>
                </c:pt>
                <c:pt idx="292">
                  <c:v>44277</c:v>
                </c:pt>
                <c:pt idx="293">
                  <c:v>44278</c:v>
                </c:pt>
                <c:pt idx="294">
                  <c:v>44279</c:v>
                </c:pt>
                <c:pt idx="295">
                  <c:v>44280</c:v>
                </c:pt>
                <c:pt idx="296">
                  <c:v>44281</c:v>
                </c:pt>
                <c:pt idx="297">
                  <c:v>44284</c:v>
                </c:pt>
                <c:pt idx="298">
                  <c:v>44285</c:v>
                </c:pt>
                <c:pt idx="299">
                  <c:v>44286</c:v>
                </c:pt>
                <c:pt idx="300">
                  <c:v>44287</c:v>
                </c:pt>
                <c:pt idx="301">
                  <c:v>44288</c:v>
                </c:pt>
                <c:pt idx="302">
                  <c:v>44292</c:v>
                </c:pt>
                <c:pt idx="303">
                  <c:v>44293</c:v>
                </c:pt>
                <c:pt idx="304">
                  <c:v>44294</c:v>
                </c:pt>
                <c:pt idx="305">
                  <c:v>44295</c:v>
                </c:pt>
                <c:pt idx="306">
                  <c:v>44298</c:v>
                </c:pt>
                <c:pt idx="307">
                  <c:v>44299</c:v>
                </c:pt>
                <c:pt idx="308">
                  <c:v>44300</c:v>
                </c:pt>
                <c:pt idx="309">
                  <c:v>44301</c:v>
                </c:pt>
                <c:pt idx="310">
                  <c:v>44302</c:v>
                </c:pt>
                <c:pt idx="311">
                  <c:v>44305</c:v>
                </c:pt>
                <c:pt idx="312">
                  <c:v>44306</c:v>
                </c:pt>
                <c:pt idx="313">
                  <c:v>44307</c:v>
                </c:pt>
                <c:pt idx="314">
                  <c:v>44308</c:v>
                </c:pt>
                <c:pt idx="315">
                  <c:v>44309</c:v>
                </c:pt>
                <c:pt idx="316">
                  <c:v>44312</c:v>
                </c:pt>
                <c:pt idx="317">
                  <c:v>44313</c:v>
                </c:pt>
                <c:pt idx="318">
                  <c:v>44314</c:v>
                </c:pt>
                <c:pt idx="319">
                  <c:v>44315</c:v>
                </c:pt>
                <c:pt idx="320">
                  <c:v>44316</c:v>
                </c:pt>
                <c:pt idx="321">
                  <c:v>44322</c:v>
                </c:pt>
                <c:pt idx="322">
                  <c:v>44323</c:v>
                </c:pt>
                <c:pt idx="323">
                  <c:v>44326</c:v>
                </c:pt>
                <c:pt idx="324">
                  <c:v>44327</c:v>
                </c:pt>
                <c:pt idx="325">
                  <c:v>44328</c:v>
                </c:pt>
                <c:pt idx="326">
                  <c:v>44329</c:v>
                </c:pt>
                <c:pt idx="327">
                  <c:v>44330</c:v>
                </c:pt>
                <c:pt idx="328">
                  <c:v>44333</c:v>
                </c:pt>
                <c:pt idx="329">
                  <c:v>44334</c:v>
                </c:pt>
                <c:pt idx="330">
                  <c:v>44335</c:v>
                </c:pt>
                <c:pt idx="331">
                  <c:v>44336</c:v>
                </c:pt>
                <c:pt idx="332">
                  <c:v>44337</c:v>
                </c:pt>
                <c:pt idx="333">
                  <c:v>44340</c:v>
                </c:pt>
                <c:pt idx="334">
                  <c:v>44341</c:v>
                </c:pt>
                <c:pt idx="335">
                  <c:v>44342</c:v>
                </c:pt>
                <c:pt idx="336">
                  <c:v>44343</c:v>
                </c:pt>
                <c:pt idx="337">
                  <c:v>44344</c:v>
                </c:pt>
                <c:pt idx="338">
                  <c:v>44347</c:v>
                </c:pt>
                <c:pt idx="339">
                  <c:v>44348</c:v>
                </c:pt>
                <c:pt idx="340">
                  <c:v>44349</c:v>
                </c:pt>
                <c:pt idx="341">
                  <c:v>44350</c:v>
                </c:pt>
                <c:pt idx="342">
                  <c:v>44351</c:v>
                </c:pt>
                <c:pt idx="343">
                  <c:v>44354</c:v>
                </c:pt>
                <c:pt idx="344">
                  <c:v>44355</c:v>
                </c:pt>
                <c:pt idx="345">
                  <c:v>44356</c:v>
                </c:pt>
                <c:pt idx="346">
                  <c:v>44357</c:v>
                </c:pt>
                <c:pt idx="347">
                  <c:v>44358</c:v>
                </c:pt>
                <c:pt idx="348">
                  <c:v>44362</c:v>
                </c:pt>
                <c:pt idx="349">
                  <c:v>44363</c:v>
                </c:pt>
                <c:pt idx="350">
                  <c:v>44364</c:v>
                </c:pt>
                <c:pt idx="351">
                  <c:v>44365</c:v>
                </c:pt>
                <c:pt idx="352">
                  <c:v>44368</c:v>
                </c:pt>
                <c:pt idx="353">
                  <c:v>44369</c:v>
                </c:pt>
                <c:pt idx="354">
                  <c:v>44370</c:v>
                </c:pt>
                <c:pt idx="355">
                  <c:v>44371</c:v>
                </c:pt>
                <c:pt idx="356">
                  <c:v>44372</c:v>
                </c:pt>
                <c:pt idx="357">
                  <c:v>44375</c:v>
                </c:pt>
                <c:pt idx="358">
                  <c:v>44376</c:v>
                </c:pt>
                <c:pt idx="359">
                  <c:v>44377</c:v>
                </c:pt>
                <c:pt idx="360" formatCode="m/d/yyyy">
                  <c:v>44378</c:v>
                </c:pt>
                <c:pt idx="361" formatCode="m/d/yyyy">
                  <c:v>44379</c:v>
                </c:pt>
                <c:pt idx="362" formatCode="m/d/yyyy">
                  <c:v>44382</c:v>
                </c:pt>
                <c:pt idx="363" formatCode="m/d/yyyy">
                  <c:v>44383</c:v>
                </c:pt>
                <c:pt idx="364" formatCode="m/d/yyyy">
                  <c:v>44384</c:v>
                </c:pt>
                <c:pt idx="365" formatCode="m/d/yyyy">
                  <c:v>44385</c:v>
                </c:pt>
                <c:pt idx="366" formatCode="m/d/yyyy">
                  <c:v>44386</c:v>
                </c:pt>
                <c:pt idx="367" formatCode="m/d/yyyy">
                  <c:v>44389</c:v>
                </c:pt>
                <c:pt idx="368" formatCode="m/d/yyyy">
                  <c:v>44390</c:v>
                </c:pt>
                <c:pt idx="369" formatCode="m/d/yyyy">
                  <c:v>44391</c:v>
                </c:pt>
                <c:pt idx="370" formatCode="m/d/yyyy">
                  <c:v>44392</c:v>
                </c:pt>
                <c:pt idx="371" formatCode="m/d/yyyy">
                  <c:v>44393</c:v>
                </c:pt>
                <c:pt idx="372" formatCode="m/d/yyyy">
                  <c:v>44396</c:v>
                </c:pt>
                <c:pt idx="373" formatCode="m/d/yyyy">
                  <c:v>44397</c:v>
                </c:pt>
                <c:pt idx="374" formatCode="m/d/yyyy">
                  <c:v>44398</c:v>
                </c:pt>
                <c:pt idx="375" formatCode="m/d/yyyy">
                  <c:v>44399</c:v>
                </c:pt>
                <c:pt idx="376" formatCode="m/d/yyyy">
                  <c:v>44400</c:v>
                </c:pt>
                <c:pt idx="377" formatCode="m/d/yyyy">
                  <c:v>44403</c:v>
                </c:pt>
                <c:pt idx="378" formatCode="m/d/yyyy">
                  <c:v>44404</c:v>
                </c:pt>
                <c:pt idx="379" formatCode="m/d/yyyy">
                  <c:v>44405</c:v>
                </c:pt>
                <c:pt idx="380" formatCode="m/d/yyyy">
                  <c:v>44406</c:v>
                </c:pt>
                <c:pt idx="381" formatCode="m/d/yyyy">
                  <c:v>44407</c:v>
                </c:pt>
              </c:numCache>
            </c:numRef>
          </c:cat>
          <c:val>
            <c:numRef>
              <c:f>Sheet2!$J$2:$J$1309</c:f>
              <c:numCache>
                <c:formatCode>#,##0.0000_ </c:formatCode>
                <c:ptCount val="382"/>
                <c:pt idx="120">
                  <c:v>0.99828050000000002</c:v>
                </c:pt>
                <c:pt idx="121">
                  <c:v>0.99278049999999995</c:v>
                </c:pt>
                <c:pt idx="122">
                  <c:v>0.99878049999999996</c:v>
                </c:pt>
                <c:pt idx="123">
                  <c:v>1.0000804999999999</c:v>
                </c:pt>
                <c:pt idx="124">
                  <c:v>1.0225804999999999</c:v>
                </c:pt>
                <c:pt idx="125">
                  <c:v>1.0248805000000001</c:v>
                </c:pt>
                <c:pt idx="126">
                  <c:v>1.0223804999999999</c:v>
                </c:pt>
                <c:pt idx="127">
                  <c:v>0.97378049999999994</c:v>
                </c:pt>
                <c:pt idx="128">
                  <c:v>1.0104804999999999</c:v>
                </c:pt>
                <c:pt idx="129">
                  <c:v>1.0047805000000001</c:v>
                </c:pt>
                <c:pt idx="130">
                  <c:v>1.0159805</c:v>
                </c:pt>
                <c:pt idx="131">
                  <c:v>1.0184804999999999</c:v>
                </c:pt>
                <c:pt idx="132">
                  <c:v>1.0161804999999999</c:v>
                </c:pt>
                <c:pt idx="133">
                  <c:v>0.97488049999999993</c:v>
                </c:pt>
                <c:pt idx="134">
                  <c:v>0.9973805</c:v>
                </c:pt>
                <c:pt idx="135">
                  <c:v>1.0033805</c:v>
                </c:pt>
                <c:pt idx="136">
                  <c:v>0.99728050000000013</c:v>
                </c:pt>
                <c:pt idx="137">
                  <c:v>0.99608050000000004</c:v>
                </c:pt>
                <c:pt idx="138">
                  <c:v>0.99368050000000008</c:v>
                </c:pt>
                <c:pt idx="139">
                  <c:v>0.99848049999999999</c:v>
                </c:pt>
                <c:pt idx="140">
                  <c:v>0.9992804999999999</c:v>
                </c:pt>
                <c:pt idx="141">
                  <c:v>0.99868049999999997</c:v>
                </c:pt>
                <c:pt idx="142">
                  <c:v>1.0074805000000002</c:v>
                </c:pt>
                <c:pt idx="143">
                  <c:v>1.0278805</c:v>
                </c:pt>
                <c:pt idx="144">
                  <c:v>1.0406804999999999</c:v>
                </c:pt>
                <c:pt idx="145">
                  <c:v>1.0392804999999998</c:v>
                </c:pt>
                <c:pt idx="146">
                  <c:v>1.0533805000000003</c:v>
                </c:pt>
                <c:pt idx="147">
                  <c:v>1.0591805000000001</c:v>
                </c:pt>
                <c:pt idx="148">
                  <c:v>1.0615805</c:v>
                </c:pt>
                <c:pt idx="149">
                  <c:v>1.0365804999999999</c:v>
                </c:pt>
                <c:pt idx="150">
                  <c:v>1.0459805</c:v>
                </c:pt>
                <c:pt idx="151">
                  <c:v>1.0548805000000001</c:v>
                </c:pt>
                <c:pt idx="152">
                  <c:v>1.0621805</c:v>
                </c:pt>
                <c:pt idx="153">
                  <c:v>1.0631805000000001</c:v>
                </c:pt>
                <c:pt idx="154">
                  <c:v>1.0775805000000003</c:v>
                </c:pt>
                <c:pt idx="155">
                  <c:v>1.0838805000000002</c:v>
                </c:pt>
                <c:pt idx="156">
                  <c:v>1.0822805</c:v>
                </c:pt>
                <c:pt idx="157">
                  <c:v>1.0931805000000001</c:v>
                </c:pt>
                <c:pt idx="158">
                  <c:v>1.0747804999999999</c:v>
                </c:pt>
                <c:pt idx="159">
                  <c:v>1.0785804999999999</c:v>
                </c:pt>
                <c:pt idx="160">
                  <c:v>1.0862805</c:v>
                </c:pt>
                <c:pt idx="161">
                  <c:v>1.0846804999999999</c:v>
                </c:pt>
                <c:pt idx="162">
                  <c:v>1.0908804999999999</c:v>
                </c:pt>
                <c:pt idx="163">
                  <c:v>1.0944805</c:v>
                </c:pt>
                <c:pt idx="164">
                  <c:v>1.1001804999999998</c:v>
                </c:pt>
                <c:pt idx="165">
                  <c:v>1.1024805</c:v>
                </c:pt>
                <c:pt idx="166">
                  <c:v>1.0938805000000003</c:v>
                </c:pt>
                <c:pt idx="167">
                  <c:v>1.1052805000000001</c:v>
                </c:pt>
                <c:pt idx="168">
                  <c:v>1.1140805</c:v>
                </c:pt>
                <c:pt idx="169">
                  <c:v>1.1221805</c:v>
                </c:pt>
                <c:pt idx="170">
                  <c:v>1.1248804999999999</c:v>
                </c:pt>
                <c:pt idx="171">
                  <c:v>1.1262805</c:v>
                </c:pt>
                <c:pt idx="172">
                  <c:v>1.1250804999999999</c:v>
                </c:pt>
                <c:pt idx="173">
                  <c:v>1.1182805</c:v>
                </c:pt>
                <c:pt idx="174">
                  <c:v>1.1150804999999999</c:v>
                </c:pt>
                <c:pt idx="175">
                  <c:v>1.1095805000000001</c:v>
                </c:pt>
                <c:pt idx="176">
                  <c:v>1.1166805</c:v>
                </c:pt>
                <c:pt idx="177">
                  <c:v>1.1103805</c:v>
                </c:pt>
                <c:pt idx="178">
                  <c:v>1.1114805000000001</c:v>
                </c:pt>
                <c:pt idx="179">
                  <c:v>1.1121805</c:v>
                </c:pt>
                <c:pt idx="180">
                  <c:v>1.1042804999999998</c:v>
                </c:pt>
                <c:pt idx="181">
                  <c:v>1.1015805000000001</c:v>
                </c:pt>
                <c:pt idx="182">
                  <c:v>1.1321805</c:v>
                </c:pt>
                <c:pt idx="183">
                  <c:v>1.1211804999999999</c:v>
                </c:pt>
                <c:pt idx="184">
                  <c:v>1.1256805000000001</c:v>
                </c:pt>
                <c:pt idx="185">
                  <c:v>1.1293804999999999</c:v>
                </c:pt>
                <c:pt idx="186">
                  <c:v>1.1325805</c:v>
                </c:pt>
                <c:pt idx="187">
                  <c:v>1.1379805000000001</c:v>
                </c:pt>
                <c:pt idx="188">
                  <c:v>1.1451804999999999</c:v>
                </c:pt>
                <c:pt idx="189">
                  <c:v>1.1496805000000001</c:v>
                </c:pt>
                <c:pt idx="190">
                  <c:v>1.1498805000000001</c:v>
                </c:pt>
                <c:pt idx="191">
                  <c:v>1.1494804999999999</c:v>
                </c:pt>
                <c:pt idx="192">
                  <c:v>1.1494804999999999</c:v>
                </c:pt>
                <c:pt idx="193">
                  <c:v>1.1513804999999999</c:v>
                </c:pt>
                <c:pt idx="194">
                  <c:v>1.1520805000000001</c:v>
                </c:pt>
                <c:pt idx="195">
                  <c:v>1.1533804999999999</c:v>
                </c:pt>
                <c:pt idx="196">
                  <c:v>1.1539805000000001</c:v>
                </c:pt>
                <c:pt idx="197">
                  <c:v>1.1487805</c:v>
                </c:pt>
                <c:pt idx="198">
                  <c:v>1.1489804999999997</c:v>
                </c:pt>
                <c:pt idx="199">
                  <c:v>1.1474804999999999</c:v>
                </c:pt>
                <c:pt idx="200">
                  <c:v>1.1539805000000001</c:v>
                </c:pt>
                <c:pt idx="201">
                  <c:v>1.1573804999999999</c:v>
                </c:pt>
                <c:pt idx="202">
                  <c:v>1.1598805000000001</c:v>
                </c:pt>
                <c:pt idx="203">
                  <c:v>1.1602805</c:v>
                </c:pt>
                <c:pt idx="204">
                  <c:v>1.1612804999999999</c:v>
                </c:pt>
                <c:pt idx="205">
                  <c:v>1.1649805</c:v>
                </c:pt>
                <c:pt idx="206">
                  <c:v>1.1687804999999998</c:v>
                </c:pt>
                <c:pt idx="207">
                  <c:v>1.1598805000000001</c:v>
                </c:pt>
                <c:pt idx="208">
                  <c:v>1.1632804999999999</c:v>
                </c:pt>
                <c:pt idx="209">
                  <c:v>1.1661805000000001</c:v>
                </c:pt>
                <c:pt idx="210">
                  <c:v>1.1656804999999999</c:v>
                </c:pt>
                <c:pt idx="211">
                  <c:v>1.1653804999999999</c:v>
                </c:pt>
                <c:pt idx="212">
                  <c:v>1.1697804999999999</c:v>
                </c:pt>
                <c:pt idx="213">
                  <c:v>1.1679805000000001</c:v>
                </c:pt>
                <c:pt idx="214">
                  <c:v>1.1690805</c:v>
                </c:pt>
                <c:pt idx="215">
                  <c:v>1.1706805</c:v>
                </c:pt>
                <c:pt idx="216">
                  <c:v>1.1767804999999998</c:v>
                </c:pt>
                <c:pt idx="217">
                  <c:v>1.1745805</c:v>
                </c:pt>
                <c:pt idx="218">
                  <c:v>1.1779805000000001</c:v>
                </c:pt>
                <c:pt idx="219">
                  <c:v>1.1552804999999999</c:v>
                </c:pt>
                <c:pt idx="220">
                  <c:v>1.1563805000000003</c:v>
                </c:pt>
                <c:pt idx="221">
                  <c:v>1.1684805</c:v>
                </c:pt>
                <c:pt idx="222">
                  <c:v>1.1687804999999998</c:v>
                </c:pt>
                <c:pt idx="223">
                  <c:v>1.1717804999999999</c:v>
                </c:pt>
                <c:pt idx="224">
                  <c:v>1.1716804999999999</c:v>
                </c:pt>
                <c:pt idx="225">
                  <c:v>1.1705805000000002</c:v>
                </c:pt>
                <c:pt idx="226">
                  <c:v>1.1699805000000001</c:v>
                </c:pt>
                <c:pt idx="227">
                  <c:v>1.1739805000000001</c:v>
                </c:pt>
                <c:pt idx="228">
                  <c:v>1.2047805000000003</c:v>
                </c:pt>
                <c:pt idx="229">
                  <c:v>1.2044805000000001</c:v>
                </c:pt>
                <c:pt idx="230">
                  <c:v>1.2043805000000001</c:v>
                </c:pt>
                <c:pt idx="231">
                  <c:v>1.2021805000000001</c:v>
                </c:pt>
                <c:pt idx="232">
                  <c:v>1.2029804999999998</c:v>
                </c:pt>
                <c:pt idx="233">
                  <c:v>1.2027805000000003</c:v>
                </c:pt>
                <c:pt idx="234">
                  <c:v>1.2022805000000001</c:v>
                </c:pt>
                <c:pt idx="235">
                  <c:v>1.2023805000000001</c:v>
                </c:pt>
                <c:pt idx="236">
                  <c:v>1.2023805000000001</c:v>
                </c:pt>
                <c:pt idx="237">
                  <c:v>1.2021805000000001</c:v>
                </c:pt>
                <c:pt idx="238">
                  <c:v>1.2020805000000001</c:v>
                </c:pt>
                <c:pt idx="239">
                  <c:v>1.2020805000000001</c:v>
                </c:pt>
                <c:pt idx="240">
                  <c:v>1.1993805</c:v>
                </c:pt>
                <c:pt idx="241">
                  <c:v>1.1908805</c:v>
                </c:pt>
                <c:pt idx="242">
                  <c:v>1.1926805000000003</c:v>
                </c:pt>
                <c:pt idx="243">
                  <c:v>1.1945805000000003</c:v>
                </c:pt>
                <c:pt idx="244">
                  <c:v>1.1921805000000003</c:v>
                </c:pt>
                <c:pt idx="245">
                  <c:v>1.1887705000000002</c:v>
                </c:pt>
                <c:pt idx="246">
                  <c:v>1.1865705000000002</c:v>
                </c:pt>
                <c:pt idx="247">
                  <c:v>1.1952405000000002</c:v>
                </c:pt>
                <c:pt idx="248">
                  <c:v>1.1589405000000002</c:v>
                </c:pt>
                <c:pt idx="249">
                  <c:v>1.1566405000000002</c:v>
                </c:pt>
                <c:pt idx="250">
                  <c:v>1.1537105000000003</c:v>
                </c:pt>
                <c:pt idx="251">
                  <c:v>1.1646105000000002</c:v>
                </c:pt>
                <c:pt idx="252">
                  <c:v>1.1688805000000002</c:v>
                </c:pt>
                <c:pt idx="253">
                  <c:v>1.1649205000000002</c:v>
                </c:pt>
                <c:pt idx="254">
                  <c:v>1.1661705000000002</c:v>
                </c:pt>
                <c:pt idx="255">
                  <c:v>1.1629905000000005</c:v>
                </c:pt>
                <c:pt idx="256">
                  <c:v>1.1680605000000002</c:v>
                </c:pt>
                <c:pt idx="257">
                  <c:v>1.1678405000000005</c:v>
                </c:pt>
                <c:pt idx="258">
                  <c:v>1.1663705000000002</c:v>
                </c:pt>
                <c:pt idx="259">
                  <c:v>1.1682605000000001</c:v>
                </c:pt>
                <c:pt idx="260">
                  <c:v>1.1630805000000002</c:v>
                </c:pt>
                <c:pt idx="261">
                  <c:v>1.1595805000000001</c:v>
                </c:pt>
                <c:pt idx="262">
                  <c:v>1.1682005000000002</c:v>
                </c:pt>
                <c:pt idx="263">
                  <c:v>1.1826105000000002</c:v>
                </c:pt>
                <c:pt idx="264">
                  <c:v>1.1890205000000005</c:v>
                </c:pt>
                <c:pt idx="265">
                  <c:v>1.1888405000000002</c:v>
                </c:pt>
                <c:pt idx="266">
                  <c:v>1.1923305000000002</c:v>
                </c:pt>
                <c:pt idx="267">
                  <c:v>1.1963305000000002</c:v>
                </c:pt>
                <c:pt idx="268">
                  <c:v>1.1914305000000005</c:v>
                </c:pt>
                <c:pt idx="269">
                  <c:v>1.1813105000000002</c:v>
                </c:pt>
                <c:pt idx="270">
                  <c:v>1.1873705000000003</c:v>
                </c:pt>
                <c:pt idx="271">
                  <c:v>1.2010205000000005</c:v>
                </c:pt>
                <c:pt idx="272">
                  <c:v>1.1920105000000003</c:v>
                </c:pt>
                <c:pt idx="273">
                  <c:v>1.1911905000000005</c:v>
                </c:pt>
                <c:pt idx="274">
                  <c:v>1.1872005000000003</c:v>
                </c:pt>
                <c:pt idx="275">
                  <c:v>1.1948705000000002</c:v>
                </c:pt>
                <c:pt idx="276">
                  <c:v>1.1783405000000002</c:v>
                </c:pt>
                <c:pt idx="277">
                  <c:v>1.1998705000000005</c:v>
                </c:pt>
                <c:pt idx="278">
                  <c:v>1.2018805000000001</c:v>
                </c:pt>
                <c:pt idx="279">
                  <c:v>1.2020605000000002</c:v>
                </c:pt>
                <c:pt idx="280">
                  <c:v>1.1977705000000003</c:v>
                </c:pt>
                <c:pt idx="281">
                  <c:v>1.1980505000000001</c:v>
                </c:pt>
                <c:pt idx="282">
                  <c:v>1.1569305000000003</c:v>
                </c:pt>
                <c:pt idx="283">
                  <c:v>1.1603605000000001</c:v>
                </c:pt>
                <c:pt idx="284">
                  <c:v>1.1757905000000002</c:v>
                </c:pt>
                <c:pt idx="285">
                  <c:v>1.1942205000000001</c:v>
                </c:pt>
                <c:pt idx="286">
                  <c:v>1.1986455000000003</c:v>
                </c:pt>
                <c:pt idx="287">
                  <c:v>1.1938105000000003</c:v>
                </c:pt>
                <c:pt idx="288">
                  <c:v>1.1960105000000003</c:v>
                </c:pt>
                <c:pt idx="289">
                  <c:v>1.1944305000000002</c:v>
                </c:pt>
                <c:pt idx="290">
                  <c:v>1.1975805000000002</c:v>
                </c:pt>
                <c:pt idx="291">
                  <c:v>1.1936905000000002</c:v>
                </c:pt>
                <c:pt idx="292">
                  <c:v>1.1913105000000002</c:v>
                </c:pt>
                <c:pt idx="293">
                  <c:v>1.1901505000000003</c:v>
                </c:pt>
                <c:pt idx="294">
                  <c:v>1.1909605000000003</c:v>
                </c:pt>
                <c:pt idx="295">
                  <c:v>1.1890605000000003</c:v>
                </c:pt>
                <c:pt idx="296">
                  <c:v>1.1882955000000002</c:v>
                </c:pt>
                <c:pt idx="297">
                  <c:v>1.1869705000000002</c:v>
                </c:pt>
                <c:pt idx="298">
                  <c:v>1.1869505000000002</c:v>
                </c:pt>
                <c:pt idx="299">
                  <c:v>1.1864255000000001</c:v>
                </c:pt>
                <c:pt idx="300">
                  <c:v>1.1852655000000003</c:v>
                </c:pt>
                <c:pt idx="301">
                  <c:v>1.1856805000000001</c:v>
                </c:pt>
                <c:pt idx="302">
                  <c:v>1.1843705000000002</c:v>
                </c:pt>
                <c:pt idx="303">
                  <c:v>1.1836855000000002</c:v>
                </c:pt>
                <c:pt idx="304">
                  <c:v>1.1820555000000001</c:v>
                </c:pt>
                <c:pt idx="305">
                  <c:v>1.1831955000000003</c:v>
                </c:pt>
                <c:pt idx="306">
                  <c:v>1.1868005000000001</c:v>
                </c:pt>
                <c:pt idx="307">
                  <c:v>1.1848005000000001</c:v>
                </c:pt>
                <c:pt idx="308">
                  <c:v>1.1831455000000002</c:v>
                </c:pt>
                <c:pt idx="309">
                  <c:v>1.1835705000000003</c:v>
                </c:pt>
                <c:pt idx="310">
                  <c:v>1.1814255000000002</c:v>
                </c:pt>
                <c:pt idx="311">
                  <c:v>1.1890305000000003</c:v>
                </c:pt>
                <c:pt idx="312">
                  <c:v>1.1884755000000002</c:v>
                </c:pt>
                <c:pt idx="313">
                  <c:v>1.1879355000000005</c:v>
                </c:pt>
                <c:pt idx="314">
                  <c:v>1.1879505000000001</c:v>
                </c:pt>
                <c:pt idx="315">
                  <c:v>1.1876605000000002</c:v>
                </c:pt>
                <c:pt idx="316">
                  <c:v>1.1863905000000001</c:v>
                </c:pt>
                <c:pt idx="317">
                  <c:v>1.1874455000000002</c:v>
                </c:pt>
                <c:pt idx="318">
                  <c:v>1.1890055000000002</c:v>
                </c:pt>
                <c:pt idx="319">
                  <c:v>1.1895905000000002</c:v>
                </c:pt>
                <c:pt idx="320">
                  <c:v>1.1900305000000002</c:v>
                </c:pt>
                <c:pt idx="321">
                  <c:v>1.1935705000000003</c:v>
                </c:pt>
                <c:pt idx="322">
                  <c:v>1.1931505000000002</c:v>
                </c:pt>
                <c:pt idx="323">
                  <c:v>1.1956405000000003</c:v>
                </c:pt>
                <c:pt idx="324">
                  <c:v>1.1952305000000003</c:v>
                </c:pt>
                <c:pt idx="325">
                  <c:v>1.1949705000000002</c:v>
                </c:pt>
                <c:pt idx="326">
                  <c:v>1.1941455000000003</c:v>
                </c:pt>
                <c:pt idx="327">
                  <c:v>1.1859405000000003</c:v>
                </c:pt>
                <c:pt idx="328">
                  <c:v>1.1825605000000001</c:v>
                </c:pt>
                <c:pt idx="329">
                  <c:v>1.1831055000000001</c:v>
                </c:pt>
                <c:pt idx="330">
                  <c:v>1.1832705000000003</c:v>
                </c:pt>
                <c:pt idx="331">
                  <c:v>1.1835405000000003</c:v>
                </c:pt>
                <c:pt idx="332">
                  <c:v>1.1847405000000002</c:v>
                </c:pt>
                <c:pt idx="333">
                  <c:v>1.1858255000000002</c:v>
                </c:pt>
                <c:pt idx="334">
                  <c:v>1.1757655000000002</c:v>
                </c:pt>
                <c:pt idx="335">
                  <c:v>1.1762355000000002</c:v>
                </c:pt>
                <c:pt idx="336">
                  <c:v>1.1750255000000005</c:v>
                </c:pt>
                <c:pt idx="337">
                  <c:v>1.1757355000000005</c:v>
                </c:pt>
                <c:pt idx="338">
                  <c:v>1.1756405000000003</c:v>
                </c:pt>
                <c:pt idx="339">
                  <c:v>1.1782605000000002</c:v>
                </c:pt>
                <c:pt idx="340">
                  <c:v>1.1844605000000001</c:v>
                </c:pt>
                <c:pt idx="341">
                  <c:v>1.1880005000000002</c:v>
                </c:pt>
                <c:pt idx="342">
                  <c:v>1.1902105000000005</c:v>
                </c:pt>
                <c:pt idx="343">
                  <c:v>1.1926105000000002</c:v>
                </c:pt>
                <c:pt idx="344">
                  <c:v>1.1925455000000005</c:v>
                </c:pt>
                <c:pt idx="345">
                  <c:v>1.2045855000000003</c:v>
                </c:pt>
                <c:pt idx="346">
                  <c:v>1.2087405000000002</c:v>
                </c:pt>
                <c:pt idx="347">
                  <c:v>1.2087955000000001</c:v>
                </c:pt>
                <c:pt idx="348">
                  <c:v>1.2117005000000003</c:v>
                </c:pt>
                <c:pt idx="349">
                  <c:v>1.2092405000000002</c:v>
                </c:pt>
                <c:pt idx="350">
                  <c:v>1.2147955000000001</c:v>
                </c:pt>
                <c:pt idx="351">
                  <c:v>1.2156505000000002</c:v>
                </c:pt>
                <c:pt idx="352">
                  <c:v>1.2162855000000001</c:v>
                </c:pt>
                <c:pt idx="353">
                  <c:v>1.2165605000000002</c:v>
                </c:pt>
                <c:pt idx="354">
                  <c:v>1.2185355000000002</c:v>
                </c:pt>
                <c:pt idx="355">
                  <c:v>1.2191555000000005</c:v>
                </c:pt>
                <c:pt idx="356">
                  <c:v>1.2162355000000002</c:v>
                </c:pt>
                <c:pt idx="357">
                  <c:v>1.2162355000000002</c:v>
                </c:pt>
                <c:pt idx="358">
                  <c:v>1.2171205000000005</c:v>
                </c:pt>
                <c:pt idx="359">
                  <c:v>1.2165005000000002</c:v>
                </c:pt>
                <c:pt idx="360">
                  <c:v>1.2163405000000005</c:v>
                </c:pt>
                <c:pt idx="361">
                  <c:v>1.2112755000000002</c:v>
                </c:pt>
                <c:pt idx="362">
                  <c:v>1.2139355000000005</c:v>
                </c:pt>
                <c:pt idx="363">
                  <c:v>1.2141255000000002</c:v>
                </c:pt>
                <c:pt idx="364">
                  <c:v>1.2105155000000003</c:v>
                </c:pt>
                <c:pt idx="365">
                  <c:v>1.2096755000000001</c:v>
                </c:pt>
                <c:pt idx="366">
                  <c:v>1.2100355000000005</c:v>
                </c:pt>
                <c:pt idx="367">
                  <c:v>1.2100555000000002</c:v>
                </c:pt>
                <c:pt idx="368">
                  <c:v>1.2112805000000002</c:v>
                </c:pt>
                <c:pt idx="369">
                  <c:v>1.2110955000000003</c:v>
                </c:pt>
                <c:pt idx="370">
                  <c:v>1.2119605000000002</c:v>
                </c:pt>
                <c:pt idx="371">
                  <c:v>1.2104555000000001</c:v>
                </c:pt>
                <c:pt idx="372">
                  <c:v>1.2129405000000002</c:v>
                </c:pt>
                <c:pt idx="373">
                  <c:v>1.2123305000000002</c:v>
                </c:pt>
                <c:pt idx="374">
                  <c:v>1.2131255000000003</c:v>
                </c:pt>
                <c:pt idx="375">
                  <c:v>1.2138705000000003</c:v>
                </c:pt>
                <c:pt idx="376">
                  <c:v>1.2141505000000001</c:v>
                </c:pt>
                <c:pt idx="377">
                  <c:v>1.2047105000000002</c:v>
                </c:pt>
                <c:pt idx="378">
                  <c:v>1.1874305000000005</c:v>
                </c:pt>
                <c:pt idx="379">
                  <c:v>1.1916905000000002</c:v>
                </c:pt>
                <c:pt idx="380">
                  <c:v>1.1943955000000002</c:v>
                </c:pt>
                <c:pt idx="381">
                  <c:v>1.1964205000000003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11-4D0A-8DAB-891776E13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59095"/>
        <c:axId val="23360079"/>
      </c:lineChart>
      <c:dateAx>
        <c:axId val="2335909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60079"/>
        <c:crosses val="autoZero"/>
        <c:auto val="1"/>
        <c:lblOffset val="100"/>
        <c:baseTimeUnit val="days"/>
      </c:dateAx>
      <c:valAx>
        <c:axId val="23360079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359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baseline="0">
                <a:effectLst/>
              </a:rPr>
              <a:t>期权策略表现（</a:t>
            </a:r>
            <a:r>
              <a:rPr lang="en-US" altLang="zh-CN" sz="1400" b="0" i="0" baseline="0">
                <a:effectLst/>
              </a:rPr>
              <a:t>2020.07-2021.07</a:t>
            </a:r>
            <a:r>
              <a:rPr lang="zh-CN" altLang="zh-CN" sz="1400" b="0" i="0" baseline="0">
                <a:effectLst/>
              </a:rPr>
              <a:t>）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5082051452429205E-2"/>
          <c:y val="9.8583274813608457E-2"/>
          <c:w val="0.89551493405096516"/>
          <c:h val="0.69758221398795739"/>
        </c:manualLayout>
      </c:layout>
      <c:lineChart>
        <c:grouping val="standard"/>
        <c:varyColors val="0"/>
        <c:ser>
          <c:idx val="0"/>
          <c:order val="0"/>
          <c:tx>
            <c:strRef>
              <c:f>Sheet2!$K$1047</c:f>
              <c:strCache>
                <c:ptCount val="1"/>
                <c:pt idx="0">
                  <c:v>2:30</c:v>
                </c:pt>
              </c:strCache>
            </c:strRef>
          </c:tx>
          <c:spPr>
            <a:ln w="28575" cap="rnd">
              <a:solidFill>
                <a:srgbClr val="ED7C2F"/>
              </a:solidFill>
              <a:round/>
            </a:ln>
            <a:effectLst/>
          </c:spPr>
          <c:marker>
            <c:symbol val="none"/>
          </c:marker>
          <c:cat>
            <c:numRef>
              <c:f>Sheet2!$A$1048:$A$1309</c:f>
              <c:numCache>
                <c:formatCode>yyyy\-mm\-dd;@</c:formatCode>
                <c:ptCount val="262"/>
                <c:pt idx="0">
                  <c:v>44019</c:v>
                </c:pt>
                <c:pt idx="1">
                  <c:v>44020</c:v>
                </c:pt>
                <c:pt idx="2">
                  <c:v>44021</c:v>
                </c:pt>
                <c:pt idx="3">
                  <c:v>44022</c:v>
                </c:pt>
                <c:pt idx="4">
                  <c:v>44025</c:v>
                </c:pt>
                <c:pt idx="5">
                  <c:v>44026</c:v>
                </c:pt>
                <c:pt idx="6">
                  <c:v>44027</c:v>
                </c:pt>
                <c:pt idx="7">
                  <c:v>44028</c:v>
                </c:pt>
                <c:pt idx="8">
                  <c:v>44029</c:v>
                </c:pt>
                <c:pt idx="9">
                  <c:v>44032</c:v>
                </c:pt>
                <c:pt idx="10">
                  <c:v>44033</c:v>
                </c:pt>
                <c:pt idx="11">
                  <c:v>44034</c:v>
                </c:pt>
                <c:pt idx="12">
                  <c:v>44035</c:v>
                </c:pt>
                <c:pt idx="13">
                  <c:v>44036</c:v>
                </c:pt>
                <c:pt idx="14">
                  <c:v>44039</c:v>
                </c:pt>
                <c:pt idx="15">
                  <c:v>44040</c:v>
                </c:pt>
                <c:pt idx="16">
                  <c:v>44041</c:v>
                </c:pt>
                <c:pt idx="17">
                  <c:v>44042</c:v>
                </c:pt>
                <c:pt idx="18">
                  <c:v>44043</c:v>
                </c:pt>
                <c:pt idx="19">
                  <c:v>44046</c:v>
                </c:pt>
                <c:pt idx="20">
                  <c:v>44047</c:v>
                </c:pt>
                <c:pt idx="21">
                  <c:v>44048</c:v>
                </c:pt>
                <c:pt idx="22">
                  <c:v>44049</c:v>
                </c:pt>
                <c:pt idx="23">
                  <c:v>44050</c:v>
                </c:pt>
                <c:pt idx="24">
                  <c:v>44053</c:v>
                </c:pt>
                <c:pt idx="25">
                  <c:v>44054</c:v>
                </c:pt>
                <c:pt idx="26">
                  <c:v>44055</c:v>
                </c:pt>
                <c:pt idx="27">
                  <c:v>44056</c:v>
                </c:pt>
                <c:pt idx="28">
                  <c:v>44057</c:v>
                </c:pt>
                <c:pt idx="29">
                  <c:v>44060</c:v>
                </c:pt>
                <c:pt idx="30">
                  <c:v>44061</c:v>
                </c:pt>
                <c:pt idx="31">
                  <c:v>44062</c:v>
                </c:pt>
                <c:pt idx="32">
                  <c:v>44063</c:v>
                </c:pt>
                <c:pt idx="33">
                  <c:v>44064</c:v>
                </c:pt>
                <c:pt idx="34">
                  <c:v>44067</c:v>
                </c:pt>
                <c:pt idx="35">
                  <c:v>44068</c:v>
                </c:pt>
                <c:pt idx="36">
                  <c:v>44069</c:v>
                </c:pt>
                <c:pt idx="37">
                  <c:v>44070</c:v>
                </c:pt>
                <c:pt idx="38">
                  <c:v>44071</c:v>
                </c:pt>
                <c:pt idx="39">
                  <c:v>44074</c:v>
                </c:pt>
                <c:pt idx="40">
                  <c:v>44075</c:v>
                </c:pt>
                <c:pt idx="41">
                  <c:v>44076</c:v>
                </c:pt>
                <c:pt idx="42">
                  <c:v>44077</c:v>
                </c:pt>
                <c:pt idx="43">
                  <c:v>44078</c:v>
                </c:pt>
                <c:pt idx="44">
                  <c:v>44081</c:v>
                </c:pt>
                <c:pt idx="45">
                  <c:v>44082</c:v>
                </c:pt>
                <c:pt idx="46">
                  <c:v>44083</c:v>
                </c:pt>
                <c:pt idx="47">
                  <c:v>44084</c:v>
                </c:pt>
                <c:pt idx="48">
                  <c:v>44085</c:v>
                </c:pt>
                <c:pt idx="49">
                  <c:v>44088</c:v>
                </c:pt>
                <c:pt idx="50">
                  <c:v>44089</c:v>
                </c:pt>
                <c:pt idx="51">
                  <c:v>44090</c:v>
                </c:pt>
                <c:pt idx="52">
                  <c:v>44091</c:v>
                </c:pt>
                <c:pt idx="53">
                  <c:v>44092</c:v>
                </c:pt>
                <c:pt idx="54">
                  <c:v>44095</c:v>
                </c:pt>
                <c:pt idx="55">
                  <c:v>44096</c:v>
                </c:pt>
                <c:pt idx="56">
                  <c:v>44097</c:v>
                </c:pt>
                <c:pt idx="57">
                  <c:v>44098</c:v>
                </c:pt>
                <c:pt idx="58">
                  <c:v>44099</c:v>
                </c:pt>
                <c:pt idx="59">
                  <c:v>44102</c:v>
                </c:pt>
                <c:pt idx="60">
                  <c:v>44103</c:v>
                </c:pt>
                <c:pt idx="61">
                  <c:v>44104</c:v>
                </c:pt>
                <c:pt idx="62">
                  <c:v>44113</c:v>
                </c:pt>
                <c:pt idx="63">
                  <c:v>44116</c:v>
                </c:pt>
                <c:pt idx="64">
                  <c:v>44117</c:v>
                </c:pt>
                <c:pt idx="65">
                  <c:v>44118</c:v>
                </c:pt>
                <c:pt idx="66">
                  <c:v>44119</c:v>
                </c:pt>
                <c:pt idx="67">
                  <c:v>44120</c:v>
                </c:pt>
                <c:pt idx="68">
                  <c:v>44123</c:v>
                </c:pt>
                <c:pt idx="69">
                  <c:v>44124</c:v>
                </c:pt>
                <c:pt idx="70">
                  <c:v>44125</c:v>
                </c:pt>
                <c:pt idx="71">
                  <c:v>44126</c:v>
                </c:pt>
                <c:pt idx="72">
                  <c:v>44127</c:v>
                </c:pt>
                <c:pt idx="73">
                  <c:v>44130</c:v>
                </c:pt>
                <c:pt idx="74">
                  <c:v>44131</c:v>
                </c:pt>
                <c:pt idx="75">
                  <c:v>44132</c:v>
                </c:pt>
                <c:pt idx="76">
                  <c:v>44133</c:v>
                </c:pt>
                <c:pt idx="77">
                  <c:v>44134</c:v>
                </c:pt>
                <c:pt idx="78">
                  <c:v>44137</c:v>
                </c:pt>
                <c:pt idx="79">
                  <c:v>44138</c:v>
                </c:pt>
                <c:pt idx="80">
                  <c:v>44139</c:v>
                </c:pt>
                <c:pt idx="81">
                  <c:v>44140</c:v>
                </c:pt>
                <c:pt idx="82">
                  <c:v>44141</c:v>
                </c:pt>
                <c:pt idx="83">
                  <c:v>44144</c:v>
                </c:pt>
                <c:pt idx="84">
                  <c:v>44145</c:v>
                </c:pt>
                <c:pt idx="85">
                  <c:v>44146</c:v>
                </c:pt>
                <c:pt idx="86">
                  <c:v>44147</c:v>
                </c:pt>
                <c:pt idx="87">
                  <c:v>44148</c:v>
                </c:pt>
                <c:pt idx="88">
                  <c:v>44151</c:v>
                </c:pt>
                <c:pt idx="89">
                  <c:v>44152</c:v>
                </c:pt>
                <c:pt idx="90">
                  <c:v>44153</c:v>
                </c:pt>
                <c:pt idx="91">
                  <c:v>44154</c:v>
                </c:pt>
                <c:pt idx="92">
                  <c:v>44155</c:v>
                </c:pt>
                <c:pt idx="93">
                  <c:v>44158</c:v>
                </c:pt>
                <c:pt idx="94">
                  <c:v>44159</c:v>
                </c:pt>
                <c:pt idx="95">
                  <c:v>44160</c:v>
                </c:pt>
                <c:pt idx="96">
                  <c:v>44161</c:v>
                </c:pt>
                <c:pt idx="97">
                  <c:v>44162</c:v>
                </c:pt>
                <c:pt idx="98">
                  <c:v>44165</c:v>
                </c:pt>
                <c:pt idx="99">
                  <c:v>44166</c:v>
                </c:pt>
                <c:pt idx="100">
                  <c:v>44167</c:v>
                </c:pt>
                <c:pt idx="101">
                  <c:v>44168</c:v>
                </c:pt>
                <c:pt idx="102">
                  <c:v>44169</c:v>
                </c:pt>
                <c:pt idx="103">
                  <c:v>44172</c:v>
                </c:pt>
                <c:pt idx="104">
                  <c:v>44173</c:v>
                </c:pt>
                <c:pt idx="105">
                  <c:v>44174</c:v>
                </c:pt>
                <c:pt idx="106">
                  <c:v>44175</c:v>
                </c:pt>
                <c:pt idx="107">
                  <c:v>44176</c:v>
                </c:pt>
                <c:pt idx="108">
                  <c:v>44179</c:v>
                </c:pt>
                <c:pt idx="109">
                  <c:v>44180</c:v>
                </c:pt>
                <c:pt idx="110">
                  <c:v>44181</c:v>
                </c:pt>
                <c:pt idx="111">
                  <c:v>44182</c:v>
                </c:pt>
                <c:pt idx="112">
                  <c:v>44183</c:v>
                </c:pt>
                <c:pt idx="113">
                  <c:v>44186</c:v>
                </c:pt>
                <c:pt idx="114">
                  <c:v>44187</c:v>
                </c:pt>
                <c:pt idx="115">
                  <c:v>44188</c:v>
                </c:pt>
                <c:pt idx="116">
                  <c:v>44189</c:v>
                </c:pt>
                <c:pt idx="117">
                  <c:v>44190</c:v>
                </c:pt>
                <c:pt idx="118">
                  <c:v>44193</c:v>
                </c:pt>
                <c:pt idx="119">
                  <c:v>44194</c:v>
                </c:pt>
                <c:pt idx="120">
                  <c:v>44195</c:v>
                </c:pt>
                <c:pt idx="121">
                  <c:v>44196</c:v>
                </c:pt>
                <c:pt idx="122">
                  <c:v>44200</c:v>
                </c:pt>
                <c:pt idx="123">
                  <c:v>44201</c:v>
                </c:pt>
                <c:pt idx="124">
                  <c:v>44202</c:v>
                </c:pt>
                <c:pt idx="125">
                  <c:v>44203</c:v>
                </c:pt>
                <c:pt idx="126">
                  <c:v>44204</c:v>
                </c:pt>
                <c:pt idx="127">
                  <c:v>44207</c:v>
                </c:pt>
                <c:pt idx="128">
                  <c:v>44208</c:v>
                </c:pt>
                <c:pt idx="129">
                  <c:v>44209</c:v>
                </c:pt>
                <c:pt idx="130">
                  <c:v>44210</c:v>
                </c:pt>
                <c:pt idx="131">
                  <c:v>44211</c:v>
                </c:pt>
                <c:pt idx="132">
                  <c:v>44214</c:v>
                </c:pt>
                <c:pt idx="133">
                  <c:v>44215</c:v>
                </c:pt>
                <c:pt idx="134">
                  <c:v>44216</c:v>
                </c:pt>
                <c:pt idx="135">
                  <c:v>44217</c:v>
                </c:pt>
                <c:pt idx="136">
                  <c:v>44218</c:v>
                </c:pt>
                <c:pt idx="137">
                  <c:v>44221</c:v>
                </c:pt>
                <c:pt idx="138">
                  <c:v>44222</c:v>
                </c:pt>
                <c:pt idx="139">
                  <c:v>44223</c:v>
                </c:pt>
                <c:pt idx="140">
                  <c:v>44224</c:v>
                </c:pt>
                <c:pt idx="141">
                  <c:v>44225</c:v>
                </c:pt>
                <c:pt idx="142">
                  <c:v>44228</c:v>
                </c:pt>
                <c:pt idx="143">
                  <c:v>44229</c:v>
                </c:pt>
                <c:pt idx="144">
                  <c:v>44230</c:v>
                </c:pt>
                <c:pt idx="145">
                  <c:v>44231</c:v>
                </c:pt>
                <c:pt idx="146">
                  <c:v>44232</c:v>
                </c:pt>
                <c:pt idx="147">
                  <c:v>44235</c:v>
                </c:pt>
                <c:pt idx="148">
                  <c:v>44236</c:v>
                </c:pt>
                <c:pt idx="149">
                  <c:v>44237</c:v>
                </c:pt>
                <c:pt idx="150">
                  <c:v>44245</c:v>
                </c:pt>
                <c:pt idx="151">
                  <c:v>44246</c:v>
                </c:pt>
                <c:pt idx="152">
                  <c:v>44249</c:v>
                </c:pt>
                <c:pt idx="153">
                  <c:v>44250</c:v>
                </c:pt>
                <c:pt idx="154">
                  <c:v>44251</c:v>
                </c:pt>
                <c:pt idx="155">
                  <c:v>44252</c:v>
                </c:pt>
                <c:pt idx="156">
                  <c:v>44253</c:v>
                </c:pt>
                <c:pt idx="157">
                  <c:v>44256</c:v>
                </c:pt>
                <c:pt idx="158">
                  <c:v>44257</c:v>
                </c:pt>
                <c:pt idx="159">
                  <c:v>44258</c:v>
                </c:pt>
                <c:pt idx="160">
                  <c:v>44259</c:v>
                </c:pt>
                <c:pt idx="161">
                  <c:v>44260</c:v>
                </c:pt>
                <c:pt idx="162">
                  <c:v>44263</c:v>
                </c:pt>
                <c:pt idx="163">
                  <c:v>44264</c:v>
                </c:pt>
                <c:pt idx="164">
                  <c:v>44265</c:v>
                </c:pt>
                <c:pt idx="165">
                  <c:v>44266</c:v>
                </c:pt>
                <c:pt idx="166">
                  <c:v>44267</c:v>
                </c:pt>
                <c:pt idx="167">
                  <c:v>44270</c:v>
                </c:pt>
                <c:pt idx="168">
                  <c:v>44271</c:v>
                </c:pt>
                <c:pt idx="169">
                  <c:v>44272</c:v>
                </c:pt>
                <c:pt idx="170">
                  <c:v>44273</c:v>
                </c:pt>
                <c:pt idx="171">
                  <c:v>44274</c:v>
                </c:pt>
                <c:pt idx="172">
                  <c:v>44277</c:v>
                </c:pt>
                <c:pt idx="173">
                  <c:v>44278</c:v>
                </c:pt>
                <c:pt idx="174">
                  <c:v>44279</c:v>
                </c:pt>
                <c:pt idx="175">
                  <c:v>44280</c:v>
                </c:pt>
                <c:pt idx="176">
                  <c:v>44281</c:v>
                </c:pt>
                <c:pt idx="177">
                  <c:v>44284</c:v>
                </c:pt>
                <c:pt idx="178">
                  <c:v>44285</c:v>
                </c:pt>
                <c:pt idx="179">
                  <c:v>44286</c:v>
                </c:pt>
                <c:pt idx="180">
                  <c:v>44287</c:v>
                </c:pt>
                <c:pt idx="181">
                  <c:v>44288</c:v>
                </c:pt>
                <c:pt idx="182">
                  <c:v>44292</c:v>
                </c:pt>
                <c:pt idx="183">
                  <c:v>44293</c:v>
                </c:pt>
                <c:pt idx="184">
                  <c:v>44294</c:v>
                </c:pt>
                <c:pt idx="185">
                  <c:v>44295</c:v>
                </c:pt>
                <c:pt idx="186">
                  <c:v>44298</c:v>
                </c:pt>
                <c:pt idx="187">
                  <c:v>44299</c:v>
                </c:pt>
                <c:pt idx="188">
                  <c:v>44300</c:v>
                </c:pt>
                <c:pt idx="189">
                  <c:v>44301</c:v>
                </c:pt>
                <c:pt idx="190">
                  <c:v>44302</c:v>
                </c:pt>
                <c:pt idx="191">
                  <c:v>44305</c:v>
                </c:pt>
                <c:pt idx="192">
                  <c:v>44306</c:v>
                </c:pt>
                <c:pt idx="193">
                  <c:v>44307</c:v>
                </c:pt>
                <c:pt idx="194">
                  <c:v>44308</c:v>
                </c:pt>
                <c:pt idx="195">
                  <c:v>44309</c:v>
                </c:pt>
                <c:pt idx="196">
                  <c:v>44312</c:v>
                </c:pt>
                <c:pt idx="197">
                  <c:v>44313</c:v>
                </c:pt>
                <c:pt idx="198">
                  <c:v>44314</c:v>
                </c:pt>
                <c:pt idx="199">
                  <c:v>44315</c:v>
                </c:pt>
                <c:pt idx="200">
                  <c:v>44316</c:v>
                </c:pt>
                <c:pt idx="201">
                  <c:v>44322</c:v>
                </c:pt>
                <c:pt idx="202">
                  <c:v>44323</c:v>
                </c:pt>
                <c:pt idx="203">
                  <c:v>44326</c:v>
                </c:pt>
                <c:pt idx="204">
                  <c:v>44327</c:v>
                </c:pt>
                <c:pt idx="205">
                  <c:v>44328</c:v>
                </c:pt>
                <c:pt idx="206">
                  <c:v>44329</c:v>
                </c:pt>
                <c:pt idx="207">
                  <c:v>44330</c:v>
                </c:pt>
                <c:pt idx="208">
                  <c:v>44333</c:v>
                </c:pt>
                <c:pt idx="209">
                  <c:v>44334</c:v>
                </c:pt>
                <c:pt idx="210">
                  <c:v>44335</c:v>
                </c:pt>
                <c:pt idx="211">
                  <c:v>44336</c:v>
                </c:pt>
                <c:pt idx="212">
                  <c:v>44337</c:v>
                </c:pt>
                <c:pt idx="213">
                  <c:v>44340</c:v>
                </c:pt>
                <c:pt idx="214">
                  <c:v>44341</c:v>
                </c:pt>
                <c:pt idx="215">
                  <c:v>44342</c:v>
                </c:pt>
                <c:pt idx="216">
                  <c:v>44343</c:v>
                </c:pt>
                <c:pt idx="217">
                  <c:v>44344</c:v>
                </c:pt>
                <c:pt idx="218">
                  <c:v>44347</c:v>
                </c:pt>
                <c:pt idx="219">
                  <c:v>44348</c:v>
                </c:pt>
                <c:pt idx="220">
                  <c:v>44349</c:v>
                </c:pt>
                <c:pt idx="221">
                  <c:v>44350</c:v>
                </c:pt>
                <c:pt idx="222">
                  <c:v>44351</c:v>
                </c:pt>
                <c:pt idx="223">
                  <c:v>44354</c:v>
                </c:pt>
                <c:pt idx="224">
                  <c:v>44355</c:v>
                </c:pt>
                <c:pt idx="225">
                  <c:v>44356</c:v>
                </c:pt>
                <c:pt idx="226">
                  <c:v>44357</c:v>
                </c:pt>
                <c:pt idx="227">
                  <c:v>44358</c:v>
                </c:pt>
                <c:pt idx="228">
                  <c:v>44362</c:v>
                </c:pt>
                <c:pt idx="229">
                  <c:v>44363</c:v>
                </c:pt>
                <c:pt idx="230">
                  <c:v>44364</c:v>
                </c:pt>
                <c:pt idx="231">
                  <c:v>44365</c:v>
                </c:pt>
                <c:pt idx="232">
                  <c:v>44368</c:v>
                </c:pt>
                <c:pt idx="233">
                  <c:v>44369</c:v>
                </c:pt>
                <c:pt idx="234">
                  <c:v>44370</c:v>
                </c:pt>
                <c:pt idx="235">
                  <c:v>44371</c:v>
                </c:pt>
                <c:pt idx="236">
                  <c:v>44372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 formatCode="m/d/yyyy">
                  <c:v>44378</c:v>
                </c:pt>
                <c:pt idx="241" formatCode="m/d/yyyy">
                  <c:v>44379</c:v>
                </c:pt>
                <c:pt idx="242" formatCode="m/d/yyyy">
                  <c:v>44382</c:v>
                </c:pt>
                <c:pt idx="243" formatCode="m/d/yyyy">
                  <c:v>44383</c:v>
                </c:pt>
                <c:pt idx="244" formatCode="m/d/yyyy">
                  <c:v>44384</c:v>
                </c:pt>
                <c:pt idx="245" formatCode="m/d/yyyy">
                  <c:v>44385</c:v>
                </c:pt>
                <c:pt idx="246" formatCode="m/d/yyyy">
                  <c:v>44386</c:v>
                </c:pt>
                <c:pt idx="247" formatCode="m/d/yyyy">
                  <c:v>44389</c:v>
                </c:pt>
                <c:pt idx="248" formatCode="m/d/yyyy">
                  <c:v>44390</c:v>
                </c:pt>
                <c:pt idx="249" formatCode="m/d/yyyy">
                  <c:v>44391</c:v>
                </c:pt>
                <c:pt idx="250" formatCode="m/d/yyyy">
                  <c:v>44392</c:v>
                </c:pt>
                <c:pt idx="251" formatCode="m/d/yyyy">
                  <c:v>44393</c:v>
                </c:pt>
                <c:pt idx="252" formatCode="m/d/yyyy">
                  <c:v>44396</c:v>
                </c:pt>
                <c:pt idx="253" formatCode="m/d/yyyy">
                  <c:v>44397</c:v>
                </c:pt>
                <c:pt idx="254" formatCode="m/d/yyyy">
                  <c:v>44398</c:v>
                </c:pt>
                <c:pt idx="255" formatCode="m/d/yyyy">
                  <c:v>44399</c:v>
                </c:pt>
                <c:pt idx="256" formatCode="m/d/yyyy">
                  <c:v>44400</c:v>
                </c:pt>
                <c:pt idx="257" formatCode="m/d/yyyy">
                  <c:v>44403</c:v>
                </c:pt>
                <c:pt idx="258" formatCode="m/d/yyyy">
                  <c:v>44404</c:v>
                </c:pt>
                <c:pt idx="259" formatCode="m/d/yyyy">
                  <c:v>44405</c:v>
                </c:pt>
                <c:pt idx="260" formatCode="m/d/yyyy">
                  <c:v>44406</c:v>
                </c:pt>
                <c:pt idx="261" formatCode="m/d/yyyy">
                  <c:v>44407</c:v>
                </c:pt>
              </c:numCache>
            </c:numRef>
          </c:cat>
          <c:val>
            <c:numRef>
              <c:f>Sheet2!$K$1048:$K$1309</c:f>
              <c:numCache>
                <c:formatCode>0.0000_);[Red]\(0.0000\)</c:formatCode>
                <c:ptCount val="262"/>
                <c:pt idx="0">
                  <c:v>1</c:v>
                </c:pt>
                <c:pt idx="1">
                  <c:v>1.0124725000000001</c:v>
                </c:pt>
                <c:pt idx="2">
                  <c:v>1.004311</c:v>
                </c:pt>
                <c:pt idx="3">
                  <c:v>1.0110444999999999</c:v>
                </c:pt>
                <c:pt idx="4">
                  <c:v>1.040097499999999</c:v>
                </c:pt>
                <c:pt idx="5">
                  <c:v>1.046264499999999</c:v>
                </c:pt>
                <c:pt idx="6">
                  <c:v>1.047055499999999</c:v>
                </c:pt>
                <c:pt idx="7">
                  <c:v>0.99050849999999901</c:v>
                </c:pt>
                <c:pt idx="8">
                  <c:v>1.0236074999999991</c:v>
                </c:pt>
                <c:pt idx="9">
                  <c:v>1.0112409999999992</c:v>
                </c:pt>
                <c:pt idx="10">
                  <c:v>1.022098999999999</c:v>
                </c:pt>
                <c:pt idx="11">
                  <c:v>1.0261654999999992</c:v>
                </c:pt>
                <c:pt idx="12">
                  <c:v>1.0205375000000001</c:v>
                </c:pt>
                <c:pt idx="13">
                  <c:v>0.98303849999999904</c:v>
                </c:pt>
                <c:pt idx="14">
                  <c:v>1.0011074999999992</c:v>
                </c:pt>
                <c:pt idx="15">
                  <c:v>1.0084809999999991</c:v>
                </c:pt>
                <c:pt idx="16">
                  <c:v>1.0016709999999991</c:v>
                </c:pt>
                <c:pt idx="17">
                  <c:v>1.0004429999999991</c:v>
                </c:pt>
                <c:pt idx="18">
                  <c:v>0.99833949999999905</c:v>
                </c:pt>
                <c:pt idx="19">
                  <c:v>1.003685999999999</c:v>
                </c:pt>
                <c:pt idx="20">
                  <c:v>1.006415499999999</c:v>
                </c:pt>
                <c:pt idx="21">
                  <c:v>1.0094339999999991</c:v>
                </c:pt>
                <c:pt idx="22">
                  <c:v>1.0220859999999992</c:v>
                </c:pt>
                <c:pt idx="23">
                  <c:v>1.0222584999999991</c:v>
                </c:pt>
                <c:pt idx="24">
                  <c:v>1.043331</c:v>
                </c:pt>
                <c:pt idx="25">
                  <c:v>1.0601309999999999</c:v>
                </c:pt>
                <c:pt idx="26">
                  <c:v>1.0590415</c:v>
                </c:pt>
                <c:pt idx="27">
                  <c:v>1.0723914999999991</c:v>
                </c:pt>
                <c:pt idx="28">
                  <c:v>1.0807299999999991</c:v>
                </c:pt>
                <c:pt idx="29">
                  <c:v>1.047812999999999</c:v>
                </c:pt>
                <c:pt idx="30">
                  <c:v>1.0532594999999991</c:v>
                </c:pt>
                <c:pt idx="31">
                  <c:v>1.0591389999999992</c:v>
                </c:pt>
                <c:pt idx="32">
                  <c:v>1.0579614999999991</c:v>
                </c:pt>
                <c:pt idx="33">
                  <c:v>1.0670989999999991</c:v>
                </c:pt>
                <c:pt idx="34">
                  <c:v>1.0707684999999991</c:v>
                </c:pt>
                <c:pt idx="35">
                  <c:v>1.0812624999999991</c:v>
                </c:pt>
                <c:pt idx="36">
                  <c:v>1.0785175</c:v>
                </c:pt>
                <c:pt idx="37">
                  <c:v>1.0859879999999991</c:v>
                </c:pt>
                <c:pt idx="38">
                  <c:v>1.065858999999999</c:v>
                </c:pt>
                <c:pt idx="39">
                  <c:v>1.070225999999999</c:v>
                </c:pt>
                <c:pt idx="40">
                  <c:v>1.0760264999999991</c:v>
                </c:pt>
                <c:pt idx="41">
                  <c:v>1.074686499999999</c:v>
                </c:pt>
                <c:pt idx="42">
                  <c:v>1.076608999999999</c:v>
                </c:pt>
                <c:pt idx="43">
                  <c:v>1.0743414999999992</c:v>
                </c:pt>
                <c:pt idx="44">
                  <c:v>1.083323499999999</c:v>
                </c:pt>
                <c:pt idx="45">
                  <c:v>1.092665999999999</c:v>
                </c:pt>
                <c:pt idx="46">
                  <c:v>1.0919264999999991</c:v>
                </c:pt>
                <c:pt idx="47">
                  <c:v>1.100983499999999</c:v>
                </c:pt>
                <c:pt idx="48">
                  <c:v>1.110678499999999</c:v>
                </c:pt>
                <c:pt idx="49">
                  <c:v>1.1177509999999991</c:v>
                </c:pt>
                <c:pt idx="50">
                  <c:v>1.1213859999999991</c:v>
                </c:pt>
                <c:pt idx="51">
                  <c:v>1.122685999999999</c:v>
                </c:pt>
                <c:pt idx="52">
                  <c:v>1.123923999999999</c:v>
                </c:pt>
                <c:pt idx="53">
                  <c:v>1.1149464999999992</c:v>
                </c:pt>
                <c:pt idx="54">
                  <c:v>1.1088249999999991</c:v>
                </c:pt>
                <c:pt idx="55">
                  <c:v>1.107542499999999</c:v>
                </c:pt>
                <c:pt idx="56">
                  <c:v>1.1143944999999991</c:v>
                </c:pt>
                <c:pt idx="57">
                  <c:v>1.1077769999999991</c:v>
                </c:pt>
                <c:pt idx="58">
                  <c:v>1.109528499999999</c:v>
                </c:pt>
                <c:pt idx="59">
                  <c:v>1.1081609999999991</c:v>
                </c:pt>
                <c:pt idx="60">
                  <c:v>1.102168499999999</c:v>
                </c:pt>
                <c:pt idx="61">
                  <c:v>1.103562999999999</c:v>
                </c:pt>
                <c:pt idx="62">
                  <c:v>1.1566609999999979</c:v>
                </c:pt>
                <c:pt idx="63">
                  <c:v>1.149231499999998</c:v>
                </c:pt>
                <c:pt idx="64">
                  <c:v>1.150970999999998</c:v>
                </c:pt>
                <c:pt idx="65">
                  <c:v>1.155299999999998</c:v>
                </c:pt>
                <c:pt idx="66">
                  <c:v>1.157493499999998</c:v>
                </c:pt>
                <c:pt idx="67">
                  <c:v>1.1624344999999978</c:v>
                </c:pt>
                <c:pt idx="68">
                  <c:v>1.1720119999999978</c:v>
                </c:pt>
                <c:pt idx="69">
                  <c:v>1.177108999999998</c:v>
                </c:pt>
                <c:pt idx="70">
                  <c:v>1.1763204999999979</c:v>
                </c:pt>
                <c:pt idx="71">
                  <c:v>1.1760804999999979</c:v>
                </c:pt>
                <c:pt idx="72">
                  <c:v>1.1733074999999979</c:v>
                </c:pt>
                <c:pt idx="73">
                  <c:v>1.1736689999999979</c:v>
                </c:pt>
                <c:pt idx="74">
                  <c:v>1.1765544999999979</c:v>
                </c:pt>
                <c:pt idx="75">
                  <c:v>1.1775689999999979</c:v>
                </c:pt>
                <c:pt idx="76">
                  <c:v>1.179221999999998</c:v>
                </c:pt>
                <c:pt idx="77">
                  <c:v>1.1716934999999979</c:v>
                </c:pt>
                <c:pt idx="78">
                  <c:v>1.173826999999998</c:v>
                </c:pt>
                <c:pt idx="79">
                  <c:v>1.172665999999998</c:v>
                </c:pt>
                <c:pt idx="80">
                  <c:v>1.1779309999999978</c:v>
                </c:pt>
                <c:pt idx="81">
                  <c:v>1.179518999999998</c:v>
                </c:pt>
                <c:pt idx="82">
                  <c:v>1.1825699999999979</c:v>
                </c:pt>
                <c:pt idx="83">
                  <c:v>1.1775249999999979</c:v>
                </c:pt>
                <c:pt idx="84">
                  <c:v>1.1826194999999979</c:v>
                </c:pt>
                <c:pt idx="85">
                  <c:v>1.1845374999999978</c:v>
                </c:pt>
                <c:pt idx="86">
                  <c:v>1.1865159999999979</c:v>
                </c:pt>
                <c:pt idx="87">
                  <c:v>1.1760349999999979</c:v>
                </c:pt>
                <c:pt idx="88">
                  <c:v>1.183297999999998</c:v>
                </c:pt>
                <c:pt idx="89">
                  <c:v>1.1844509999999979</c:v>
                </c:pt>
                <c:pt idx="90">
                  <c:v>1.185234499999998</c:v>
                </c:pt>
                <c:pt idx="91">
                  <c:v>1.1839579999999978</c:v>
                </c:pt>
                <c:pt idx="92">
                  <c:v>1.187556999999998</c:v>
                </c:pt>
                <c:pt idx="93">
                  <c:v>1.1855514999999979</c:v>
                </c:pt>
                <c:pt idx="94">
                  <c:v>1.1873784999999979</c:v>
                </c:pt>
                <c:pt idx="95">
                  <c:v>1.1875229999999979</c:v>
                </c:pt>
                <c:pt idx="96">
                  <c:v>1.1929934999999978</c:v>
                </c:pt>
                <c:pt idx="97">
                  <c:v>1.1916374999999979</c:v>
                </c:pt>
                <c:pt idx="98">
                  <c:v>1.1927884999999978</c:v>
                </c:pt>
                <c:pt idx="99">
                  <c:v>1.1761185999999979</c:v>
                </c:pt>
                <c:pt idx="100">
                  <c:v>1.172929599999998</c:v>
                </c:pt>
                <c:pt idx="101">
                  <c:v>1.175187099999998</c:v>
                </c:pt>
                <c:pt idx="102">
                  <c:v>1.1810195999999979</c:v>
                </c:pt>
                <c:pt idx="103">
                  <c:v>1.187769599999998</c:v>
                </c:pt>
                <c:pt idx="104">
                  <c:v>1.1944110999999979</c:v>
                </c:pt>
                <c:pt idx="105">
                  <c:v>1.1980900999999979</c:v>
                </c:pt>
                <c:pt idx="106">
                  <c:v>1.2013430999999979</c:v>
                </c:pt>
                <c:pt idx="107">
                  <c:v>1.1964105999999981</c:v>
                </c:pt>
                <c:pt idx="108">
                  <c:v>1.206474599999998</c:v>
                </c:pt>
                <c:pt idx="109">
                  <c:v>1.2067995999999981</c:v>
                </c:pt>
                <c:pt idx="110">
                  <c:v>1.2062580999999979</c:v>
                </c:pt>
                <c:pt idx="111">
                  <c:v>1.2041575999999981</c:v>
                </c:pt>
                <c:pt idx="112">
                  <c:v>1.205963099999998</c:v>
                </c:pt>
                <c:pt idx="113">
                  <c:v>1.2050535999999981</c:v>
                </c:pt>
                <c:pt idx="114">
                  <c:v>1.203814099999998</c:v>
                </c:pt>
                <c:pt idx="115">
                  <c:v>1.205370599999998</c:v>
                </c:pt>
                <c:pt idx="116">
                  <c:v>1.207505599999998</c:v>
                </c:pt>
                <c:pt idx="117">
                  <c:v>1.2084965999999979</c:v>
                </c:pt>
                <c:pt idx="118">
                  <c:v>1.2112855999999981</c:v>
                </c:pt>
                <c:pt idx="119">
                  <c:v>1.209637599999998</c:v>
                </c:pt>
                <c:pt idx="120">
                  <c:v>1.2078830999999981</c:v>
                </c:pt>
                <c:pt idx="121">
                  <c:v>1.202902099999998</c:v>
                </c:pt>
                <c:pt idx="122">
                  <c:v>1.2060115999999981</c:v>
                </c:pt>
                <c:pt idx="123">
                  <c:v>1.207847099999998</c:v>
                </c:pt>
                <c:pt idx="124">
                  <c:v>1.2035285999999981</c:v>
                </c:pt>
                <c:pt idx="125">
                  <c:v>1.1989620999999979</c:v>
                </c:pt>
                <c:pt idx="126">
                  <c:v>1.195123099999998</c:v>
                </c:pt>
                <c:pt idx="127">
                  <c:v>1.226453886981965</c:v>
                </c:pt>
                <c:pt idx="128">
                  <c:v>1.1652078334407601</c:v>
                </c:pt>
                <c:pt idx="129">
                  <c:v>1.1750169469880631</c:v>
                </c:pt>
                <c:pt idx="130">
                  <c:v>1.1758444700968942</c:v>
                </c:pt>
                <c:pt idx="131">
                  <c:v>1.188733453987975</c:v>
                </c:pt>
                <c:pt idx="132">
                  <c:v>1.1933097244566191</c:v>
                </c:pt>
                <c:pt idx="133">
                  <c:v>1.1930332421245771</c:v>
                </c:pt>
                <c:pt idx="134">
                  <c:v>1.1951999377314562</c:v>
                </c:pt>
                <c:pt idx="135">
                  <c:v>1.1922645782330201</c:v>
                </c:pt>
                <c:pt idx="136">
                  <c:v>1.201659504631468</c:v>
                </c:pt>
                <c:pt idx="137">
                  <c:v>1.2042353005506701</c:v>
                </c:pt>
                <c:pt idx="138">
                  <c:v>1.2043246318072571</c:v>
                </c:pt>
                <c:pt idx="139">
                  <c:v>1.2063389154465891</c:v>
                </c:pt>
                <c:pt idx="140">
                  <c:v>1.2001418031684992</c:v>
                </c:pt>
                <c:pt idx="141">
                  <c:v>1.19466086874163</c:v>
                </c:pt>
                <c:pt idx="142">
                  <c:v>1.200608418134985</c:v>
                </c:pt>
                <c:pt idx="143">
                  <c:v>1.2091888690849062</c:v>
                </c:pt>
                <c:pt idx="144">
                  <c:v>1.2141917266536701</c:v>
                </c:pt>
                <c:pt idx="145">
                  <c:v>1.212574453637808</c:v>
                </c:pt>
                <c:pt idx="146">
                  <c:v>1.2109250755096401</c:v>
                </c:pt>
                <c:pt idx="147">
                  <c:v>1.2137250870777341</c:v>
                </c:pt>
                <c:pt idx="148">
                  <c:v>1.2137936653450221</c:v>
                </c:pt>
                <c:pt idx="149">
                  <c:v>1.1970398952842691</c:v>
                </c:pt>
                <c:pt idx="150">
                  <c:v>1.214573512835297</c:v>
                </c:pt>
                <c:pt idx="151">
                  <c:v>1.2292265311492201</c:v>
                </c:pt>
                <c:pt idx="152">
                  <c:v>1.2207755761387682</c:v>
                </c:pt>
                <c:pt idx="153">
                  <c:v>1.2220294899974962</c:v>
                </c:pt>
                <c:pt idx="154">
                  <c:v>1.2139935406403801</c:v>
                </c:pt>
                <c:pt idx="155">
                  <c:v>1.2157681302894341</c:v>
                </c:pt>
                <c:pt idx="156">
                  <c:v>1.227505997170216</c:v>
                </c:pt>
                <c:pt idx="157">
                  <c:v>1.235153240622366</c:v>
                </c:pt>
                <c:pt idx="158">
                  <c:v>1.240578842070881</c:v>
                </c:pt>
                <c:pt idx="159">
                  <c:v>1.237599393738845</c:v>
                </c:pt>
                <c:pt idx="160">
                  <c:v>1.2562019455738431</c:v>
                </c:pt>
                <c:pt idx="161">
                  <c:v>1.2526800725760612</c:v>
                </c:pt>
                <c:pt idx="162">
                  <c:v>1.235966233987682</c:v>
                </c:pt>
                <c:pt idx="163">
                  <c:v>1.2423213186293212</c:v>
                </c:pt>
                <c:pt idx="164">
                  <c:v>1.2597827263090571</c:v>
                </c:pt>
                <c:pt idx="165">
                  <c:v>1.2684924423799981</c:v>
                </c:pt>
                <c:pt idx="166">
                  <c:v>1.274755464045217</c:v>
                </c:pt>
                <c:pt idx="167">
                  <c:v>1.2846812618718462</c:v>
                </c:pt>
                <c:pt idx="168">
                  <c:v>1.2816914727325011</c:v>
                </c:pt>
                <c:pt idx="169">
                  <c:v>1.278285255620599</c:v>
                </c:pt>
                <c:pt idx="170">
                  <c:v>1.2828433715299261</c:v>
                </c:pt>
                <c:pt idx="171">
                  <c:v>1.2911171872964</c:v>
                </c:pt>
                <c:pt idx="172">
                  <c:v>1.283636931225381</c:v>
                </c:pt>
                <c:pt idx="173">
                  <c:v>1.2823871996179201</c:v>
                </c:pt>
                <c:pt idx="174">
                  <c:v>1.2899755627788361</c:v>
                </c:pt>
                <c:pt idx="175">
                  <c:v>1.2860249739848202</c:v>
                </c:pt>
                <c:pt idx="176">
                  <c:v>1.2849634839677311</c:v>
                </c:pt>
                <c:pt idx="177">
                  <c:v>1.2813376353285542</c:v>
                </c:pt>
                <c:pt idx="178">
                  <c:v>1.2740715784725631</c:v>
                </c:pt>
                <c:pt idx="179">
                  <c:v>1.275909362837865</c:v>
                </c:pt>
                <c:pt idx="180">
                  <c:v>1.2720624335615649</c:v>
                </c:pt>
                <c:pt idx="181">
                  <c:v>1.274251028226665</c:v>
                </c:pt>
                <c:pt idx="182">
                  <c:v>1.269865328226665</c:v>
                </c:pt>
                <c:pt idx="183">
                  <c:v>1.2694232282266649</c:v>
                </c:pt>
                <c:pt idx="184">
                  <c:v>1.2666346282266649</c:v>
                </c:pt>
                <c:pt idx="185">
                  <c:v>1.2693830282266649</c:v>
                </c:pt>
                <c:pt idx="186">
                  <c:v>1.2752809282266648</c:v>
                </c:pt>
                <c:pt idx="187">
                  <c:v>1.273068928226665</c:v>
                </c:pt>
                <c:pt idx="188">
                  <c:v>1.2697050282266649</c:v>
                </c:pt>
                <c:pt idx="189">
                  <c:v>1.270234328226665</c:v>
                </c:pt>
                <c:pt idx="190">
                  <c:v>1.267525328226665</c:v>
                </c:pt>
                <c:pt idx="191">
                  <c:v>1.2816061282266649</c:v>
                </c:pt>
                <c:pt idx="192">
                  <c:v>1.2805345282266649</c:v>
                </c:pt>
                <c:pt idx="193">
                  <c:v>1.2797351282266649</c:v>
                </c:pt>
                <c:pt idx="194">
                  <c:v>1.279889728226665</c:v>
                </c:pt>
                <c:pt idx="195">
                  <c:v>1.2807699282266649</c:v>
                </c:pt>
                <c:pt idx="196">
                  <c:v>1.280420228226665</c:v>
                </c:pt>
                <c:pt idx="197">
                  <c:v>1.284212228226665</c:v>
                </c:pt>
                <c:pt idx="198">
                  <c:v>1.286233828226665</c:v>
                </c:pt>
                <c:pt idx="199">
                  <c:v>1.2871099282266649</c:v>
                </c:pt>
                <c:pt idx="200">
                  <c:v>1.2884952282266648</c:v>
                </c:pt>
                <c:pt idx="201">
                  <c:v>1.2944109282266649</c:v>
                </c:pt>
                <c:pt idx="202">
                  <c:v>1.291839928226665</c:v>
                </c:pt>
                <c:pt idx="203">
                  <c:v>1.294965828226665</c:v>
                </c:pt>
                <c:pt idx="204">
                  <c:v>1.294305628226665</c:v>
                </c:pt>
                <c:pt idx="205">
                  <c:v>1.294963328226665</c:v>
                </c:pt>
                <c:pt idx="206">
                  <c:v>1.2905090282266649</c:v>
                </c:pt>
                <c:pt idx="207">
                  <c:v>1.255840328226665</c:v>
                </c:pt>
                <c:pt idx="208">
                  <c:v>1.2473376282266651</c:v>
                </c:pt>
                <c:pt idx="209">
                  <c:v>1.2507684282266649</c:v>
                </c:pt>
                <c:pt idx="210">
                  <c:v>1.2541758282266648</c:v>
                </c:pt>
                <c:pt idx="211">
                  <c:v>1.2546734282266649</c:v>
                </c:pt>
                <c:pt idx="212">
                  <c:v>1.2560409282266649</c:v>
                </c:pt>
                <c:pt idx="213">
                  <c:v>1.2591415282266649</c:v>
                </c:pt>
                <c:pt idx="214">
                  <c:v>1.2384882282266649</c:v>
                </c:pt>
                <c:pt idx="215">
                  <c:v>1.239185728226665</c:v>
                </c:pt>
                <c:pt idx="216">
                  <c:v>1.2377785282266649</c:v>
                </c:pt>
                <c:pt idx="217">
                  <c:v>1.239622428226665</c:v>
                </c:pt>
                <c:pt idx="218">
                  <c:v>1.2439241955917049</c:v>
                </c:pt>
                <c:pt idx="219">
                  <c:v>1.251883075577845</c:v>
                </c:pt>
                <c:pt idx="220">
                  <c:v>1.267682653290755</c:v>
                </c:pt>
                <c:pt idx="221">
                  <c:v>1.2736618532907549</c:v>
                </c:pt>
                <c:pt idx="222">
                  <c:v>1.276893453290755</c:v>
                </c:pt>
                <c:pt idx="223">
                  <c:v>1.2799356532907549</c:v>
                </c:pt>
                <c:pt idx="224">
                  <c:v>1.278970353290755</c:v>
                </c:pt>
                <c:pt idx="225">
                  <c:v>1.2920072532907549</c:v>
                </c:pt>
                <c:pt idx="226">
                  <c:v>1.296056453290755</c:v>
                </c:pt>
                <c:pt idx="227">
                  <c:v>1.2972310532907549</c:v>
                </c:pt>
                <c:pt idx="228">
                  <c:v>1.299597353290755</c:v>
                </c:pt>
                <c:pt idx="229">
                  <c:v>1.2973683532907549</c:v>
                </c:pt>
                <c:pt idx="230">
                  <c:v>1.303635353290755</c:v>
                </c:pt>
                <c:pt idx="231">
                  <c:v>1.3050183532907549</c:v>
                </c:pt>
                <c:pt idx="232">
                  <c:v>1.3048346532907549</c:v>
                </c:pt>
                <c:pt idx="233">
                  <c:v>1.305617553290755</c:v>
                </c:pt>
                <c:pt idx="234">
                  <c:v>1.3099991532907549</c:v>
                </c:pt>
                <c:pt idx="235">
                  <c:v>1.3113263532907549</c:v>
                </c:pt>
                <c:pt idx="236">
                  <c:v>1.3040025532907549</c:v>
                </c:pt>
                <c:pt idx="237">
                  <c:v>1.305545953290755</c:v>
                </c:pt>
                <c:pt idx="238">
                  <c:v>1.304744053290755</c:v>
                </c:pt>
                <c:pt idx="239">
                  <c:v>1.3045832532907549</c:v>
                </c:pt>
                <c:pt idx="240">
                  <c:v>1.306864853290755</c:v>
                </c:pt>
                <c:pt idx="241">
                  <c:v>1.2978843532907549</c:v>
                </c:pt>
                <c:pt idx="242">
                  <c:v>1.301804953290755</c:v>
                </c:pt>
                <c:pt idx="243">
                  <c:v>1.3000546532907549</c:v>
                </c:pt>
                <c:pt idx="244">
                  <c:v>1.2924441532907549</c:v>
                </c:pt>
                <c:pt idx="245">
                  <c:v>1.289517553290755</c:v>
                </c:pt>
                <c:pt idx="246">
                  <c:v>1.290697653290755</c:v>
                </c:pt>
                <c:pt idx="247">
                  <c:v>1.291224753290755</c:v>
                </c:pt>
                <c:pt idx="248">
                  <c:v>1.2932005532907549</c:v>
                </c:pt>
                <c:pt idx="249">
                  <c:v>1.2907920532907549</c:v>
                </c:pt>
                <c:pt idx="250">
                  <c:v>1.2918220532907549</c:v>
                </c:pt>
                <c:pt idx="251">
                  <c:v>1.2921748532907549</c:v>
                </c:pt>
                <c:pt idx="252">
                  <c:v>1.297465053290755</c:v>
                </c:pt>
                <c:pt idx="253">
                  <c:v>1.2959698532907549</c:v>
                </c:pt>
                <c:pt idx="254">
                  <c:v>1.297525553290755</c:v>
                </c:pt>
                <c:pt idx="255">
                  <c:v>1.298969853290755</c:v>
                </c:pt>
                <c:pt idx="256">
                  <c:v>1.2981243532907549</c:v>
                </c:pt>
                <c:pt idx="257">
                  <c:v>1.277848853290755</c:v>
                </c:pt>
                <c:pt idx="258">
                  <c:v>1.2619508532907548</c:v>
                </c:pt>
                <c:pt idx="259">
                  <c:v>1.2573602532907548</c:v>
                </c:pt>
                <c:pt idx="260">
                  <c:v>1.2541730532907549</c:v>
                </c:pt>
                <c:pt idx="261">
                  <c:v>1.2517595532907548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C-411E-9742-2265DEDB1C13}"/>
            </c:ext>
          </c:extLst>
        </c:ser>
        <c:ser>
          <c:idx val="1"/>
          <c:order val="1"/>
          <c:tx>
            <c:strRef>
              <c:f>Sheet2!$L$1047</c:f>
              <c:strCache>
                <c:ptCount val="1"/>
                <c:pt idx="0">
                  <c:v>2:50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Sheet2!$A$1048:$A$1309</c:f>
              <c:numCache>
                <c:formatCode>yyyy\-mm\-dd;@</c:formatCode>
                <c:ptCount val="262"/>
                <c:pt idx="0">
                  <c:v>44019</c:v>
                </c:pt>
                <c:pt idx="1">
                  <c:v>44020</c:v>
                </c:pt>
                <c:pt idx="2">
                  <c:v>44021</c:v>
                </c:pt>
                <c:pt idx="3">
                  <c:v>44022</c:v>
                </c:pt>
                <c:pt idx="4">
                  <c:v>44025</c:v>
                </c:pt>
                <c:pt idx="5">
                  <c:v>44026</c:v>
                </c:pt>
                <c:pt idx="6">
                  <c:v>44027</c:v>
                </c:pt>
                <c:pt idx="7">
                  <c:v>44028</c:v>
                </c:pt>
                <c:pt idx="8">
                  <c:v>44029</c:v>
                </c:pt>
                <c:pt idx="9">
                  <c:v>44032</c:v>
                </c:pt>
                <c:pt idx="10">
                  <c:v>44033</c:v>
                </c:pt>
                <c:pt idx="11">
                  <c:v>44034</c:v>
                </c:pt>
                <c:pt idx="12">
                  <c:v>44035</c:v>
                </c:pt>
                <c:pt idx="13">
                  <c:v>44036</c:v>
                </c:pt>
                <c:pt idx="14">
                  <c:v>44039</c:v>
                </c:pt>
                <c:pt idx="15">
                  <c:v>44040</c:v>
                </c:pt>
                <c:pt idx="16">
                  <c:v>44041</c:v>
                </c:pt>
                <c:pt idx="17">
                  <c:v>44042</c:v>
                </c:pt>
                <c:pt idx="18">
                  <c:v>44043</c:v>
                </c:pt>
                <c:pt idx="19">
                  <c:v>44046</c:v>
                </c:pt>
                <c:pt idx="20">
                  <c:v>44047</c:v>
                </c:pt>
                <c:pt idx="21">
                  <c:v>44048</c:v>
                </c:pt>
                <c:pt idx="22">
                  <c:v>44049</c:v>
                </c:pt>
                <c:pt idx="23">
                  <c:v>44050</c:v>
                </c:pt>
                <c:pt idx="24">
                  <c:v>44053</c:v>
                </c:pt>
                <c:pt idx="25">
                  <c:v>44054</c:v>
                </c:pt>
                <c:pt idx="26">
                  <c:v>44055</c:v>
                </c:pt>
                <c:pt idx="27">
                  <c:v>44056</c:v>
                </c:pt>
                <c:pt idx="28">
                  <c:v>44057</c:v>
                </c:pt>
                <c:pt idx="29">
                  <c:v>44060</c:v>
                </c:pt>
                <c:pt idx="30">
                  <c:v>44061</c:v>
                </c:pt>
                <c:pt idx="31">
                  <c:v>44062</c:v>
                </c:pt>
                <c:pt idx="32">
                  <c:v>44063</c:v>
                </c:pt>
                <c:pt idx="33">
                  <c:v>44064</c:v>
                </c:pt>
                <c:pt idx="34">
                  <c:v>44067</c:v>
                </c:pt>
                <c:pt idx="35">
                  <c:v>44068</c:v>
                </c:pt>
                <c:pt idx="36">
                  <c:v>44069</c:v>
                </c:pt>
                <c:pt idx="37">
                  <c:v>44070</c:v>
                </c:pt>
                <c:pt idx="38">
                  <c:v>44071</c:v>
                </c:pt>
                <c:pt idx="39">
                  <c:v>44074</c:v>
                </c:pt>
                <c:pt idx="40">
                  <c:v>44075</c:v>
                </c:pt>
                <c:pt idx="41">
                  <c:v>44076</c:v>
                </c:pt>
                <c:pt idx="42">
                  <c:v>44077</c:v>
                </c:pt>
                <c:pt idx="43">
                  <c:v>44078</c:v>
                </c:pt>
                <c:pt idx="44">
                  <c:v>44081</c:v>
                </c:pt>
                <c:pt idx="45">
                  <c:v>44082</c:v>
                </c:pt>
                <c:pt idx="46">
                  <c:v>44083</c:v>
                </c:pt>
                <c:pt idx="47">
                  <c:v>44084</c:v>
                </c:pt>
                <c:pt idx="48">
                  <c:v>44085</c:v>
                </c:pt>
                <c:pt idx="49">
                  <c:v>44088</c:v>
                </c:pt>
                <c:pt idx="50">
                  <c:v>44089</c:v>
                </c:pt>
                <c:pt idx="51">
                  <c:v>44090</c:v>
                </c:pt>
                <c:pt idx="52">
                  <c:v>44091</c:v>
                </c:pt>
                <c:pt idx="53">
                  <c:v>44092</c:v>
                </c:pt>
                <c:pt idx="54">
                  <c:v>44095</c:v>
                </c:pt>
                <c:pt idx="55">
                  <c:v>44096</c:v>
                </c:pt>
                <c:pt idx="56">
                  <c:v>44097</c:v>
                </c:pt>
                <c:pt idx="57">
                  <c:v>44098</c:v>
                </c:pt>
                <c:pt idx="58">
                  <c:v>44099</c:v>
                </c:pt>
                <c:pt idx="59">
                  <c:v>44102</c:v>
                </c:pt>
                <c:pt idx="60">
                  <c:v>44103</c:v>
                </c:pt>
                <c:pt idx="61">
                  <c:v>44104</c:v>
                </c:pt>
                <c:pt idx="62">
                  <c:v>44113</c:v>
                </c:pt>
                <c:pt idx="63">
                  <c:v>44116</c:v>
                </c:pt>
                <c:pt idx="64">
                  <c:v>44117</c:v>
                </c:pt>
                <c:pt idx="65">
                  <c:v>44118</c:v>
                </c:pt>
                <c:pt idx="66">
                  <c:v>44119</c:v>
                </c:pt>
                <c:pt idx="67">
                  <c:v>44120</c:v>
                </c:pt>
                <c:pt idx="68">
                  <c:v>44123</c:v>
                </c:pt>
                <c:pt idx="69">
                  <c:v>44124</c:v>
                </c:pt>
                <c:pt idx="70">
                  <c:v>44125</c:v>
                </c:pt>
                <c:pt idx="71">
                  <c:v>44126</c:v>
                </c:pt>
                <c:pt idx="72">
                  <c:v>44127</c:v>
                </c:pt>
                <c:pt idx="73">
                  <c:v>44130</c:v>
                </c:pt>
                <c:pt idx="74">
                  <c:v>44131</c:v>
                </c:pt>
                <c:pt idx="75">
                  <c:v>44132</c:v>
                </c:pt>
                <c:pt idx="76">
                  <c:v>44133</c:v>
                </c:pt>
                <c:pt idx="77">
                  <c:v>44134</c:v>
                </c:pt>
                <c:pt idx="78">
                  <c:v>44137</c:v>
                </c:pt>
                <c:pt idx="79">
                  <c:v>44138</c:v>
                </c:pt>
                <c:pt idx="80">
                  <c:v>44139</c:v>
                </c:pt>
                <c:pt idx="81">
                  <c:v>44140</c:v>
                </c:pt>
                <c:pt idx="82">
                  <c:v>44141</c:v>
                </c:pt>
                <c:pt idx="83">
                  <c:v>44144</c:v>
                </c:pt>
                <c:pt idx="84">
                  <c:v>44145</c:v>
                </c:pt>
                <c:pt idx="85">
                  <c:v>44146</c:v>
                </c:pt>
                <c:pt idx="86">
                  <c:v>44147</c:v>
                </c:pt>
                <c:pt idx="87">
                  <c:v>44148</c:v>
                </c:pt>
                <c:pt idx="88">
                  <c:v>44151</c:v>
                </c:pt>
                <c:pt idx="89">
                  <c:v>44152</c:v>
                </c:pt>
                <c:pt idx="90">
                  <c:v>44153</c:v>
                </c:pt>
                <c:pt idx="91">
                  <c:v>44154</c:v>
                </c:pt>
                <c:pt idx="92">
                  <c:v>44155</c:v>
                </c:pt>
                <c:pt idx="93">
                  <c:v>44158</c:v>
                </c:pt>
                <c:pt idx="94">
                  <c:v>44159</c:v>
                </c:pt>
                <c:pt idx="95">
                  <c:v>44160</c:v>
                </c:pt>
                <c:pt idx="96">
                  <c:v>44161</c:v>
                </c:pt>
                <c:pt idx="97">
                  <c:v>44162</c:v>
                </c:pt>
                <c:pt idx="98">
                  <c:v>44165</c:v>
                </c:pt>
                <c:pt idx="99">
                  <c:v>44166</c:v>
                </c:pt>
                <c:pt idx="100">
                  <c:v>44167</c:v>
                </c:pt>
                <c:pt idx="101">
                  <c:v>44168</c:v>
                </c:pt>
                <c:pt idx="102">
                  <c:v>44169</c:v>
                </c:pt>
                <c:pt idx="103">
                  <c:v>44172</c:v>
                </c:pt>
                <c:pt idx="104">
                  <c:v>44173</c:v>
                </c:pt>
                <c:pt idx="105">
                  <c:v>44174</c:v>
                </c:pt>
                <c:pt idx="106">
                  <c:v>44175</c:v>
                </c:pt>
                <c:pt idx="107">
                  <c:v>44176</c:v>
                </c:pt>
                <c:pt idx="108">
                  <c:v>44179</c:v>
                </c:pt>
                <c:pt idx="109">
                  <c:v>44180</c:v>
                </c:pt>
                <c:pt idx="110">
                  <c:v>44181</c:v>
                </c:pt>
                <c:pt idx="111">
                  <c:v>44182</c:v>
                </c:pt>
                <c:pt idx="112">
                  <c:v>44183</c:v>
                </c:pt>
                <c:pt idx="113">
                  <c:v>44186</c:v>
                </c:pt>
                <c:pt idx="114">
                  <c:v>44187</c:v>
                </c:pt>
                <c:pt idx="115">
                  <c:v>44188</c:v>
                </c:pt>
                <c:pt idx="116">
                  <c:v>44189</c:v>
                </c:pt>
                <c:pt idx="117">
                  <c:v>44190</c:v>
                </c:pt>
                <c:pt idx="118">
                  <c:v>44193</c:v>
                </c:pt>
                <c:pt idx="119">
                  <c:v>44194</c:v>
                </c:pt>
                <c:pt idx="120">
                  <c:v>44195</c:v>
                </c:pt>
                <c:pt idx="121">
                  <c:v>44196</c:v>
                </c:pt>
                <c:pt idx="122">
                  <c:v>44200</c:v>
                </c:pt>
                <c:pt idx="123">
                  <c:v>44201</c:v>
                </c:pt>
                <c:pt idx="124">
                  <c:v>44202</c:v>
                </c:pt>
                <c:pt idx="125">
                  <c:v>44203</c:v>
                </c:pt>
                <c:pt idx="126">
                  <c:v>44204</c:v>
                </c:pt>
                <c:pt idx="127">
                  <c:v>44207</c:v>
                </c:pt>
                <c:pt idx="128">
                  <c:v>44208</c:v>
                </c:pt>
                <c:pt idx="129">
                  <c:v>44209</c:v>
                </c:pt>
                <c:pt idx="130">
                  <c:v>44210</c:v>
                </c:pt>
                <c:pt idx="131">
                  <c:v>44211</c:v>
                </c:pt>
                <c:pt idx="132">
                  <c:v>44214</c:v>
                </c:pt>
                <c:pt idx="133">
                  <c:v>44215</c:v>
                </c:pt>
                <c:pt idx="134">
                  <c:v>44216</c:v>
                </c:pt>
                <c:pt idx="135">
                  <c:v>44217</c:v>
                </c:pt>
                <c:pt idx="136">
                  <c:v>44218</c:v>
                </c:pt>
                <c:pt idx="137">
                  <c:v>44221</c:v>
                </c:pt>
                <c:pt idx="138">
                  <c:v>44222</c:v>
                </c:pt>
                <c:pt idx="139">
                  <c:v>44223</c:v>
                </c:pt>
                <c:pt idx="140">
                  <c:v>44224</c:v>
                </c:pt>
                <c:pt idx="141">
                  <c:v>44225</c:v>
                </c:pt>
                <c:pt idx="142">
                  <c:v>44228</c:v>
                </c:pt>
                <c:pt idx="143">
                  <c:v>44229</c:v>
                </c:pt>
                <c:pt idx="144">
                  <c:v>44230</c:v>
                </c:pt>
                <c:pt idx="145">
                  <c:v>44231</c:v>
                </c:pt>
                <c:pt idx="146">
                  <c:v>44232</c:v>
                </c:pt>
                <c:pt idx="147">
                  <c:v>44235</c:v>
                </c:pt>
                <c:pt idx="148">
                  <c:v>44236</c:v>
                </c:pt>
                <c:pt idx="149">
                  <c:v>44237</c:v>
                </c:pt>
                <c:pt idx="150">
                  <c:v>44245</c:v>
                </c:pt>
                <c:pt idx="151">
                  <c:v>44246</c:v>
                </c:pt>
                <c:pt idx="152">
                  <c:v>44249</c:v>
                </c:pt>
                <c:pt idx="153">
                  <c:v>44250</c:v>
                </c:pt>
                <c:pt idx="154">
                  <c:v>44251</c:v>
                </c:pt>
                <c:pt idx="155">
                  <c:v>44252</c:v>
                </c:pt>
                <c:pt idx="156">
                  <c:v>44253</c:v>
                </c:pt>
                <c:pt idx="157">
                  <c:v>44256</c:v>
                </c:pt>
                <c:pt idx="158">
                  <c:v>44257</c:v>
                </c:pt>
                <c:pt idx="159">
                  <c:v>44258</c:v>
                </c:pt>
                <c:pt idx="160">
                  <c:v>44259</c:v>
                </c:pt>
                <c:pt idx="161">
                  <c:v>44260</c:v>
                </c:pt>
                <c:pt idx="162">
                  <c:v>44263</c:v>
                </c:pt>
                <c:pt idx="163">
                  <c:v>44264</c:v>
                </c:pt>
                <c:pt idx="164">
                  <c:v>44265</c:v>
                </c:pt>
                <c:pt idx="165">
                  <c:v>44266</c:v>
                </c:pt>
                <c:pt idx="166">
                  <c:v>44267</c:v>
                </c:pt>
                <c:pt idx="167">
                  <c:v>44270</c:v>
                </c:pt>
                <c:pt idx="168">
                  <c:v>44271</c:v>
                </c:pt>
                <c:pt idx="169">
                  <c:v>44272</c:v>
                </c:pt>
                <c:pt idx="170">
                  <c:v>44273</c:v>
                </c:pt>
                <c:pt idx="171">
                  <c:v>44274</c:v>
                </c:pt>
                <c:pt idx="172">
                  <c:v>44277</c:v>
                </c:pt>
                <c:pt idx="173">
                  <c:v>44278</c:v>
                </c:pt>
                <c:pt idx="174">
                  <c:v>44279</c:v>
                </c:pt>
                <c:pt idx="175">
                  <c:v>44280</c:v>
                </c:pt>
                <c:pt idx="176">
                  <c:v>44281</c:v>
                </c:pt>
                <c:pt idx="177">
                  <c:v>44284</c:v>
                </c:pt>
                <c:pt idx="178">
                  <c:v>44285</c:v>
                </c:pt>
                <c:pt idx="179">
                  <c:v>44286</c:v>
                </c:pt>
                <c:pt idx="180">
                  <c:v>44287</c:v>
                </c:pt>
                <c:pt idx="181">
                  <c:v>44288</c:v>
                </c:pt>
                <c:pt idx="182">
                  <c:v>44292</c:v>
                </c:pt>
                <c:pt idx="183">
                  <c:v>44293</c:v>
                </c:pt>
                <c:pt idx="184">
                  <c:v>44294</c:v>
                </c:pt>
                <c:pt idx="185">
                  <c:v>44295</c:v>
                </c:pt>
                <c:pt idx="186">
                  <c:v>44298</c:v>
                </c:pt>
                <c:pt idx="187">
                  <c:v>44299</c:v>
                </c:pt>
                <c:pt idx="188">
                  <c:v>44300</c:v>
                </c:pt>
                <c:pt idx="189">
                  <c:v>44301</c:v>
                </c:pt>
                <c:pt idx="190">
                  <c:v>44302</c:v>
                </c:pt>
                <c:pt idx="191">
                  <c:v>44305</c:v>
                </c:pt>
                <c:pt idx="192">
                  <c:v>44306</c:v>
                </c:pt>
                <c:pt idx="193">
                  <c:v>44307</c:v>
                </c:pt>
                <c:pt idx="194">
                  <c:v>44308</c:v>
                </c:pt>
                <c:pt idx="195">
                  <c:v>44309</c:v>
                </c:pt>
                <c:pt idx="196">
                  <c:v>44312</c:v>
                </c:pt>
                <c:pt idx="197">
                  <c:v>44313</c:v>
                </c:pt>
                <c:pt idx="198">
                  <c:v>44314</c:v>
                </c:pt>
                <c:pt idx="199">
                  <c:v>44315</c:v>
                </c:pt>
                <c:pt idx="200">
                  <c:v>44316</c:v>
                </c:pt>
                <c:pt idx="201">
                  <c:v>44322</c:v>
                </c:pt>
                <c:pt idx="202">
                  <c:v>44323</c:v>
                </c:pt>
                <c:pt idx="203">
                  <c:v>44326</c:v>
                </c:pt>
                <c:pt idx="204">
                  <c:v>44327</c:v>
                </c:pt>
                <c:pt idx="205">
                  <c:v>44328</c:v>
                </c:pt>
                <c:pt idx="206">
                  <c:v>44329</c:v>
                </c:pt>
                <c:pt idx="207">
                  <c:v>44330</c:v>
                </c:pt>
                <c:pt idx="208">
                  <c:v>44333</c:v>
                </c:pt>
                <c:pt idx="209">
                  <c:v>44334</c:v>
                </c:pt>
                <c:pt idx="210">
                  <c:v>44335</c:v>
                </c:pt>
                <c:pt idx="211">
                  <c:v>44336</c:v>
                </c:pt>
                <c:pt idx="212">
                  <c:v>44337</c:v>
                </c:pt>
                <c:pt idx="213">
                  <c:v>44340</c:v>
                </c:pt>
                <c:pt idx="214">
                  <c:v>44341</c:v>
                </c:pt>
                <c:pt idx="215">
                  <c:v>44342</c:v>
                </c:pt>
                <c:pt idx="216">
                  <c:v>44343</c:v>
                </c:pt>
                <c:pt idx="217">
                  <c:v>44344</c:v>
                </c:pt>
                <c:pt idx="218">
                  <c:v>44347</c:v>
                </c:pt>
                <c:pt idx="219">
                  <c:v>44348</c:v>
                </c:pt>
                <c:pt idx="220">
                  <c:v>44349</c:v>
                </c:pt>
                <c:pt idx="221">
                  <c:v>44350</c:v>
                </c:pt>
                <c:pt idx="222">
                  <c:v>44351</c:v>
                </c:pt>
                <c:pt idx="223">
                  <c:v>44354</c:v>
                </c:pt>
                <c:pt idx="224">
                  <c:v>44355</c:v>
                </c:pt>
                <c:pt idx="225">
                  <c:v>44356</c:v>
                </c:pt>
                <c:pt idx="226">
                  <c:v>44357</c:v>
                </c:pt>
                <c:pt idx="227">
                  <c:v>44358</c:v>
                </c:pt>
                <c:pt idx="228">
                  <c:v>44362</c:v>
                </c:pt>
                <c:pt idx="229">
                  <c:v>44363</c:v>
                </c:pt>
                <c:pt idx="230">
                  <c:v>44364</c:v>
                </c:pt>
                <c:pt idx="231">
                  <c:v>44365</c:v>
                </c:pt>
                <c:pt idx="232">
                  <c:v>44368</c:v>
                </c:pt>
                <c:pt idx="233">
                  <c:v>44369</c:v>
                </c:pt>
                <c:pt idx="234">
                  <c:v>44370</c:v>
                </c:pt>
                <c:pt idx="235">
                  <c:v>44371</c:v>
                </c:pt>
                <c:pt idx="236">
                  <c:v>44372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 formatCode="m/d/yyyy">
                  <c:v>44378</c:v>
                </c:pt>
                <c:pt idx="241" formatCode="m/d/yyyy">
                  <c:v>44379</c:v>
                </c:pt>
                <c:pt idx="242" formatCode="m/d/yyyy">
                  <c:v>44382</c:v>
                </c:pt>
                <c:pt idx="243" formatCode="m/d/yyyy">
                  <c:v>44383</c:v>
                </c:pt>
                <c:pt idx="244" formatCode="m/d/yyyy">
                  <c:v>44384</c:v>
                </c:pt>
                <c:pt idx="245" formatCode="m/d/yyyy">
                  <c:v>44385</c:v>
                </c:pt>
                <c:pt idx="246" formatCode="m/d/yyyy">
                  <c:v>44386</c:v>
                </c:pt>
                <c:pt idx="247" formatCode="m/d/yyyy">
                  <c:v>44389</c:v>
                </c:pt>
                <c:pt idx="248" formatCode="m/d/yyyy">
                  <c:v>44390</c:v>
                </c:pt>
                <c:pt idx="249" formatCode="m/d/yyyy">
                  <c:v>44391</c:v>
                </c:pt>
                <c:pt idx="250" formatCode="m/d/yyyy">
                  <c:v>44392</c:v>
                </c:pt>
                <c:pt idx="251" formatCode="m/d/yyyy">
                  <c:v>44393</c:v>
                </c:pt>
                <c:pt idx="252" formatCode="m/d/yyyy">
                  <c:v>44396</c:v>
                </c:pt>
                <c:pt idx="253" formatCode="m/d/yyyy">
                  <c:v>44397</c:v>
                </c:pt>
                <c:pt idx="254" formatCode="m/d/yyyy">
                  <c:v>44398</c:v>
                </c:pt>
                <c:pt idx="255" formatCode="m/d/yyyy">
                  <c:v>44399</c:v>
                </c:pt>
                <c:pt idx="256" formatCode="m/d/yyyy">
                  <c:v>44400</c:v>
                </c:pt>
                <c:pt idx="257" formatCode="m/d/yyyy">
                  <c:v>44403</c:v>
                </c:pt>
                <c:pt idx="258" formatCode="m/d/yyyy">
                  <c:v>44404</c:v>
                </c:pt>
                <c:pt idx="259" formatCode="m/d/yyyy">
                  <c:v>44405</c:v>
                </c:pt>
                <c:pt idx="260" formatCode="m/d/yyyy">
                  <c:v>44406</c:v>
                </c:pt>
                <c:pt idx="261" formatCode="m/d/yyyy">
                  <c:v>44407</c:v>
                </c:pt>
              </c:numCache>
            </c:numRef>
          </c:cat>
          <c:val>
            <c:numRef>
              <c:f>Sheet2!$L$1048:$L$1309</c:f>
              <c:numCache>
                <c:formatCode>0.0000_);[Red]\(0.0000\)</c:formatCode>
                <c:ptCount val="262"/>
                <c:pt idx="0">
                  <c:v>1</c:v>
                </c:pt>
                <c:pt idx="1">
                  <c:v>1.0124725000000001</c:v>
                </c:pt>
                <c:pt idx="2">
                  <c:v>1.004311</c:v>
                </c:pt>
                <c:pt idx="3">
                  <c:v>1.0110444999999999</c:v>
                </c:pt>
                <c:pt idx="4">
                  <c:v>1.040097499999999</c:v>
                </c:pt>
                <c:pt idx="5">
                  <c:v>1.046264499999999</c:v>
                </c:pt>
                <c:pt idx="6">
                  <c:v>1.047055499999999</c:v>
                </c:pt>
                <c:pt idx="7">
                  <c:v>0.99050849999999901</c:v>
                </c:pt>
                <c:pt idx="8">
                  <c:v>1.0236074999999991</c:v>
                </c:pt>
                <c:pt idx="9">
                  <c:v>1.0112409999999992</c:v>
                </c:pt>
                <c:pt idx="10">
                  <c:v>1.022098999999999</c:v>
                </c:pt>
                <c:pt idx="11">
                  <c:v>1.0261654999999992</c:v>
                </c:pt>
                <c:pt idx="12">
                  <c:v>1.0205375000000001</c:v>
                </c:pt>
                <c:pt idx="13">
                  <c:v>0.98303849999999904</c:v>
                </c:pt>
                <c:pt idx="14">
                  <c:v>1.0011074999999992</c:v>
                </c:pt>
                <c:pt idx="15">
                  <c:v>1.0084809999999991</c:v>
                </c:pt>
                <c:pt idx="16">
                  <c:v>1.0016709999999991</c:v>
                </c:pt>
                <c:pt idx="17">
                  <c:v>1.0004429999999991</c:v>
                </c:pt>
                <c:pt idx="18">
                  <c:v>0.99833949999999905</c:v>
                </c:pt>
                <c:pt idx="19">
                  <c:v>1.003685999999999</c:v>
                </c:pt>
                <c:pt idx="20">
                  <c:v>1.006415499999999</c:v>
                </c:pt>
                <c:pt idx="21">
                  <c:v>1.0155219999999991</c:v>
                </c:pt>
                <c:pt idx="22">
                  <c:v>1.0201289999999992</c:v>
                </c:pt>
                <c:pt idx="23">
                  <c:v>1.0240954999999992</c:v>
                </c:pt>
                <c:pt idx="24">
                  <c:v>1.04993</c:v>
                </c:pt>
                <c:pt idx="25">
                  <c:v>1.0631744999999999</c:v>
                </c:pt>
                <c:pt idx="26">
                  <c:v>1.0716425000000001</c:v>
                </c:pt>
                <c:pt idx="27">
                  <c:v>1.0827439999999999</c:v>
                </c:pt>
                <c:pt idx="28">
                  <c:v>1.0877524999999999</c:v>
                </c:pt>
                <c:pt idx="29">
                  <c:v>1.0652524999999999</c:v>
                </c:pt>
                <c:pt idx="30">
                  <c:v>1.0711865</c:v>
                </c:pt>
                <c:pt idx="31">
                  <c:v>1.0798645</c:v>
                </c:pt>
                <c:pt idx="32">
                  <c:v>1.081150499999999</c:v>
                </c:pt>
                <c:pt idx="33">
                  <c:v>1.086238</c:v>
                </c:pt>
                <c:pt idx="34">
                  <c:v>1.0975849999999991</c:v>
                </c:pt>
                <c:pt idx="35">
                  <c:v>1.1060059999999992</c:v>
                </c:pt>
                <c:pt idx="36">
                  <c:v>1.103677499999999</c:v>
                </c:pt>
                <c:pt idx="37">
                  <c:v>1.1125830000000001</c:v>
                </c:pt>
                <c:pt idx="38">
                  <c:v>1.092536999999999</c:v>
                </c:pt>
                <c:pt idx="39">
                  <c:v>1.0989624999999992</c:v>
                </c:pt>
                <c:pt idx="40">
                  <c:v>1.1058074999999992</c:v>
                </c:pt>
                <c:pt idx="41">
                  <c:v>1.103385499999999</c:v>
                </c:pt>
                <c:pt idx="42">
                  <c:v>1.102565499999999</c:v>
                </c:pt>
                <c:pt idx="43">
                  <c:v>1.1087439999999991</c:v>
                </c:pt>
                <c:pt idx="44">
                  <c:v>1.1109269999999991</c:v>
                </c:pt>
                <c:pt idx="45">
                  <c:v>1.1167619999999991</c:v>
                </c:pt>
                <c:pt idx="46">
                  <c:v>1.1132384999999991</c:v>
                </c:pt>
                <c:pt idx="47">
                  <c:v>1.1238134999999991</c:v>
                </c:pt>
                <c:pt idx="48">
                  <c:v>1.132805499999999</c:v>
                </c:pt>
                <c:pt idx="49">
                  <c:v>1.1406599999999991</c:v>
                </c:pt>
                <c:pt idx="50">
                  <c:v>1.1434574999999991</c:v>
                </c:pt>
                <c:pt idx="51">
                  <c:v>1.145345499999999</c:v>
                </c:pt>
                <c:pt idx="52">
                  <c:v>1.142120499999999</c:v>
                </c:pt>
                <c:pt idx="53">
                  <c:v>1.1351349999999991</c:v>
                </c:pt>
                <c:pt idx="54">
                  <c:v>1.131582499999999</c:v>
                </c:pt>
                <c:pt idx="55">
                  <c:v>1.1248804999999991</c:v>
                </c:pt>
                <c:pt idx="56">
                  <c:v>1.1326249999999991</c:v>
                </c:pt>
                <c:pt idx="57">
                  <c:v>1.127396499999999</c:v>
                </c:pt>
                <c:pt idx="58">
                  <c:v>1.1287604999999992</c:v>
                </c:pt>
                <c:pt idx="59">
                  <c:v>1.123950999999999</c:v>
                </c:pt>
                <c:pt idx="60">
                  <c:v>1.118621499999999</c:v>
                </c:pt>
                <c:pt idx="61">
                  <c:v>1.1187015</c:v>
                </c:pt>
                <c:pt idx="62">
                  <c:v>1.1474655</c:v>
                </c:pt>
                <c:pt idx="63">
                  <c:v>1.134463</c:v>
                </c:pt>
                <c:pt idx="64">
                  <c:v>1.1392445</c:v>
                </c:pt>
                <c:pt idx="65">
                  <c:v>1.1428445</c:v>
                </c:pt>
                <c:pt idx="66">
                  <c:v>1.1451965</c:v>
                </c:pt>
                <c:pt idx="67">
                  <c:v>1.1511020000000001</c:v>
                </c:pt>
                <c:pt idx="68">
                  <c:v>1.158998</c:v>
                </c:pt>
                <c:pt idx="69">
                  <c:v>1.1627955000000001</c:v>
                </c:pt>
                <c:pt idx="70">
                  <c:v>1.1626405</c:v>
                </c:pt>
                <c:pt idx="71">
                  <c:v>1.162228</c:v>
                </c:pt>
                <c:pt idx="72">
                  <c:v>1.161098</c:v>
                </c:pt>
                <c:pt idx="73">
                  <c:v>1.163365</c:v>
                </c:pt>
                <c:pt idx="74">
                  <c:v>1.164223</c:v>
                </c:pt>
                <c:pt idx="75">
                  <c:v>1.1657815</c:v>
                </c:pt>
                <c:pt idx="76">
                  <c:v>1.1673480000000001</c:v>
                </c:pt>
                <c:pt idx="77">
                  <c:v>1.1604194999999999</c:v>
                </c:pt>
                <c:pt idx="78">
                  <c:v>1.161805</c:v>
                </c:pt>
                <c:pt idx="79">
                  <c:v>1.1609659999999999</c:v>
                </c:pt>
                <c:pt idx="80">
                  <c:v>1.1667095000000001</c:v>
                </c:pt>
                <c:pt idx="81">
                  <c:v>1.1685650000000001</c:v>
                </c:pt>
                <c:pt idx="82">
                  <c:v>1.1715819999999999</c:v>
                </c:pt>
                <c:pt idx="83">
                  <c:v>1.17079</c:v>
                </c:pt>
                <c:pt idx="84">
                  <c:v>1.1724555000000001</c:v>
                </c:pt>
                <c:pt idx="85">
                  <c:v>1.175826</c:v>
                </c:pt>
                <c:pt idx="86">
                  <c:v>1.179648499999999</c:v>
                </c:pt>
                <c:pt idx="87">
                  <c:v>1.1726584999999992</c:v>
                </c:pt>
                <c:pt idx="88">
                  <c:v>1.1777209999999991</c:v>
                </c:pt>
                <c:pt idx="89">
                  <c:v>1.1803579999999991</c:v>
                </c:pt>
                <c:pt idx="90">
                  <c:v>1.1795004999999992</c:v>
                </c:pt>
                <c:pt idx="91">
                  <c:v>1.179732499999999</c:v>
                </c:pt>
                <c:pt idx="92">
                  <c:v>1.183724999999999</c:v>
                </c:pt>
                <c:pt idx="93">
                  <c:v>1.184050499999999</c:v>
                </c:pt>
                <c:pt idx="94">
                  <c:v>1.1842724999999992</c:v>
                </c:pt>
                <c:pt idx="95">
                  <c:v>1.1854699999999991</c:v>
                </c:pt>
                <c:pt idx="96">
                  <c:v>1.1897699999999991</c:v>
                </c:pt>
                <c:pt idx="97">
                  <c:v>1.1858259999999992</c:v>
                </c:pt>
                <c:pt idx="98">
                  <c:v>1.188258499999999</c:v>
                </c:pt>
                <c:pt idx="99">
                  <c:v>1.174243546499999</c:v>
                </c:pt>
                <c:pt idx="100">
                  <c:v>1.171112546499999</c:v>
                </c:pt>
                <c:pt idx="101">
                  <c:v>1.172715546499999</c:v>
                </c:pt>
                <c:pt idx="102">
                  <c:v>1.1789200464999989</c:v>
                </c:pt>
                <c:pt idx="103">
                  <c:v>1.1848955464999991</c:v>
                </c:pt>
                <c:pt idx="104">
                  <c:v>1.190998546499999</c:v>
                </c:pt>
                <c:pt idx="105">
                  <c:v>1.193503546499999</c:v>
                </c:pt>
                <c:pt idx="106">
                  <c:v>1.1992340464999991</c:v>
                </c:pt>
                <c:pt idx="107">
                  <c:v>1.1985300464999991</c:v>
                </c:pt>
                <c:pt idx="108">
                  <c:v>1.206515546499999</c:v>
                </c:pt>
                <c:pt idx="109">
                  <c:v>1.206466046499999</c:v>
                </c:pt>
                <c:pt idx="110">
                  <c:v>1.2070685464999991</c:v>
                </c:pt>
                <c:pt idx="111">
                  <c:v>1.203950046499999</c:v>
                </c:pt>
                <c:pt idx="112">
                  <c:v>1.2055395464999989</c:v>
                </c:pt>
                <c:pt idx="113">
                  <c:v>1.204335546499999</c:v>
                </c:pt>
                <c:pt idx="114">
                  <c:v>1.2029240464999991</c:v>
                </c:pt>
                <c:pt idx="115">
                  <c:v>1.203807046499999</c:v>
                </c:pt>
                <c:pt idx="116">
                  <c:v>1.205822546499999</c:v>
                </c:pt>
                <c:pt idx="117">
                  <c:v>1.2065700464999991</c:v>
                </c:pt>
                <c:pt idx="118">
                  <c:v>1.208393046499999</c:v>
                </c:pt>
                <c:pt idx="119">
                  <c:v>1.2077030464999989</c:v>
                </c:pt>
                <c:pt idx="120">
                  <c:v>1.2058075464999991</c:v>
                </c:pt>
                <c:pt idx="121">
                  <c:v>1.202849046499999</c:v>
                </c:pt>
                <c:pt idx="122">
                  <c:v>1.2037755464999991</c:v>
                </c:pt>
                <c:pt idx="123">
                  <c:v>1.205168546499999</c:v>
                </c:pt>
                <c:pt idx="124">
                  <c:v>1.201189046499999</c:v>
                </c:pt>
                <c:pt idx="125">
                  <c:v>1.1842665464999991</c:v>
                </c:pt>
                <c:pt idx="126">
                  <c:v>1.190548546499999</c:v>
                </c:pt>
                <c:pt idx="127">
                  <c:v>1.221879333481966</c:v>
                </c:pt>
                <c:pt idx="128">
                  <c:v>1.160633279940761</c:v>
                </c:pt>
                <c:pt idx="129">
                  <c:v>1.1704423934880641</c:v>
                </c:pt>
                <c:pt idx="130">
                  <c:v>1.1712699165968952</c:v>
                </c:pt>
                <c:pt idx="131">
                  <c:v>1.184158900487976</c:v>
                </c:pt>
                <c:pt idx="132">
                  <c:v>1.1887351709566201</c:v>
                </c:pt>
                <c:pt idx="133">
                  <c:v>1.188458688624578</c:v>
                </c:pt>
                <c:pt idx="134">
                  <c:v>1.1906253842314571</c:v>
                </c:pt>
                <c:pt idx="135">
                  <c:v>1.1876900247330211</c:v>
                </c:pt>
                <c:pt idx="136">
                  <c:v>1.197084951131469</c:v>
                </c:pt>
                <c:pt idx="137">
                  <c:v>1.19860984434324</c:v>
                </c:pt>
                <c:pt idx="138">
                  <c:v>1.1960526429978071</c:v>
                </c:pt>
                <c:pt idx="139">
                  <c:v>1.1991138581144452</c:v>
                </c:pt>
                <c:pt idx="140">
                  <c:v>1.1893100871361011</c:v>
                </c:pt>
                <c:pt idx="141">
                  <c:v>1.1891879560680301</c:v>
                </c:pt>
                <c:pt idx="142">
                  <c:v>1.193664352144318</c:v>
                </c:pt>
                <c:pt idx="143">
                  <c:v>1.202057446085115</c:v>
                </c:pt>
                <c:pt idx="144">
                  <c:v>1.2076295588467101</c:v>
                </c:pt>
                <c:pt idx="145">
                  <c:v>1.207053839151901</c:v>
                </c:pt>
                <c:pt idx="146">
                  <c:v>1.2057471356631351</c:v>
                </c:pt>
                <c:pt idx="147">
                  <c:v>1.208881882129613</c:v>
                </c:pt>
                <c:pt idx="148">
                  <c:v>1.2085312635098751</c:v>
                </c:pt>
                <c:pt idx="149">
                  <c:v>1.201449761722122</c:v>
                </c:pt>
                <c:pt idx="150">
                  <c:v>1.223045774239518</c:v>
                </c:pt>
                <c:pt idx="151">
                  <c:v>1.236821262383808</c:v>
                </c:pt>
                <c:pt idx="152">
                  <c:v>1.229540359216353</c:v>
                </c:pt>
                <c:pt idx="153">
                  <c:v>1.230163324245473</c:v>
                </c:pt>
                <c:pt idx="154">
                  <c:v>1.2232765859307211</c:v>
                </c:pt>
                <c:pt idx="155">
                  <c:v>1.2262576457172101</c:v>
                </c:pt>
                <c:pt idx="156">
                  <c:v>1.2419293714304831</c:v>
                </c:pt>
                <c:pt idx="157">
                  <c:v>1.2602128917563171</c:v>
                </c:pt>
                <c:pt idx="158">
                  <c:v>1.2609486478966341</c:v>
                </c:pt>
                <c:pt idx="159">
                  <c:v>1.2618214805020951</c:v>
                </c:pt>
                <c:pt idx="160">
                  <c:v>1.2800859985635531</c:v>
                </c:pt>
                <c:pt idx="161">
                  <c:v>1.276219704272501</c:v>
                </c:pt>
                <c:pt idx="162">
                  <c:v>1.2378738627398691</c:v>
                </c:pt>
                <c:pt idx="163">
                  <c:v>1.252384095126452</c:v>
                </c:pt>
                <c:pt idx="164">
                  <c:v>1.271124890506292</c:v>
                </c:pt>
                <c:pt idx="165">
                  <c:v>1.2744252024951921</c:v>
                </c:pt>
                <c:pt idx="166">
                  <c:v>1.2817197658439781</c:v>
                </c:pt>
                <c:pt idx="167">
                  <c:v>1.28531173158223</c:v>
                </c:pt>
                <c:pt idx="168">
                  <c:v>1.2809599392884901</c:v>
                </c:pt>
                <c:pt idx="169">
                  <c:v>1.280990393273709</c:v>
                </c:pt>
                <c:pt idx="170">
                  <c:v>1.2873861860525171</c:v>
                </c:pt>
                <c:pt idx="171">
                  <c:v>1.294824321064473</c:v>
                </c:pt>
                <c:pt idx="172">
                  <c:v>1.286816924329464</c:v>
                </c:pt>
                <c:pt idx="173">
                  <c:v>1.2787569807258381</c:v>
                </c:pt>
                <c:pt idx="174">
                  <c:v>1.2852702348847631</c:v>
                </c:pt>
                <c:pt idx="175">
                  <c:v>1.2777433419255841</c:v>
                </c:pt>
                <c:pt idx="176">
                  <c:v>1.2756332846211571</c:v>
                </c:pt>
                <c:pt idx="177">
                  <c:v>1.2722895094751121</c:v>
                </c:pt>
                <c:pt idx="178">
                  <c:v>1.2660996502601671</c:v>
                </c:pt>
                <c:pt idx="179">
                  <c:v>1.2672170729071781</c:v>
                </c:pt>
                <c:pt idx="180">
                  <c:v>1.2649370136093081</c:v>
                </c:pt>
                <c:pt idx="181">
                  <c:v>1.2668873004856882</c:v>
                </c:pt>
                <c:pt idx="182">
                  <c:v>1.2625166004856883</c:v>
                </c:pt>
                <c:pt idx="183">
                  <c:v>1.2603907004856882</c:v>
                </c:pt>
                <c:pt idx="184">
                  <c:v>1.2570845004856881</c:v>
                </c:pt>
                <c:pt idx="185">
                  <c:v>1.2602949004856883</c:v>
                </c:pt>
                <c:pt idx="186">
                  <c:v>1.2674693004856883</c:v>
                </c:pt>
                <c:pt idx="187">
                  <c:v>1.2644752004856883</c:v>
                </c:pt>
                <c:pt idx="188">
                  <c:v>1.2614640004856783</c:v>
                </c:pt>
                <c:pt idx="189">
                  <c:v>1.2610587004856881</c:v>
                </c:pt>
                <c:pt idx="190">
                  <c:v>1.2569274004856783</c:v>
                </c:pt>
                <c:pt idx="191">
                  <c:v>1.2730779004856783</c:v>
                </c:pt>
                <c:pt idx="192">
                  <c:v>1.2720519004856783</c:v>
                </c:pt>
                <c:pt idx="193">
                  <c:v>1.2709131004856882</c:v>
                </c:pt>
                <c:pt idx="194">
                  <c:v>1.2708309004856881</c:v>
                </c:pt>
                <c:pt idx="195">
                  <c:v>1.2707199004856882</c:v>
                </c:pt>
                <c:pt idx="196">
                  <c:v>1.2712715004856783</c:v>
                </c:pt>
                <c:pt idx="197">
                  <c:v>1.2736064004856882</c:v>
                </c:pt>
                <c:pt idx="198">
                  <c:v>1.2774095004856783</c:v>
                </c:pt>
                <c:pt idx="199">
                  <c:v>1.2785135004856782</c:v>
                </c:pt>
                <c:pt idx="200">
                  <c:v>1.2788598004856881</c:v>
                </c:pt>
                <c:pt idx="201">
                  <c:v>1.2849143004856882</c:v>
                </c:pt>
                <c:pt idx="202">
                  <c:v>1.2829353004856783</c:v>
                </c:pt>
                <c:pt idx="203">
                  <c:v>1.2860542004856883</c:v>
                </c:pt>
                <c:pt idx="204">
                  <c:v>1.2854952004856881</c:v>
                </c:pt>
                <c:pt idx="205">
                  <c:v>1.2856917004856783</c:v>
                </c:pt>
                <c:pt idx="206">
                  <c:v>1.2816450004856883</c:v>
                </c:pt>
                <c:pt idx="207">
                  <c:v>1.2491705004856881</c:v>
                </c:pt>
                <c:pt idx="208">
                  <c:v>1.2412708004856783</c:v>
                </c:pt>
                <c:pt idx="209">
                  <c:v>1.2447397004856882</c:v>
                </c:pt>
                <c:pt idx="210">
                  <c:v>1.2495865004856881</c:v>
                </c:pt>
                <c:pt idx="211">
                  <c:v>1.2505210004856882</c:v>
                </c:pt>
                <c:pt idx="212">
                  <c:v>1.2529162004856882</c:v>
                </c:pt>
                <c:pt idx="213">
                  <c:v>1.2562574004856881</c:v>
                </c:pt>
                <c:pt idx="214">
                  <c:v>1.2329891004856881</c:v>
                </c:pt>
                <c:pt idx="215">
                  <c:v>1.2335633004856783</c:v>
                </c:pt>
                <c:pt idx="216">
                  <c:v>1.2322236004856881</c:v>
                </c:pt>
                <c:pt idx="217">
                  <c:v>1.2340675004856883</c:v>
                </c:pt>
                <c:pt idx="218">
                  <c:v>1.2422916437552283</c:v>
                </c:pt>
                <c:pt idx="219">
                  <c:v>1.2422916437552283</c:v>
                </c:pt>
                <c:pt idx="220">
                  <c:v>1.2582009830222083</c:v>
                </c:pt>
                <c:pt idx="221">
                  <c:v>1.2641801830222081</c:v>
                </c:pt>
                <c:pt idx="222">
                  <c:v>1.2676166830222082</c:v>
                </c:pt>
                <c:pt idx="223">
                  <c:v>1.2706342830222082</c:v>
                </c:pt>
                <c:pt idx="224">
                  <c:v>1.2689636830222082</c:v>
                </c:pt>
                <c:pt idx="225">
                  <c:v>1.2830925830222082</c:v>
                </c:pt>
                <c:pt idx="226">
                  <c:v>1.2867450830222082</c:v>
                </c:pt>
                <c:pt idx="227">
                  <c:v>1.2868824830222081</c:v>
                </c:pt>
                <c:pt idx="228">
                  <c:v>1.2894804830222082</c:v>
                </c:pt>
                <c:pt idx="229">
                  <c:v>1.2875800830222082</c:v>
                </c:pt>
                <c:pt idx="230">
                  <c:v>1.2938470830222082</c:v>
                </c:pt>
                <c:pt idx="231">
                  <c:v>1.2952300830222081</c:v>
                </c:pt>
                <c:pt idx="232">
                  <c:v>1.2950463830222081</c:v>
                </c:pt>
                <c:pt idx="233">
                  <c:v>1.2958292830222082</c:v>
                </c:pt>
                <c:pt idx="234">
                  <c:v>1.3002108830222081</c:v>
                </c:pt>
                <c:pt idx="235">
                  <c:v>1.3016571830222081</c:v>
                </c:pt>
                <c:pt idx="236">
                  <c:v>1.2948102830222081</c:v>
                </c:pt>
                <c:pt idx="237">
                  <c:v>1.2963536830222082</c:v>
                </c:pt>
                <c:pt idx="238">
                  <c:v>1.2955517830222083</c:v>
                </c:pt>
                <c:pt idx="239">
                  <c:v>1.2976725830222082</c:v>
                </c:pt>
                <c:pt idx="240">
                  <c:v>1.2886920830222082</c:v>
                </c:pt>
                <c:pt idx="241">
                  <c:v>1.2926126830222082</c:v>
                </c:pt>
                <c:pt idx="242">
                  <c:v>1.2953909830222081</c:v>
                </c:pt>
                <c:pt idx="243">
                  <c:v>1.2908623830222081</c:v>
                </c:pt>
                <c:pt idx="244">
                  <c:v>1.2803252830222083</c:v>
                </c:pt>
                <c:pt idx="245">
                  <c:v>1.2799741830222082</c:v>
                </c:pt>
                <c:pt idx="246">
                  <c:v>1.2818002830222082</c:v>
                </c:pt>
                <c:pt idx="247">
                  <c:v>1.2816944830222081</c:v>
                </c:pt>
                <c:pt idx="248">
                  <c:v>1.2834748830222082</c:v>
                </c:pt>
                <c:pt idx="249">
                  <c:v>1.2867705830222083</c:v>
                </c:pt>
                <c:pt idx="250">
                  <c:v>1.2893507830222082</c:v>
                </c:pt>
                <c:pt idx="251">
                  <c:v>1.2560789830222081</c:v>
                </c:pt>
                <c:pt idx="252">
                  <c:v>1.2708305830222082</c:v>
                </c:pt>
                <c:pt idx="253">
                  <c:v>1.2612347830222082</c:v>
                </c:pt>
                <c:pt idx="254">
                  <c:v>1.2832518830222082</c:v>
                </c:pt>
                <c:pt idx="255">
                  <c:v>1.2819405830222081</c:v>
                </c:pt>
                <c:pt idx="256">
                  <c:v>1.2583677830222082</c:v>
                </c:pt>
                <c:pt idx="257">
                  <c:v>1.2591081830222082</c:v>
                </c:pt>
                <c:pt idx="258">
                  <c:v>1.2806868830222082</c:v>
                </c:pt>
                <c:pt idx="259">
                  <c:v>1.2855048830222082</c:v>
                </c:pt>
                <c:pt idx="260">
                  <c:v>1.2874805830222082</c:v>
                </c:pt>
                <c:pt idx="261">
                  <c:v>1.2890660830222083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C-411E-9742-2265DEDB1C13}"/>
            </c:ext>
          </c:extLst>
        </c:ser>
        <c:ser>
          <c:idx val="2"/>
          <c:order val="2"/>
          <c:tx>
            <c:strRef>
              <c:f>Sheet2!$M$1047</c:f>
              <c:strCache>
                <c:ptCount val="1"/>
                <c:pt idx="0">
                  <c:v>收盘</c:v>
                </c:pt>
              </c:strCache>
            </c:strRef>
          </c:tx>
          <c:spPr>
            <a:ln w="28575" cap="rnd">
              <a:solidFill>
                <a:srgbClr val="FFCD2F"/>
              </a:solidFill>
              <a:round/>
            </a:ln>
            <a:effectLst/>
          </c:spPr>
          <c:marker>
            <c:symbol val="none"/>
          </c:marker>
          <c:cat>
            <c:numRef>
              <c:f>Sheet2!$A$1048:$A$1309</c:f>
              <c:numCache>
                <c:formatCode>yyyy\-mm\-dd;@</c:formatCode>
                <c:ptCount val="262"/>
                <c:pt idx="0">
                  <c:v>44019</c:v>
                </c:pt>
                <c:pt idx="1">
                  <c:v>44020</c:v>
                </c:pt>
                <c:pt idx="2">
                  <c:v>44021</c:v>
                </c:pt>
                <c:pt idx="3">
                  <c:v>44022</c:v>
                </c:pt>
                <c:pt idx="4">
                  <c:v>44025</c:v>
                </c:pt>
                <c:pt idx="5">
                  <c:v>44026</c:v>
                </c:pt>
                <c:pt idx="6">
                  <c:v>44027</c:v>
                </c:pt>
                <c:pt idx="7">
                  <c:v>44028</c:v>
                </c:pt>
                <c:pt idx="8">
                  <c:v>44029</c:v>
                </c:pt>
                <c:pt idx="9">
                  <c:v>44032</c:v>
                </c:pt>
                <c:pt idx="10">
                  <c:v>44033</c:v>
                </c:pt>
                <c:pt idx="11">
                  <c:v>44034</c:v>
                </c:pt>
                <c:pt idx="12">
                  <c:v>44035</c:v>
                </c:pt>
                <c:pt idx="13">
                  <c:v>44036</c:v>
                </c:pt>
                <c:pt idx="14">
                  <c:v>44039</c:v>
                </c:pt>
                <c:pt idx="15">
                  <c:v>44040</c:v>
                </c:pt>
                <c:pt idx="16">
                  <c:v>44041</c:v>
                </c:pt>
                <c:pt idx="17">
                  <c:v>44042</c:v>
                </c:pt>
                <c:pt idx="18">
                  <c:v>44043</c:v>
                </c:pt>
                <c:pt idx="19">
                  <c:v>44046</c:v>
                </c:pt>
                <c:pt idx="20">
                  <c:v>44047</c:v>
                </c:pt>
                <c:pt idx="21">
                  <c:v>44048</c:v>
                </c:pt>
                <c:pt idx="22">
                  <c:v>44049</c:v>
                </c:pt>
                <c:pt idx="23">
                  <c:v>44050</c:v>
                </c:pt>
                <c:pt idx="24">
                  <c:v>44053</c:v>
                </c:pt>
                <c:pt idx="25">
                  <c:v>44054</c:v>
                </c:pt>
                <c:pt idx="26">
                  <c:v>44055</c:v>
                </c:pt>
                <c:pt idx="27">
                  <c:v>44056</c:v>
                </c:pt>
                <c:pt idx="28">
                  <c:v>44057</c:v>
                </c:pt>
                <c:pt idx="29">
                  <c:v>44060</c:v>
                </c:pt>
                <c:pt idx="30">
                  <c:v>44061</c:v>
                </c:pt>
                <c:pt idx="31">
                  <c:v>44062</c:v>
                </c:pt>
                <c:pt idx="32">
                  <c:v>44063</c:v>
                </c:pt>
                <c:pt idx="33">
                  <c:v>44064</c:v>
                </c:pt>
                <c:pt idx="34">
                  <c:v>44067</c:v>
                </c:pt>
                <c:pt idx="35">
                  <c:v>44068</c:v>
                </c:pt>
                <c:pt idx="36">
                  <c:v>44069</c:v>
                </c:pt>
                <c:pt idx="37">
                  <c:v>44070</c:v>
                </c:pt>
                <c:pt idx="38">
                  <c:v>44071</c:v>
                </c:pt>
                <c:pt idx="39">
                  <c:v>44074</c:v>
                </c:pt>
                <c:pt idx="40">
                  <c:v>44075</c:v>
                </c:pt>
                <c:pt idx="41">
                  <c:v>44076</c:v>
                </c:pt>
                <c:pt idx="42">
                  <c:v>44077</c:v>
                </c:pt>
                <c:pt idx="43">
                  <c:v>44078</c:v>
                </c:pt>
                <c:pt idx="44">
                  <c:v>44081</c:v>
                </c:pt>
                <c:pt idx="45">
                  <c:v>44082</c:v>
                </c:pt>
                <c:pt idx="46">
                  <c:v>44083</c:v>
                </c:pt>
                <c:pt idx="47">
                  <c:v>44084</c:v>
                </c:pt>
                <c:pt idx="48">
                  <c:v>44085</c:v>
                </c:pt>
                <c:pt idx="49">
                  <c:v>44088</c:v>
                </c:pt>
                <c:pt idx="50">
                  <c:v>44089</c:v>
                </c:pt>
                <c:pt idx="51">
                  <c:v>44090</c:v>
                </c:pt>
                <c:pt idx="52">
                  <c:v>44091</c:v>
                </c:pt>
                <c:pt idx="53">
                  <c:v>44092</c:v>
                </c:pt>
                <c:pt idx="54">
                  <c:v>44095</c:v>
                </c:pt>
                <c:pt idx="55">
                  <c:v>44096</c:v>
                </c:pt>
                <c:pt idx="56">
                  <c:v>44097</c:v>
                </c:pt>
                <c:pt idx="57">
                  <c:v>44098</c:v>
                </c:pt>
                <c:pt idx="58">
                  <c:v>44099</c:v>
                </c:pt>
                <c:pt idx="59">
                  <c:v>44102</c:v>
                </c:pt>
                <c:pt idx="60">
                  <c:v>44103</c:v>
                </c:pt>
                <c:pt idx="61">
                  <c:v>44104</c:v>
                </c:pt>
                <c:pt idx="62">
                  <c:v>44113</c:v>
                </c:pt>
                <c:pt idx="63">
                  <c:v>44116</c:v>
                </c:pt>
                <c:pt idx="64">
                  <c:v>44117</c:v>
                </c:pt>
                <c:pt idx="65">
                  <c:v>44118</c:v>
                </c:pt>
                <c:pt idx="66">
                  <c:v>44119</c:v>
                </c:pt>
                <c:pt idx="67">
                  <c:v>44120</c:v>
                </c:pt>
                <c:pt idx="68">
                  <c:v>44123</c:v>
                </c:pt>
                <c:pt idx="69">
                  <c:v>44124</c:v>
                </c:pt>
                <c:pt idx="70">
                  <c:v>44125</c:v>
                </c:pt>
                <c:pt idx="71">
                  <c:v>44126</c:v>
                </c:pt>
                <c:pt idx="72">
                  <c:v>44127</c:v>
                </c:pt>
                <c:pt idx="73">
                  <c:v>44130</c:v>
                </c:pt>
                <c:pt idx="74">
                  <c:v>44131</c:v>
                </c:pt>
                <c:pt idx="75">
                  <c:v>44132</c:v>
                </c:pt>
                <c:pt idx="76">
                  <c:v>44133</c:v>
                </c:pt>
                <c:pt idx="77">
                  <c:v>44134</c:v>
                </c:pt>
                <c:pt idx="78">
                  <c:v>44137</c:v>
                </c:pt>
                <c:pt idx="79">
                  <c:v>44138</c:v>
                </c:pt>
                <c:pt idx="80">
                  <c:v>44139</c:v>
                </c:pt>
                <c:pt idx="81">
                  <c:v>44140</c:v>
                </c:pt>
                <c:pt idx="82">
                  <c:v>44141</c:v>
                </c:pt>
                <c:pt idx="83">
                  <c:v>44144</c:v>
                </c:pt>
                <c:pt idx="84">
                  <c:v>44145</c:v>
                </c:pt>
                <c:pt idx="85">
                  <c:v>44146</c:v>
                </c:pt>
                <c:pt idx="86">
                  <c:v>44147</c:v>
                </c:pt>
                <c:pt idx="87">
                  <c:v>44148</c:v>
                </c:pt>
                <c:pt idx="88">
                  <c:v>44151</c:v>
                </c:pt>
                <c:pt idx="89">
                  <c:v>44152</c:v>
                </c:pt>
                <c:pt idx="90">
                  <c:v>44153</c:v>
                </c:pt>
                <c:pt idx="91">
                  <c:v>44154</c:v>
                </c:pt>
                <c:pt idx="92">
                  <c:v>44155</c:v>
                </c:pt>
                <c:pt idx="93">
                  <c:v>44158</c:v>
                </c:pt>
                <c:pt idx="94">
                  <c:v>44159</c:v>
                </c:pt>
                <c:pt idx="95">
                  <c:v>44160</c:v>
                </c:pt>
                <c:pt idx="96">
                  <c:v>44161</c:v>
                </c:pt>
                <c:pt idx="97">
                  <c:v>44162</c:v>
                </c:pt>
                <c:pt idx="98">
                  <c:v>44165</c:v>
                </c:pt>
                <c:pt idx="99">
                  <c:v>44166</c:v>
                </c:pt>
                <c:pt idx="100">
                  <c:v>44167</c:v>
                </c:pt>
                <c:pt idx="101">
                  <c:v>44168</c:v>
                </c:pt>
                <c:pt idx="102">
                  <c:v>44169</c:v>
                </c:pt>
                <c:pt idx="103">
                  <c:v>44172</c:v>
                </c:pt>
                <c:pt idx="104">
                  <c:v>44173</c:v>
                </c:pt>
                <c:pt idx="105">
                  <c:v>44174</c:v>
                </c:pt>
                <c:pt idx="106">
                  <c:v>44175</c:v>
                </c:pt>
                <c:pt idx="107">
                  <c:v>44176</c:v>
                </c:pt>
                <c:pt idx="108">
                  <c:v>44179</c:v>
                </c:pt>
                <c:pt idx="109">
                  <c:v>44180</c:v>
                </c:pt>
                <c:pt idx="110">
                  <c:v>44181</c:v>
                </c:pt>
                <c:pt idx="111">
                  <c:v>44182</c:v>
                </c:pt>
                <c:pt idx="112">
                  <c:v>44183</c:v>
                </c:pt>
                <c:pt idx="113">
                  <c:v>44186</c:v>
                </c:pt>
                <c:pt idx="114">
                  <c:v>44187</c:v>
                </c:pt>
                <c:pt idx="115">
                  <c:v>44188</c:v>
                </c:pt>
                <c:pt idx="116">
                  <c:v>44189</c:v>
                </c:pt>
                <c:pt idx="117">
                  <c:v>44190</c:v>
                </c:pt>
                <c:pt idx="118">
                  <c:v>44193</c:v>
                </c:pt>
                <c:pt idx="119">
                  <c:v>44194</c:v>
                </c:pt>
                <c:pt idx="120">
                  <c:v>44195</c:v>
                </c:pt>
                <c:pt idx="121">
                  <c:v>44196</c:v>
                </c:pt>
                <c:pt idx="122">
                  <c:v>44200</c:v>
                </c:pt>
                <c:pt idx="123">
                  <c:v>44201</c:v>
                </c:pt>
                <c:pt idx="124">
                  <c:v>44202</c:v>
                </c:pt>
                <c:pt idx="125">
                  <c:v>44203</c:v>
                </c:pt>
                <c:pt idx="126">
                  <c:v>44204</c:v>
                </c:pt>
                <c:pt idx="127">
                  <c:v>44207</c:v>
                </c:pt>
                <c:pt idx="128">
                  <c:v>44208</c:v>
                </c:pt>
                <c:pt idx="129">
                  <c:v>44209</c:v>
                </c:pt>
                <c:pt idx="130">
                  <c:v>44210</c:v>
                </c:pt>
                <c:pt idx="131">
                  <c:v>44211</c:v>
                </c:pt>
                <c:pt idx="132">
                  <c:v>44214</c:v>
                </c:pt>
                <c:pt idx="133">
                  <c:v>44215</c:v>
                </c:pt>
                <c:pt idx="134">
                  <c:v>44216</c:v>
                </c:pt>
                <c:pt idx="135">
                  <c:v>44217</c:v>
                </c:pt>
                <c:pt idx="136">
                  <c:v>44218</c:v>
                </c:pt>
                <c:pt idx="137">
                  <c:v>44221</c:v>
                </c:pt>
                <c:pt idx="138">
                  <c:v>44222</c:v>
                </c:pt>
                <c:pt idx="139">
                  <c:v>44223</c:v>
                </c:pt>
                <c:pt idx="140">
                  <c:v>44224</c:v>
                </c:pt>
                <c:pt idx="141">
                  <c:v>44225</c:v>
                </c:pt>
                <c:pt idx="142">
                  <c:v>44228</c:v>
                </c:pt>
                <c:pt idx="143">
                  <c:v>44229</c:v>
                </c:pt>
                <c:pt idx="144">
                  <c:v>44230</c:v>
                </c:pt>
                <c:pt idx="145">
                  <c:v>44231</c:v>
                </c:pt>
                <c:pt idx="146">
                  <c:v>44232</c:v>
                </c:pt>
                <c:pt idx="147">
                  <c:v>44235</c:v>
                </c:pt>
                <c:pt idx="148">
                  <c:v>44236</c:v>
                </c:pt>
                <c:pt idx="149">
                  <c:v>44237</c:v>
                </c:pt>
                <c:pt idx="150">
                  <c:v>44245</c:v>
                </c:pt>
                <c:pt idx="151">
                  <c:v>44246</c:v>
                </c:pt>
                <c:pt idx="152">
                  <c:v>44249</c:v>
                </c:pt>
                <c:pt idx="153">
                  <c:v>44250</c:v>
                </c:pt>
                <c:pt idx="154">
                  <c:v>44251</c:v>
                </c:pt>
                <c:pt idx="155">
                  <c:v>44252</c:v>
                </c:pt>
                <c:pt idx="156">
                  <c:v>44253</c:v>
                </c:pt>
                <c:pt idx="157">
                  <c:v>44256</c:v>
                </c:pt>
                <c:pt idx="158">
                  <c:v>44257</c:v>
                </c:pt>
                <c:pt idx="159">
                  <c:v>44258</c:v>
                </c:pt>
                <c:pt idx="160">
                  <c:v>44259</c:v>
                </c:pt>
                <c:pt idx="161">
                  <c:v>44260</c:v>
                </c:pt>
                <c:pt idx="162">
                  <c:v>44263</c:v>
                </c:pt>
                <c:pt idx="163">
                  <c:v>44264</c:v>
                </c:pt>
                <c:pt idx="164">
                  <c:v>44265</c:v>
                </c:pt>
                <c:pt idx="165">
                  <c:v>44266</c:v>
                </c:pt>
                <c:pt idx="166">
                  <c:v>44267</c:v>
                </c:pt>
                <c:pt idx="167">
                  <c:v>44270</c:v>
                </c:pt>
                <c:pt idx="168">
                  <c:v>44271</c:v>
                </c:pt>
                <c:pt idx="169">
                  <c:v>44272</c:v>
                </c:pt>
                <c:pt idx="170">
                  <c:v>44273</c:v>
                </c:pt>
                <c:pt idx="171">
                  <c:v>44274</c:v>
                </c:pt>
                <c:pt idx="172">
                  <c:v>44277</c:v>
                </c:pt>
                <c:pt idx="173">
                  <c:v>44278</c:v>
                </c:pt>
                <c:pt idx="174">
                  <c:v>44279</c:v>
                </c:pt>
                <c:pt idx="175">
                  <c:v>44280</c:v>
                </c:pt>
                <c:pt idx="176">
                  <c:v>44281</c:v>
                </c:pt>
                <c:pt idx="177">
                  <c:v>44284</c:v>
                </c:pt>
                <c:pt idx="178">
                  <c:v>44285</c:v>
                </c:pt>
                <c:pt idx="179">
                  <c:v>44286</c:v>
                </c:pt>
                <c:pt idx="180">
                  <c:v>44287</c:v>
                </c:pt>
                <c:pt idx="181">
                  <c:v>44288</c:v>
                </c:pt>
                <c:pt idx="182">
                  <c:v>44292</c:v>
                </c:pt>
                <c:pt idx="183">
                  <c:v>44293</c:v>
                </c:pt>
                <c:pt idx="184">
                  <c:v>44294</c:v>
                </c:pt>
                <c:pt idx="185">
                  <c:v>44295</c:v>
                </c:pt>
                <c:pt idx="186">
                  <c:v>44298</c:v>
                </c:pt>
                <c:pt idx="187">
                  <c:v>44299</c:v>
                </c:pt>
                <c:pt idx="188">
                  <c:v>44300</c:v>
                </c:pt>
                <c:pt idx="189">
                  <c:v>44301</c:v>
                </c:pt>
                <c:pt idx="190">
                  <c:v>44302</c:v>
                </c:pt>
                <c:pt idx="191">
                  <c:v>44305</c:v>
                </c:pt>
                <c:pt idx="192">
                  <c:v>44306</c:v>
                </c:pt>
                <c:pt idx="193">
                  <c:v>44307</c:v>
                </c:pt>
                <c:pt idx="194">
                  <c:v>44308</c:v>
                </c:pt>
                <c:pt idx="195">
                  <c:v>44309</c:v>
                </c:pt>
                <c:pt idx="196">
                  <c:v>44312</c:v>
                </c:pt>
                <c:pt idx="197">
                  <c:v>44313</c:v>
                </c:pt>
                <c:pt idx="198">
                  <c:v>44314</c:v>
                </c:pt>
                <c:pt idx="199">
                  <c:v>44315</c:v>
                </c:pt>
                <c:pt idx="200">
                  <c:v>44316</c:v>
                </c:pt>
                <c:pt idx="201">
                  <c:v>44322</c:v>
                </c:pt>
                <c:pt idx="202">
                  <c:v>44323</c:v>
                </c:pt>
                <c:pt idx="203">
                  <c:v>44326</c:v>
                </c:pt>
                <c:pt idx="204">
                  <c:v>44327</c:v>
                </c:pt>
                <c:pt idx="205">
                  <c:v>44328</c:v>
                </c:pt>
                <c:pt idx="206">
                  <c:v>44329</c:v>
                </c:pt>
                <c:pt idx="207">
                  <c:v>44330</c:v>
                </c:pt>
                <c:pt idx="208">
                  <c:v>44333</c:v>
                </c:pt>
                <c:pt idx="209">
                  <c:v>44334</c:v>
                </c:pt>
                <c:pt idx="210">
                  <c:v>44335</c:v>
                </c:pt>
                <c:pt idx="211">
                  <c:v>44336</c:v>
                </c:pt>
                <c:pt idx="212">
                  <c:v>44337</c:v>
                </c:pt>
                <c:pt idx="213">
                  <c:v>44340</c:v>
                </c:pt>
                <c:pt idx="214">
                  <c:v>44341</c:v>
                </c:pt>
                <c:pt idx="215">
                  <c:v>44342</c:v>
                </c:pt>
                <c:pt idx="216">
                  <c:v>44343</c:v>
                </c:pt>
                <c:pt idx="217">
                  <c:v>44344</c:v>
                </c:pt>
                <c:pt idx="218">
                  <c:v>44347</c:v>
                </c:pt>
                <c:pt idx="219">
                  <c:v>44348</c:v>
                </c:pt>
                <c:pt idx="220">
                  <c:v>44349</c:v>
                </c:pt>
                <c:pt idx="221">
                  <c:v>44350</c:v>
                </c:pt>
                <c:pt idx="222">
                  <c:v>44351</c:v>
                </c:pt>
                <c:pt idx="223">
                  <c:v>44354</c:v>
                </c:pt>
                <c:pt idx="224">
                  <c:v>44355</c:v>
                </c:pt>
                <c:pt idx="225">
                  <c:v>44356</c:v>
                </c:pt>
                <c:pt idx="226">
                  <c:v>44357</c:v>
                </c:pt>
                <c:pt idx="227">
                  <c:v>44358</c:v>
                </c:pt>
                <c:pt idx="228">
                  <c:v>44362</c:v>
                </c:pt>
                <c:pt idx="229">
                  <c:v>44363</c:v>
                </c:pt>
                <c:pt idx="230">
                  <c:v>44364</c:v>
                </c:pt>
                <c:pt idx="231">
                  <c:v>44365</c:v>
                </c:pt>
                <c:pt idx="232">
                  <c:v>44368</c:v>
                </c:pt>
                <c:pt idx="233">
                  <c:v>44369</c:v>
                </c:pt>
                <c:pt idx="234">
                  <c:v>44370</c:v>
                </c:pt>
                <c:pt idx="235">
                  <c:v>44371</c:v>
                </c:pt>
                <c:pt idx="236">
                  <c:v>44372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 formatCode="m/d/yyyy">
                  <c:v>44378</c:v>
                </c:pt>
                <c:pt idx="241" formatCode="m/d/yyyy">
                  <c:v>44379</c:v>
                </c:pt>
                <c:pt idx="242" formatCode="m/d/yyyy">
                  <c:v>44382</c:v>
                </c:pt>
                <c:pt idx="243" formatCode="m/d/yyyy">
                  <c:v>44383</c:v>
                </c:pt>
                <c:pt idx="244" formatCode="m/d/yyyy">
                  <c:v>44384</c:v>
                </c:pt>
                <c:pt idx="245" formatCode="m/d/yyyy">
                  <c:v>44385</c:v>
                </c:pt>
                <c:pt idx="246" formatCode="m/d/yyyy">
                  <c:v>44386</c:v>
                </c:pt>
                <c:pt idx="247" formatCode="m/d/yyyy">
                  <c:v>44389</c:v>
                </c:pt>
                <c:pt idx="248" formatCode="m/d/yyyy">
                  <c:v>44390</c:v>
                </c:pt>
                <c:pt idx="249" formatCode="m/d/yyyy">
                  <c:v>44391</c:v>
                </c:pt>
                <c:pt idx="250" formatCode="m/d/yyyy">
                  <c:v>44392</c:v>
                </c:pt>
                <c:pt idx="251" formatCode="m/d/yyyy">
                  <c:v>44393</c:v>
                </c:pt>
                <c:pt idx="252" formatCode="m/d/yyyy">
                  <c:v>44396</c:v>
                </c:pt>
                <c:pt idx="253" formatCode="m/d/yyyy">
                  <c:v>44397</c:v>
                </c:pt>
                <c:pt idx="254" formatCode="m/d/yyyy">
                  <c:v>44398</c:v>
                </c:pt>
                <c:pt idx="255" formatCode="m/d/yyyy">
                  <c:v>44399</c:v>
                </c:pt>
                <c:pt idx="256" formatCode="m/d/yyyy">
                  <c:v>44400</c:v>
                </c:pt>
                <c:pt idx="257" formatCode="m/d/yyyy">
                  <c:v>44403</c:v>
                </c:pt>
                <c:pt idx="258" formatCode="m/d/yyyy">
                  <c:v>44404</c:v>
                </c:pt>
                <c:pt idx="259" formatCode="m/d/yyyy">
                  <c:v>44405</c:v>
                </c:pt>
                <c:pt idx="260" formatCode="m/d/yyyy">
                  <c:v>44406</c:v>
                </c:pt>
                <c:pt idx="261" formatCode="m/d/yyyy">
                  <c:v>44407</c:v>
                </c:pt>
              </c:numCache>
            </c:numRef>
          </c:cat>
          <c:val>
            <c:numRef>
              <c:f>Sheet2!$M$1048:$M$1309</c:f>
              <c:numCache>
                <c:formatCode>General</c:formatCode>
                <c:ptCount val="262"/>
                <c:pt idx="0">
                  <c:v>1</c:v>
                </c:pt>
                <c:pt idx="1">
                  <c:v>0.97991850000000003</c:v>
                </c:pt>
                <c:pt idx="2">
                  <c:v>0.9783385</c:v>
                </c:pt>
                <c:pt idx="3">
                  <c:v>0.97291450000000002</c:v>
                </c:pt>
                <c:pt idx="4">
                  <c:v>1.0138240000000001</c:v>
                </c:pt>
                <c:pt idx="5">
                  <c:v>1.0157864999999999</c:v>
                </c:pt>
                <c:pt idx="6">
                  <c:v>1.0136265</c:v>
                </c:pt>
                <c:pt idx="7">
                  <c:v>0.96183549999999995</c:v>
                </c:pt>
                <c:pt idx="8">
                  <c:v>1.006364</c:v>
                </c:pt>
                <c:pt idx="9">
                  <c:v>1.0000309999999999</c:v>
                </c:pt>
                <c:pt idx="10">
                  <c:v>1.0144070000000001</c:v>
                </c:pt>
                <c:pt idx="11">
                  <c:v>1.016416</c:v>
                </c:pt>
                <c:pt idx="12">
                  <c:v>1.012734</c:v>
                </c:pt>
                <c:pt idx="13">
                  <c:v>0.97375849999999997</c:v>
                </c:pt>
                <c:pt idx="14">
                  <c:v>0.99643000000000004</c:v>
                </c:pt>
                <c:pt idx="15">
                  <c:v>1.003444</c:v>
                </c:pt>
                <c:pt idx="16">
                  <c:v>0.99895849999999997</c:v>
                </c:pt>
                <c:pt idx="17">
                  <c:v>0.99870250000000005</c:v>
                </c:pt>
                <c:pt idx="18">
                  <c:v>0.99579649999999997</c:v>
                </c:pt>
                <c:pt idx="19">
                  <c:v>1.0042219999999999</c:v>
                </c:pt>
                <c:pt idx="20">
                  <c:v>1.0100745</c:v>
                </c:pt>
                <c:pt idx="21">
                  <c:v>1.0078065</c:v>
                </c:pt>
                <c:pt idx="22">
                  <c:v>1.0156685000000001</c:v>
                </c:pt>
                <c:pt idx="23">
                  <c:v>1.0336810000000001</c:v>
                </c:pt>
                <c:pt idx="24">
                  <c:v>1.0446815</c:v>
                </c:pt>
                <c:pt idx="25">
                  <c:v>1.056619</c:v>
                </c:pt>
                <c:pt idx="26">
                  <c:v>1.070908</c:v>
                </c:pt>
                <c:pt idx="27">
                  <c:v>1.075699</c:v>
                </c:pt>
                <c:pt idx="28">
                  <c:v>1.0751580000000001</c:v>
                </c:pt>
                <c:pt idx="29">
                  <c:v>1.0608355</c:v>
                </c:pt>
                <c:pt idx="30">
                  <c:v>1.0705104999999999</c:v>
                </c:pt>
                <c:pt idx="31">
                  <c:v>1.0746765</c:v>
                </c:pt>
                <c:pt idx="32">
                  <c:v>1.0818345</c:v>
                </c:pt>
                <c:pt idx="33">
                  <c:v>1.083018</c:v>
                </c:pt>
                <c:pt idx="34">
                  <c:v>1.0981645</c:v>
                </c:pt>
                <c:pt idx="35">
                  <c:v>1.104079</c:v>
                </c:pt>
                <c:pt idx="36">
                  <c:v>1.1003210000000001</c:v>
                </c:pt>
                <c:pt idx="37">
                  <c:v>1.1106244999999999</c:v>
                </c:pt>
                <c:pt idx="38">
                  <c:v>1.093847</c:v>
                </c:pt>
                <c:pt idx="39">
                  <c:v>1.0961565</c:v>
                </c:pt>
                <c:pt idx="40">
                  <c:v>1.1020345</c:v>
                </c:pt>
                <c:pt idx="41">
                  <c:v>1.0992569999999999</c:v>
                </c:pt>
                <c:pt idx="42">
                  <c:v>1.1054995000000001</c:v>
                </c:pt>
                <c:pt idx="43">
                  <c:v>1.105586</c:v>
                </c:pt>
                <c:pt idx="44">
                  <c:v>1.1082860000000001</c:v>
                </c:pt>
                <c:pt idx="45">
                  <c:v>1.1075710000000001</c:v>
                </c:pt>
                <c:pt idx="46">
                  <c:v>1.0989735</c:v>
                </c:pt>
                <c:pt idx="47">
                  <c:v>1.1098764999999999</c:v>
                </c:pt>
                <c:pt idx="48">
                  <c:v>1.1186365</c:v>
                </c:pt>
                <c:pt idx="49">
                  <c:v>1.1261859999999999</c:v>
                </c:pt>
                <c:pt idx="50">
                  <c:v>1.1289629999999999</c:v>
                </c:pt>
                <c:pt idx="51">
                  <c:v>1.1304045</c:v>
                </c:pt>
                <c:pt idx="52">
                  <c:v>1.1284700000000001</c:v>
                </c:pt>
                <c:pt idx="53">
                  <c:v>1.1188045</c:v>
                </c:pt>
                <c:pt idx="54">
                  <c:v>1.1164050000000001</c:v>
                </c:pt>
                <c:pt idx="55">
                  <c:v>1.1144525000000001</c:v>
                </c:pt>
                <c:pt idx="56">
                  <c:v>1.1195975</c:v>
                </c:pt>
                <c:pt idx="57">
                  <c:v>1.1129020000000001</c:v>
                </c:pt>
                <c:pt idx="58">
                  <c:v>1.113461</c:v>
                </c:pt>
                <c:pt idx="59">
                  <c:v>1.1134795</c:v>
                </c:pt>
                <c:pt idx="60">
                  <c:v>1.1051390000000001</c:v>
                </c:pt>
                <c:pt idx="61">
                  <c:v>1.102268</c:v>
                </c:pt>
                <c:pt idx="62">
                  <c:v>1.1615439999999999</c:v>
                </c:pt>
                <c:pt idx="63">
                  <c:v>1.1500295000000009</c:v>
                </c:pt>
                <c:pt idx="64">
                  <c:v>1.1541725000000009</c:v>
                </c:pt>
                <c:pt idx="65">
                  <c:v>1.1579660000000009</c:v>
                </c:pt>
                <c:pt idx="66">
                  <c:v>1.160840000000001</c:v>
                </c:pt>
                <c:pt idx="67">
                  <c:v>1.165874500000001</c:v>
                </c:pt>
                <c:pt idx="68">
                  <c:v>1.174719000000001</c:v>
                </c:pt>
                <c:pt idx="69">
                  <c:v>1.1790485000000008</c:v>
                </c:pt>
                <c:pt idx="70">
                  <c:v>1.1789915000000009</c:v>
                </c:pt>
                <c:pt idx="71">
                  <c:v>1.178435000000001</c:v>
                </c:pt>
                <c:pt idx="72">
                  <c:v>1.178377500000001</c:v>
                </c:pt>
                <c:pt idx="73">
                  <c:v>1.1796305000000009</c:v>
                </c:pt>
                <c:pt idx="74">
                  <c:v>1.1802025000000009</c:v>
                </c:pt>
                <c:pt idx="75">
                  <c:v>1.1816125000000008</c:v>
                </c:pt>
                <c:pt idx="76">
                  <c:v>1.1821755000000009</c:v>
                </c:pt>
                <c:pt idx="77">
                  <c:v>1.178848000000001</c:v>
                </c:pt>
                <c:pt idx="78">
                  <c:v>1.179170500000001</c:v>
                </c:pt>
                <c:pt idx="79">
                  <c:v>1.1777465000000009</c:v>
                </c:pt>
                <c:pt idx="80">
                  <c:v>1.1841495000000009</c:v>
                </c:pt>
                <c:pt idx="81">
                  <c:v>1.1870730000000009</c:v>
                </c:pt>
                <c:pt idx="82">
                  <c:v>1.189503</c:v>
                </c:pt>
                <c:pt idx="83">
                  <c:v>1.188376000000001</c:v>
                </c:pt>
                <c:pt idx="84">
                  <c:v>1.189195500000001</c:v>
                </c:pt>
                <c:pt idx="85">
                  <c:v>1.192725</c:v>
                </c:pt>
                <c:pt idx="86">
                  <c:v>1.1965930000000009</c:v>
                </c:pt>
                <c:pt idx="87">
                  <c:v>1.191275500000001</c:v>
                </c:pt>
                <c:pt idx="88">
                  <c:v>1.1943370000000009</c:v>
                </c:pt>
                <c:pt idx="89">
                  <c:v>1.1972090000000009</c:v>
                </c:pt>
                <c:pt idx="90">
                  <c:v>1.1965535000000009</c:v>
                </c:pt>
                <c:pt idx="91">
                  <c:v>1.196066500000001</c:v>
                </c:pt>
                <c:pt idx="92">
                  <c:v>1.2002025000000009</c:v>
                </c:pt>
                <c:pt idx="93">
                  <c:v>1.198862000000001</c:v>
                </c:pt>
                <c:pt idx="94">
                  <c:v>1.1995410000000009</c:v>
                </c:pt>
                <c:pt idx="95">
                  <c:v>1.2012000000000009</c:v>
                </c:pt>
                <c:pt idx="96">
                  <c:v>1.2063370000000009</c:v>
                </c:pt>
                <c:pt idx="97">
                  <c:v>1.2024750000000008</c:v>
                </c:pt>
                <c:pt idx="98">
                  <c:v>1.2032475000000009</c:v>
                </c:pt>
                <c:pt idx="99">
                  <c:v>1.1907650575000011</c:v>
                </c:pt>
                <c:pt idx="100">
                  <c:v>1.1916800295000012</c:v>
                </c:pt>
                <c:pt idx="101">
                  <c:v>1.193635951000001</c:v>
                </c:pt>
                <c:pt idx="102">
                  <c:v>1.1983189210000009</c:v>
                </c:pt>
                <c:pt idx="103">
                  <c:v>1.204088022000001</c:v>
                </c:pt>
                <c:pt idx="104">
                  <c:v>1.209707955500001</c:v>
                </c:pt>
                <c:pt idx="105">
                  <c:v>1.2148209290000009</c:v>
                </c:pt>
                <c:pt idx="106">
                  <c:v>1.2180563170000018</c:v>
                </c:pt>
                <c:pt idx="107">
                  <c:v>1.217419612500001</c:v>
                </c:pt>
                <c:pt idx="108">
                  <c:v>1.2205445285000009</c:v>
                </c:pt>
                <c:pt idx="109">
                  <c:v>1.2214585580000008</c:v>
                </c:pt>
                <c:pt idx="110">
                  <c:v>1.221378921000001</c:v>
                </c:pt>
                <c:pt idx="111">
                  <c:v>1.219563547000001</c:v>
                </c:pt>
                <c:pt idx="112">
                  <c:v>1.2214320400000009</c:v>
                </c:pt>
                <c:pt idx="113">
                  <c:v>1.2197892760000011</c:v>
                </c:pt>
                <c:pt idx="114">
                  <c:v>1.220283194000001</c:v>
                </c:pt>
                <c:pt idx="115">
                  <c:v>1.2203980875000011</c:v>
                </c:pt>
                <c:pt idx="116">
                  <c:v>1.2223599870000008</c:v>
                </c:pt>
                <c:pt idx="117">
                  <c:v>1.222809267000001</c:v>
                </c:pt>
                <c:pt idx="118">
                  <c:v>1.2235224620000009</c:v>
                </c:pt>
                <c:pt idx="119">
                  <c:v>1.2233979700000008</c:v>
                </c:pt>
                <c:pt idx="120">
                  <c:v>1.2222119125000011</c:v>
                </c:pt>
                <c:pt idx="121">
                  <c:v>1.2190543190000012</c:v>
                </c:pt>
                <c:pt idx="122">
                  <c:v>1.219517186500001</c:v>
                </c:pt>
                <c:pt idx="123">
                  <c:v>1.219238889500001</c:v>
                </c:pt>
                <c:pt idx="124">
                  <c:v>1.2137812435000011</c:v>
                </c:pt>
                <c:pt idx="125">
                  <c:v>1.1946855315000009</c:v>
                </c:pt>
                <c:pt idx="126">
                  <c:v>1.2011190315000009</c:v>
                </c:pt>
                <c:pt idx="127">
                  <c:v>1.2324498184819679</c:v>
                </c:pt>
                <c:pt idx="128">
                  <c:v>1.1712037649407629</c:v>
                </c:pt>
                <c:pt idx="129">
                  <c:v>1.181012878488066</c:v>
                </c:pt>
                <c:pt idx="130">
                  <c:v>1.1818404015968971</c:v>
                </c:pt>
                <c:pt idx="131">
                  <c:v>1.1947293854879779</c:v>
                </c:pt>
                <c:pt idx="132">
                  <c:v>1.199305655956622</c:v>
                </c:pt>
                <c:pt idx="133">
                  <c:v>1.1990291736245799</c:v>
                </c:pt>
                <c:pt idx="134">
                  <c:v>1.201195869231459</c:v>
                </c:pt>
                <c:pt idx="135">
                  <c:v>1.198260509733023</c:v>
                </c:pt>
                <c:pt idx="136">
                  <c:v>1.2075821010501149</c:v>
                </c:pt>
                <c:pt idx="137">
                  <c:v>1.2071307791899999</c:v>
                </c:pt>
                <c:pt idx="138">
                  <c:v>1.202941110661651</c:v>
                </c:pt>
                <c:pt idx="139">
                  <c:v>1.2049374400210671</c:v>
                </c:pt>
                <c:pt idx="140">
                  <c:v>1.2000887949951369</c:v>
                </c:pt>
                <c:pt idx="141">
                  <c:v>1.1994055535680019</c:v>
                </c:pt>
                <c:pt idx="142">
                  <c:v>1.2033938644987701</c:v>
                </c:pt>
                <c:pt idx="143">
                  <c:v>1.211436710649693</c:v>
                </c:pt>
                <c:pt idx="144">
                  <c:v>1.217149227300891</c:v>
                </c:pt>
                <c:pt idx="145">
                  <c:v>1.216560787493016</c:v>
                </c:pt>
                <c:pt idx="146">
                  <c:v>1.213790177081562</c:v>
                </c:pt>
                <c:pt idx="147">
                  <c:v>1.217359031059158</c:v>
                </c:pt>
                <c:pt idx="148">
                  <c:v>1.2217450730765549</c:v>
                </c:pt>
                <c:pt idx="149">
                  <c:v>1.212900257157207</c:v>
                </c:pt>
                <c:pt idx="150">
                  <c:v>1.235218182383929</c:v>
                </c:pt>
                <c:pt idx="151">
                  <c:v>1.249830473599298</c:v>
                </c:pt>
                <c:pt idx="152">
                  <c:v>1.238343665975483</c:v>
                </c:pt>
                <c:pt idx="153">
                  <c:v>1.2396928291021361</c:v>
                </c:pt>
                <c:pt idx="154">
                  <c:v>1.2323501829522259</c:v>
                </c:pt>
                <c:pt idx="155">
                  <c:v>1.2349531248586501</c:v>
                </c:pt>
                <c:pt idx="156">
                  <c:v>1.2508122557386701</c:v>
                </c:pt>
                <c:pt idx="157">
                  <c:v>1.2671164022482531</c:v>
                </c:pt>
                <c:pt idx="158">
                  <c:v>1.26553241756365</c:v>
                </c:pt>
                <c:pt idx="159">
                  <c:v>1.270681557281635</c:v>
                </c:pt>
                <c:pt idx="160">
                  <c:v>1.2856940086279049</c:v>
                </c:pt>
                <c:pt idx="161">
                  <c:v>1.2851313664241</c:v>
                </c:pt>
                <c:pt idx="162">
                  <c:v>1.245903094439996</c:v>
                </c:pt>
                <c:pt idx="163">
                  <c:v>1.24966548835889</c:v>
                </c:pt>
                <c:pt idx="164">
                  <c:v>1.26583936210966</c:v>
                </c:pt>
                <c:pt idx="165">
                  <c:v>1.2665347515252479</c:v>
                </c:pt>
                <c:pt idx="166">
                  <c:v>1.27487198512266</c:v>
                </c:pt>
                <c:pt idx="167">
                  <c:v>1.279646819356435</c:v>
                </c:pt>
                <c:pt idx="168">
                  <c:v>1.276148749031321</c:v>
                </c:pt>
                <c:pt idx="169">
                  <c:v>1.2779181717652031</c:v>
                </c:pt>
                <c:pt idx="170">
                  <c:v>1.271202210582751</c:v>
                </c:pt>
                <c:pt idx="171">
                  <c:v>1.2844764426083171</c:v>
                </c:pt>
                <c:pt idx="172">
                  <c:v>1.2686612169787619</c:v>
                </c:pt>
                <c:pt idx="173">
                  <c:v>1.2572920214778289</c:v>
                </c:pt>
                <c:pt idx="174">
                  <c:v>1.2713723616179631</c:v>
                </c:pt>
                <c:pt idx="175">
                  <c:v>1.2645401740793401</c:v>
                </c:pt>
                <c:pt idx="176">
                  <c:v>1.262158767989245</c:v>
                </c:pt>
                <c:pt idx="177">
                  <c:v>1.2560371500725729</c:v>
                </c:pt>
                <c:pt idx="178">
                  <c:v>1.2536893489992709</c:v>
                </c:pt>
                <c:pt idx="179">
                  <c:v>1.2542066694212051</c:v>
                </c:pt>
                <c:pt idx="180">
                  <c:v>1.249815716506105</c:v>
                </c:pt>
                <c:pt idx="181">
                  <c:v>1.248765227369955</c:v>
                </c:pt>
                <c:pt idx="182">
                  <c:v>1.246310427369955</c:v>
                </c:pt>
                <c:pt idx="183">
                  <c:v>1.2445947273699551</c:v>
                </c:pt>
                <c:pt idx="184">
                  <c:v>1.241325027369955</c:v>
                </c:pt>
                <c:pt idx="185">
                  <c:v>1.243905427369955</c:v>
                </c:pt>
                <c:pt idx="186">
                  <c:v>1.2500022273699551</c:v>
                </c:pt>
                <c:pt idx="187">
                  <c:v>1.2460158273699551</c:v>
                </c:pt>
                <c:pt idx="188">
                  <c:v>1.2424683273699551</c:v>
                </c:pt>
                <c:pt idx="189">
                  <c:v>1.242649227369955</c:v>
                </c:pt>
                <c:pt idx="190">
                  <c:v>1.238364727369955</c:v>
                </c:pt>
                <c:pt idx="191">
                  <c:v>1.2521789273699551</c:v>
                </c:pt>
                <c:pt idx="192">
                  <c:v>1.251028427369955</c:v>
                </c:pt>
                <c:pt idx="193">
                  <c:v>1.249939527369955</c:v>
                </c:pt>
                <c:pt idx="194">
                  <c:v>1.249804627369955</c:v>
                </c:pt>
                <c:pt idx="195">
                  <c:v>1.2496359273699551</c:v>
                </c:pt>
                <c:pt idx="196">
                  <c:v>1.250473127369955</c:v>
                </c:pt>
                <c:pt idx="197">
                  <c:v>1.2526908273699551</c:v>
                </c:pt>
                <c:pt idx="198">
                  <c:v>1.2551458273699549</c:v>
                </c:pt>
                <c:pt idx="199">
                  <c:v>1.256259127369955</c:v>
                </c:pt>
                <c:pt idx="200">
                  <c:v>1.257293527369955</c:v>
                </c:pt>
                <c:pt idx="201">
                  <c:v>1.2641646273699549</c:v>
                </c:pt>
                <c:pt idx="202">
                  <c:v>1.263506827369955</c:v>
                </c:pt>
                <c:pt idx="203">
                  <c:v>1.269207827369955</c:v>
                </c:pt>
                <c:pt idx="204">
                  <c:v>1.2688193273699551</c:v>
                </c:pt>
                <c:pt idx="205">
                  <c:v>1.2683726273699552</c:v>
                </c:pt>
                <c:pt idx="206">
                  <c:v>1.267001427369955</c:v>
                </c:pt>
                <c:pt idx="207">
                  <c:v>1.237267627369955</c:v>
                </c:pt>
                <c:pt idx="208">
                  <c:v>1.2336995273699551</c:v>
                </c:pt>
                <c:pt idx="209">
                  <c:v>1.2361033273699551</c:v>
                </c:pt>
                <c:pt idx="210">
                  <c:v>1.241901927369955</c:v>
                </c:pt>
                <c:pt idx="211">
                  <c:v>1.243382527369955</c:v>
                </c:pt>
                <c:pt idx="212">
                  <c:v>1.2482413273699551</c:v>
                </c:pt>
                <c:pt idx="213">
                  <c:v>1.2503132273699551</c:v>
                </c:pt>
                <c:pt idx="214">
                  <c:v>1.230624127369955</c:v>
                </c:pt>
                <c:pt idx="215">
                  <c:v>1.231563827369955</c:v>
                </c:pt>
                <c:pt idx="216">
                  <c:v>1.228856127369955</c:v>
                </c:pt>
                <c:pt idx="217">
                  <c:v>1.2321141848639749</c:v>
                </c:pt>
                <c:pt idx="218">
                  <c:v>1.233714969269925</c:v>
                </c:pt>
                <c:pt idx="219">
                  <c:v>1.2427708692699151</c:v>
                </c:pt>
                <c:pt idx="220">
                  <c:v>1.261968669269915</c:v>
                </c:pt>
                <c:pt idx="221">
                  <c:v>1.269434269269925</c:v>
                </c:pt>
                <c:pt idx="222">
                  <c:v>1.2697132692699151</c:v>
                </c:pt>
                <c:pt idx="223">
                  <c:v>1.271427014054465</c:v>
                </c:pt>
                <c:pt idx="224">
                  <c:v>1.269145308542045</c:v>
                </c:pt>
                <c:pt idx="225">
                  <c:v>1.2802058085420451</c:v>
                </c:pt>
                <c:pt idx="226">
                  <c:v>1.2858052085420451</c:v>
                </c:pt>
                <c:pt idx="227">
                  <c:v>1.285291708542045</c:v>
                </c:pt>
                <c:pt idx="228">
                  <c:v>1.2900061085420451</c:v>
                </c:pt>
                <c:pt idx="229">
                  <c:v>1.2872626085420451</c:v>
                </c:pt>
                <c:pt idx="230">
                  <c:v>1.292485808542045</c:v>
                </c:pt>
                <c:pt idx="231">
                  <c:v>1.2941924085420451</c:v>
                </c:pt>
                <c:pt idx="232">
                  <c:v>1.2955158085420451</c:v>
                </c:pt>
                <c:pt idx="233">
                  <c:v>1.296193708542045</c:v>
                </c:pt>
                <c:pt idx="234">
                  <c:v>1.3008508085420452</c:v>
                </c:pt>
                <c:pt idx="235">
                  <c:v>1.302250408542045</c:v>
                </c:pt>
                <c:pt idx="236">
                  <c:v>1.2982669085420451</c:v>
                </c:pt>
                <c:pt idx="237">
                  <c:v>1.300136008542045</c:v>
                </c:pt>
                <c:pt idx="238">
                  <c:v>1.2990520085420449</c:v>
                </c:pt>
                <c:pt idx="239">
                  <c:v>1.297441108542045</c:v>
                </c:pt>
                <c:pt idx="240">
                  <c:v>1.297497408542045</c:v>
                </c:pt>
                <c:pt idx="241">
                  <c:v>1.2885865085420452</c:v>
                </c:pt>
                <c:pt idx="242">
                  <c:v>1.294169508542045</c:v>
                </c:pt>
                <c:pt idx="243">
                  <c:v>1.295557908542045</c:v>
                </c:pt>
                <c:pt idx="244">
                  <c:v>1.2946351085420451</c:v>
                </c:pt>
                <c:pt idx="245">
                  <c:v>1.2931554085420451</c:v>
                </c:pt>
                <c:pt idx="246">
                  <c:v>1.2939292085420451</c:v>
                </c:pt>
                <c:pt idx="247">
                  <c:v>1.2931047085420451</c:v>
                </c:pt>
                <c:pt idx="248">
                  <c:v>1.2956695085420451</c:v>
                </c:pt>
                <c:pt idx="249">
                  <c:v>1.294532308542045</c:v>
                </c:pt>
                <c:pt idx="250">
                  <c:v>1.295745008542045</c:v>
                </c:pt>
                <c:pt idx="251">
                  <c:v>1.2933262085420449</c:v>
                </c:pt>
                <c:pt idx="252">
                  <c:v>1.2984670085420451</c:v>
                </c:pt>
                <c:pt idx="253">
                  <c:v>1.2971794085420449</c:v>
                </c:pt>
                <c:pt idx="254">
                  <c:v>1.298938308542045</c:v>
                </c:pt>
                <c:pt idx="255">
                  <c:v>1.300409408542045</c:v>
                </c:pt>
                <c:pt idx="256">
                  <c:v>1.301149408542045</c:v>
                </c:pt>
                <c:pt idx="257">
                  <c:v>1.282983208542045</c:v>
                </c:pt>
                <c:pt idx="258">
                  <c:v>1.263412608542045</c:v>
                </c:pt>
                <c:pt idx="259">
                  <c:v>1.2602385085420451</c:v>
                </c:pt>
                <c:pt idx="260">
                  <c:v>1.2569950085420452</c:v>
                </c:pt>
                <c:pt idx="261">
                  <c:v>1.254908808542045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C-411E-9742-2265DEDB1C13}"/>
            </c:ext>
          </c:extLst>
        </c:ser>
        <c:ser>
          <c:idx val="3"/>
          <c:order val="3"/>
          <c:tx>
            <c:strRef>
              <c:f>Sheet2!$N$1047</c:f>
              <c:strCache>
                <c:ptCount val="1"/>
                <c:pt idx="0">
                  <c:v>实盘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-6.1274509803921568E-3"/>
                  <c:y val="-7.5901328273244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DA-46F9-B1DA-8905190EB9CA}"/>
                </c:ext>
              </c:extLst>
            </c:dLbl>
            <c:dLbl>
              <c:idx val="39"/>
              <c:layout>
                <c:manualLayout>
                  <c:x val="-1.3480392156862746E-2"/>
                  <c:y val="-8.60215053763440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DA-46F9-B1DA-8905190EB9CA}"/>
                </c:ext>
              </c:extLst>
            </c:dLbl>
            <c:dLbl>
              <c:idx val="61"/>
              <c:layout>
                <c:manualLayout>
                  <c:x val="-9.8039215686274508E-3"/>
                  <c:y val="-0.103731815306767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DA-46F9-B1DA-8905190EB9CA}"/>
                </c:ext>
              </c:extLst>
            </c:dLbl>
            <c:dLbl>
              <c:idx val="77"/>
              <c:layout>
                <c:manualLayout>
                  <c:x val="-3.6764705882351145E-3"/>
                  <c:y val="-9.1081593927893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DA-46F9-B1DA-8905190EB9CA}"/>
                </c:ext>
              </c:extLst>
            </c:dLbl>
            <c:dLbl>
              <c:idx val="98"/>
              <c:layout>
                <c:manualLayout>
                  <c:x val="-7.9500283929585455E-3"/>
                  <c:y val="-6.83111954459203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E3-4545-B4E1-B16DF22AE6D4}"/>
                </c:ext>
              </c:extLst>
            </c:dLbl>
            <c:dLbl>
              <c:idx val="120"/>
              <c:layout>
                <c:manualLayout>
                  <c:x val="-7.9500283929585455E-3"/>
                  <c:y val="-7.59013282732447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BA-4A80-B5F9-F3AF3FDA5672}"/>
                </c:ext>
              </c:extLst>
            </c:dLbl>
            <c:dLbl>
              <c:idx val="141"/>
              <c:layout>
                <c:manualLayout>
                  <c:x val="-9.0857467348097673E-3"/>
                  <c:y val="-0.103731815306767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99-44CA-B779-CA08512001E0}"/>
                </c:ext>
              </c:extLst>
            </c:dLbl>
            <c:dLbl>
              <c:idx val="156"/>
              <c:layout>
                <c:manualLayout>
                  <c:x val="-2.1578648495173196E-2"/>
                  <c:y val="4.8070841239721697E-2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B9-47BE-A7C0-061D7C216016}"/>
                </c:ext>
              </c:extLst>
            </c:dLbl>
            <c:dLbl>
              <c:idx val="179"/>
              <c:layout>
                <c:manualLayout>
                  <c:x val="-4.3199486140181848E-2"/>
                  <c:y val="5.3130929791271299E-2"/>
                </c:manualLayout>
              </c:layout>
              <c:numFmt formatCode="#,##0.0000_ 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B1-4F54-A7A3-639961B6A67A}"/>
                </c:ext>
              </c:extLst>
            </c:dLbl>
            <c:dLbl>
              <c:idx val="200"/>
              <c:layout>
                <c:manualLayout>
                  <c:x val="-4.5007032348804502E-2"/>
                  <c:y val="6.5781151170145477E-2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1A-42EA-968E-1C971CF8D232}"/>
                </c:ext>
              </c:extLst>
            </c:dLbl>
            <c:dLbl>
              <c:idx val="217"/>
              <c:layout>
                <c:manualLayout>
                  <c:x val="-4.6132208157524612E-2"/>
                  <c:y val="6.5781151170145435E-2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8F-4EDE-B911-F7E95B1E3AC4}"/>
                </c:ext>
              </c:extLst>
            </c:dLbl>
            <c:dLbl>
              <c:idx val="239"/>
              <c:layout>
                <c:manualLayout>
                  <c:x val="-4.2756680731364273E-2"/>
                  <c:y val="6.0721062618595827E-2"/>
                </c:manualLayout>
              </c:layout>
              <c:numFmt formatCode="#,##0.0000_);[Red]\(#,##0.0000\)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49-4CED-90A1-45AF70B04DBC}"/>
                </c:ext>
              </c:extLst>
            </c:dLbl>
            <c:dLbl>
              <c:idx val="261"/>
              <c:layout>
                <c:manualLayout>
                  <c:x val="-4.3881856540084391E-2"/>
                  <c:y val="5.31309297912713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A6-4AE4-A329-873CF77A39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Sheet2!$A$1048:$A$1309</c:f>
              <c:numCache>
                <c:formatCode>yyyy\-mm\-dd;@</c:formatCode>
                <c:ptCount val="262"/>
                <c:pt idx="0">
                  <c:v>44019</c:v>
                </c:pt>
                <c:pt idx="1">
                  <c:v>44020</c:v>
                </c:pt>
                <c:pt idx="2">
                  <c:v>44021</c:v>
                </c:pt>
                <c:pt idx="3">
                  <c:v>44022</c:v>
                </c:pt>
                <c:pt idx="4">
                  <c:v>44025</c:v>
                </c:pt>
                <c:pt idx="5">
                  <c:v>44026</c:v>
                </c:pt>
                <c:pt idx="6">
                  <c:v>44027</c:v>
                </c:pt>
                <c:pt idx="7">
                  <c:v>44028</c:v>
                </c:pt>
                <c:pt idx="8">
                  <c:v>44029</c:v>
                </c:pt>
                <c:pt idx="9">
                  <c:v>44032</c:v>
                </c:pt>
                <c:pt idx="10">
                  <c:v>44033</c:v>
                </c:pt>
                <c:pt idx="11">
                  <c:v>44034</c:v>
                </c:pt>
                <c:pt idx="12">
                  <c:v>44035</c:v>
                </c:pt>
                <c:pt idx="13">
                  <c:v>44036</c:v>
                </c:pt>
                <c:pt idx="14">
                  <c:v>44039</c:v>
                </c:pt>
                <c:pt idx="15">
                  <c:v>44040</c:v>
                </c:pt>
                <c:pt idx="16">
                  <c:v>44041</c:v>
                </c:pt>
                <c:pt idx="17">
                  <c:v>44042</c:v>
                </c:pt>
                <c:pt idx="18">
                  <c:v>44043</c:v>
                </c:pt>
                <c:pt idx="19">
                  <c:v>44046</c:v>
                </c:pt>
                <c:pt idx="20">
                  <c:v>44047</c:v>
                </c:pt>
                <c:pt idx="21">
                  <c:v>44048</c:v>
                </c:pt>
                <c:pt idx="22">
                  <c:v>44049</c:v>
                </c:pt>
                <c:pt idx="23">
                  <c:v>44050</c:v>
                </c:pt>
                <c:pt idx="24">
                  <c:v>44053</c:v>
                </c:pt>
                <c:pt idx="25">
                  <c:v>44054</c:v>
                </c:pt>
                <c:pt idx="26">
                  <c:v>44055</c:v>
                </c:pt>
                <c:pt idx="27">
                  <c:v>44056</c:v>
                </c:pt>
                <c:pt idx="28">
                  <c:v>44057</c:v>
                </c:pt>
                <c:pt idx="29">
                  <c:v>44060</c:v>
                </c:pt>
                <c:pt idx="30">
                  <c:v>44061</c:v>
                </c:pt>
                <c:pt idx="31">
                  <c:v>44062</c:v>
                </c:pt>
                <c:pt idx="32">
                  <c:v>44063</c:v>
                </c:pt>
                <c:pt idx="33">
                  <c:v>44064</c:v>
                </c:pt>
                <c:pt idx="34">
                  <c:v>44067</c:v>
                </c:pt>
                <c:pt idx="35">
                  <c:v>44068</c:v>
                </c:pt>
                <c:pt idx="36">
                  <c:v>44069</c:v>
                </c:pt>
                <c:pt idx="37">
                  <c:v>44070</c:v>
                </c:pt>
                <c:pt idx="38">
                  <c:v>44071</c:v>
                </c:pt>
                <c:pt idx="39">
                  <c:v>44074</c:v>
                </c:pt>
                <c:pt idx="40">
                  <c:v>44075</c:v>
                </c:pt>
                <c:pt idx="41">
                  <c:v>44076</c:v>
                </c:pt>
                <c:pt idx="42">
                  <c:v>44077</c:v>
                </c:pt>
                <c:pt idx="43">
                  <c:v>44078</c:v>
                </c:pt>
                <c:pt idx="44">
                  <c:v>44081</c:v>
                </c:pt>
                <c:pt idx="45">
                  <c:v>44082</c:v>
                </c:pt>
                <c:pt idx="46">
                  <c:v>44083</c:v>
                </c:pt>
                <c:pt idx="47">
                  <c:v>44084</c:v>
                </c:pt>
                <c:pt idx="48">
                  <c:v>44085</c:v>
                </c:pt>
                <c:pt idx="49">
                  <c:v>44088</c:v>
                </c:pt>
                <c:pt idx="50">
                  <c:v>44089</c:v>
                </c:pt>
                <c:pt idx="51">
                  <c:v>44090</c:v>
                </c:pt>
                <c:pt idx="52">
                  <c:v>44091</c:v>
                </c:pt>
                <c:pt idx="53">
                  <c:v>44092</c:v>
                </c:pt>
                <c:pt idx="54">
                  <c:v>44095</c:v>
                </c:pt>
                <c:pt idx="55">
                  <c:v>44096</c:v>
                </c:pt>
                <c:pt idx="56">
                  <c:v>44097</c:v>
                </c:pt>
                <c:pt idx="57">
                  <c:v>44098</c:v>
                </c:pt>
                <c:pt idx="58">
                  <c:v>44099</c:v>
                </c:pt>
                <c:pt idx="59">
                  <c:v>44102</c:v>
                </c:pt>
                <c:pt idx="60">
                  <c:v>44103</c:v>
                </c:pt>
                <c:pt idx="61">
                  <c:v>44104</c:v>
                </c:pt>
                <c:pt idx="62">
                  <c:v>44113</c:v>
                </c:pt>
                <c:pt idx="63">
                  <c:v>44116</c:v>
                </c:pt>
                <c:pt idx="64">
                  <c:v>44117</c:v>
                </c:pt>
                <c:pt idx="65">
                  <c:v>44118</c:v>
                </c:pt>
                <c:pt idx="66">
                  <c:v>44119</c:v>
                </c:pt>
                <c:pt idx="67">
                  <c:v>44120</c:v>
                </c:pt>
                <c:pt idx="68">
                  <c:v>44123</c:v>
                </c:pt>
                <c:pt idx="69">
                  <c:v>44124</c:v>
                </c:pt>
                <c:pt idx="70">
                  <c:v>44125</c:v>
                </c:pt>
                <c:pt idx="71">
                  <c:v>44126</c:v>
                </c:pt>
                <c:pt idx="72">
                  <c:v>44127</c:v>
                </c:pt>
                <c:pt idx="73">
                  <c:v>44130</c:v>
                </c:pt>
                <c:pt idx="74">
                  <c:v>44131</c:v>
                </c:pt>
                <c:pt idx="75">
                  <c:v>44132</c:v>
                </c:pt>
                <c:pt idx="76">
                  <c:v>44133</c:v>
                </c:pt>
                <c:pt idx="77">
                  <c:v>44134</c:v>
                </c:pt>
                <c:pt idx="78">
                  <c:v>44137</c:v>
                </c:pt>
                <c:pt idx="79">
                  <c:v>44138</c:v>
                </c:pt>
                <c:pt idx="80">
                  <c:v>44139</c:v>
                </c:pt>
                <c:pt idx="81">
                  <c:v>44140</c:v>
                </c:pt>
                <c:pt idx="82">
                  <c:v>44141</c:v>
                </c:pt>
                <c:pt idx="83">
                  <c:v>44144</c:v>
                </c:pt>
                <c:pt idx="84">
                  <c:v>44145</c:v>
                </c:pt>
                <c:pt idx="85">
                  <c:v>44146</c:v>
                </c:pt>
                <c:pt idx="86">
                  <c:v>44147</c:v>
                </c:pt>
                <c:pt idx="87">
                  <c:v>44148</c:v>
                </c:pt>
                <c:pt idx="88">
                  <c:v>44151</c:v>
                </c:pt>
                <c:pt idx="89">
                  <c:v>44152</c:v>
                </c:pt>
                <c:pt idx="90">
                  <c:v>44153</c:v>
                </c:pt>
                <c:pt idx="91">
                  <c:v>44154</c:v>
                </c:pt>
                <c:pt idx="92">
                  <c:v>44155</c:v>
                </c:pt>
                <c:pt idx="93">
                  <c:v>44158</c:v>
                </c:pt>
                <c:pt idx="94">
                  <c:v>44159</c:v>
                </c:pt>
                <c:pt idx="95">
                  <c:v>44160</c:v>
                </c:pt>
                <c:pt idx="96">
                  <c:v>44161</c:v>
                </c:pt>
                <c:pt idx="97">
                  <c:v>44162</c:v>
                </c:pt>
                <c:pt idx="98">
                  <c:v>44165</c:v>
                </c:pt>
                <c:pt idx="99">
                  <c:v>44166</c:v>
                </c:pt>
                <c:pt idx="100">
                  <c:v>44167</c:v>
                </c:pt>
                <c:pt idx="101">
                  <c:v>44168</c:v>
                </c:pt>
                <c:pt idx="102">
                  <c:v>44169</c:v>
                </c:pt>
                <c:pt idx="103">
                  <c:v>44172</c:v>
                </c:pt>
                <c:pt idx="104">
                  <c:v>44173</c:v>
                </c:pt>
                <c:pt idx="105">
                  <c:v>44174</c:v>
                </c:pt>
                <c:pt idx="106">
                  <c:v>44175</c:v>
                </c:pt>
                <c:pt idx="107">
                  <c:v>44176</c:v>
                </c:pt>
                <c:pt idx="108">
                  <c:v>44179</c:v>
                </c:pt>
                <c:pt idx="109">
                  <c:v>44180</c:v>
                </c:pt>
                <c:pt idx="110">
                  <c:v>44181</c:v>
                </c:pt>
                <c:pt idx="111">
                  <c:v>44182</c:v>
                </c:pt>
                <c:pt idx="112">
                  <c:v>44183</c:v>
                </c:pt>
                <c:pt idx="113">
                  <c:v>44186</c:v>
                </c:pt>
                <c:pt idx="114">
                  <c:v>44187</c:v>
                </c:pt>
                <c:pt idx="115">
                  <c:v>44188</c:v>
                </c:pt>
                <c:pt idx="116">
                  <c:v>44189</c:v>
                </c:pt>
                <c:pt idx="117">
                  <c:v>44190</c:v>
                </c:pt>
                <c:pt idx="118">
                  <c:v>44193</c:v>
                </c:pt>
                <c:pt idx="119">
                  <c:v>44194</c:v>
                </c:pt>
                <c:pt idx="120">
                  <c:v>44195</c:v>
                </c:pt>
                <c:pt idx="121">
                  <c:v>44196</c:v>
                </c:pt>
                <c:pt idx="122">
                  <c:v>44200</c:v>
                </c:pt>
                <c:pt idx="123">
                  <c:v>44201</c:v>
                </c:pt>
                <c:pt idx="124">
                  <c:v>44202</c:v>
                </c:pt>
                <c:pt idx="125">
                  <c:v>44203</c:v>
                </c:pt>
                <c:pt idx="126">
                  <c:v>44204</c:v>
                </c:pt>
                <c:pt idx="127">
                  <c:v>44207</c:v>
                </c:pt>
                <c:pt idx="128">
                  <c:v>44208</c:v>
                </c:pt>
                <c:pt idx="129">
                  <c:v>44209</c:v>
                </c:pt>
                <c:pt idx="130">
                  <c:v>44210</c:v>
                </c:pt>
                <c:pt idx="131">
                  <c:v>44211</c:v>
                </c:pt>
                <c:pt idx="132">
                  <c:v>44214</c:v>
                </c:pt>
                <c:pt idx="133">
                  <c:v>44215</c:v>
                </c:pt>
                <c:pt idx="134">
                  <c:v>44216</c:v>
                </c:pt>
                <c:pt idx="135">
                  <c:v>44217</c:v>
                </c:pt>
                <c:pt idx="136">
                  <c:v>44218</c:v>
                </c:pt>
                <c:pt idx="137">
                  <c:v>44221</c:v>
                </c:pt>
                <c:pt idx="138">
                  <c:v>44222</c:v>
                </c:pt>
                <c:pt idx="139">
                  <c:v>44223</c:v>
                </c:pt>
                <c:pt idx="140">
                  <c:v>44224</c:v>
                </c:pt>
                <c:pt idx="141">
                  <c:v>44225</c:v>
                </c:pt>
                <c:pt idx="142">
                  <c:v>44228</c:v>
                </c:pt>
                <c:pt idx="143">
                  <c:v>44229</c:v>
                </c:pt>
                <c:pt idx="144">
                  <c:v>44230</c:v>
                </c:pt>
                <c:pt idx="145">
                  <c:v>44231</c:v>
                </c:pt>
                <c:pt idx="146">
                  <c:v>44232</c:v>
                </c:pt>
                <c:pt idx="147">
                  <c:v>44235</c:v>
                </c:pt>
                <c:pt idx="148">
                  <c:v>44236</c:v>
                </c:pt>
                <c:pt idx="149">
                  <c:v>44237</c:v>
                </c:pt>
                <c:pt idx="150">
                  <c:v>44245</c:v>
                </c:pt>
                <c:pt idx="151">
                  <c:v>44246</c:v>
                </c:pt>
                <c:pt idx="152">
                  <c:v>44249</c:v>
                </c:pt>
                <c:pt idx="153">
                  <c:v>44250</c:v>
                </c:pt>
                <c:pt idx="154">
                  <c:v>44251</c:v>
                </c:pt>
                <c:pt idx="155">
                  <c:v>44252</c:v>
                </c:pt>
                <c:pt idx="156">
                  <c:v>44253</c:v>
                </c:pt>
                <c:pt idx="157">
                  <c:v>44256</c:v>
                </c:pt>
                <c:pt idx="158">
                  <c:v>44257</c:v>
                </c:pt>
                <c:pt idx="159">
                  <c:v>44258</c:v>
                </c:pt>
                <c:pt idx="160">
                  <c:v>44259</c:v>
                </c:pt>
                <c:pt idx="161">
                  <c:v>44260</c:v>
                </c:pt>
                <c:pt idx="162">
                  <c:v>44263</c:v>
                </c:pt>
                <c:pt idx="163">
                  <c:v>44264</c:v>
                </c:pt>
                <c:pt idx="164">
                  <c:v>44265</c:v>
                </c:pt>
                <c:pt idx="165">
                  <c:v>44266</c:v>
                </c:pt>
                <c:pt idx="166">
                  <c:v>44267</c:v>
                </c:pt>
                <c:pt idx="167">
                  <c:v>44270</c:v>
                </c:pt>
                <c:pt idx="168">
                  <c:v>44271</c:v>
                </c:pt>
                <c:pt idx="169">
                  <c:v>44272</c:v>
                </c:pt>
                <c:pt idx="170">
                  <c:v>44273</c:v>
                </c:pt>
                <c:pt idx="171">
                  <c:v>44274</c:v>
                </c:pt>
                <c:pt idx="172">
                  <c:v>44277</c:v>
                </c:pt>
                <c:pt idx="173">
                  <c:v>44278</c:v>
                </c:pt>
                <c:pt idx="174">
                  <c:v>44279</c:v>
                </c:pt>
                <c:pt idx="175">
                  <c:v>44280</c:v>
                </c:pt>
                <c:pt idx="176">
                  <c:v>44281</c:v>
                </c:pt>
                <c:pt idx="177">
                  <c:v>44284</c:v>
                </c:pt>
                <c:pt idx="178">
                  <c:v>44285</c:v>
                </c:pt>
                <c:pt idx="179">
                  <c:v>44286</c:v>
                </c:pt>
                <c:pt idx="180">
                  <c:v>44287</c:v>
                </c:pt>
                <c:pt idx="181">
                  <c:v>44288</c:v>
                </c:pt>
                <c:pt idx="182">
                  <c:v>44292</c:v>
                </c:pt>
                <c:pt idx="183">
                  <c:v>44293</c:v>
                </c:pt>
                <c:pt idx="184">
                  <c:v>44294</c:v>
                </c:pt>
                <c:pt idx="185">
                  <c:v>44295</c:v>
                </c:pt>
                <c:pt idx="186">
                  <c:v>44298</c:v>
                </c:pt>
                <c:pt idx="187">
                  <c:v>44299</c:v>
                </c:pt>
                <c:pt idx="188">
                  <c:v>44300</c:v>
                </c:pt>
                <c:pt idx="189">
                  <c:v>44301</c:v>
                </c:pt>
                <c:pt idx="190">
                  <c:v>44302</c:v>
                </c:pt>
                <c:pt idx="191">
                  <c:v>44305</c:v>
                </c:pt>
                <c:pt idx="192">
                  <c:v>44306</c:v>
                </c:pt>
                <c:pt idx="193">
                  <c:v>44307</c:v>
                </c:pt>
                <c:pt idx="194">
                  <c:v>44308</c:v>
                </c:pt>
                <c:pt idx="195">
                  <c:v>44309</c:v>
                </c:pt>
                <c:pt idx="196">
                  <c:v>44312</c:v>
                </c:pt>
                <c:pt idx="197">
                  <c:v>44313</c:v>
                </c:pt>
                <c:pt idx="198">
                  <c:v>44314</c:v>
                </c:pt>
                <c:pt idx="199">
                  <c:v>44315</c:v>
                </c:pt>
                <c:pt idx="200">
                  <c:v>44316</c:v>
                </c:pt>
                <c:pt idx="201">
                  <c:v>44322</c:v>
                </c:pt>
                <c:pt idx="202">
                  <c:v>44323</c:v>
                </c:pt>
                <c:pt idx="203">
                  <c:v>44326</c:v>
                </c:pt>
                <c:pt idx="204">
                  <c:v>44327</c:v>
                </c:pt>
                <c:pt idx="205">
                  <c:v>44328</c:v>
                </c:pt>
                <c:pt idx="206">
                  <c:v>44329</c:v>
                </c:pt>
                <c:pt idx="207">
                  <c:v>44330</c:v>
                </c:pt>
                <c:pt idx="208">
                  <c:v>44333</c:v>
                </c:pt>
                <c:pt idx="209">
                  <c:v>44334</c:v>
                </c:pt>
                <c:pt idx="210">
                  <c:v>44335</c:v>
                </c:pt>
                <c:pt idx="211">
                  <c:v>44336</c:v>
                </c:pt>
                <c:pt idx="212">
                  <c:v>44337</c:v>
                </c:pt>
                <c:pt idx="213">
                  <c:v>44340</c:v>
                </c:pt>
                <c:pt idx="214">
                  <c:v>44341</c:v>
                </c:pt>
                <c:pt idx="215">
                  <c:v>44342</c:v>
                </c:pt>
                <c:pt idx="216">
                  <c:v>44343</c:v>
                </c:pt>
                <c:pt idx="217">
                  <c:v>44344</c:v>
                </c:pt>
                <c:pt idx="218">
                  <c:v>44347</c:v>
                </c:pt>
                <c:pt idx="219">
                  <c:v>44348</c:v>
                </c:pt>
                <c:pt idx="220">
                  <c:v>44349</c:v>
                </c:pt>
                <c:pt idx="221">
                  <c:v>44350</c:v>
                </c:pt>
                <c:pt idx="222">
                  <c:v>44351</c:v>
                </c:pt>
                <c:pt idx="223">
                  <c:v>44354</c:v>
                </c:pt>
                <c:pt idx="224">
                  <c:v>44355</c:v>
                </c:pt>
                <c:pt idx="225">
                  <c:v>44356</c:v>
                </c:pt>
                <c:pt idx="226">
                  <c:v>44357</c:v>
                </c:pt>
                <c:pt idx="227">
                  <c:v>44358</c:v>
                </c:pt>
                <c:pt idx="228">
                  <c:v>44362</c:v>
                </c:pt>
                <c:pt idx="229">
                  <c:v>44363</c:v>
                </c:pt>
                <c:pt idx="230">
                  <c:v>44364</c:v>
                </c:pt>
                <c:pt idx="231">
                  <c:v>44365</c:v>
                </c:pt>
                <c:pt idx="232">
                  <c:v>44368</c:v>
                </c:pt>
                <c:pt idx="233">
                  <c:v>44369</c:v>
                </c:pt>
                <c:pt idx="234">
                  <c:v>44370</c:v>
                </c:pt>
                <c:pt idx="235">
                  <c:v>44371</c:v>
                </c:pt>
                <c:pt idx="236">
                  <c:v>44372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 formatCode="m/d/yyyy">
                  <c:v>44378</c:v>
                </c:pt>
                <c:pt idx="241" formatCode="m/d/yyyy">
                  <c:v>44379</c:v>
                </c:pt>
                <c:pt idx="242" formatCode="m/d/yyyy">
                  <c:v>44382</c:v>
                </c:pt>
                <c:pt idx="243" formatCode="m/d/yyyy">
                  <c:v>44383</c:v>
                </c:pt>
                <c:pt idx="244" formatCode="m/d/yyyy">
                  <c:v>44384</c:v>
                </c:pt>
                <c:pt idx="245" formatCode="m/d/yyyy">
                  <c:v>44385</c:v>
                </c:pt>
                <c:pt idx="246" formatCode="m/d/yyyy">
                  <c:v>44386</c:v>
                </c:pt>
                <c:pt idx="247" formatCode="m/d/yyyy">
                  <c:v>44389</c:v>
                </c:pt>
                <c:pt idx="248" formatCode="m/d/yyyy">
                  <c:v>44390</c:v>
                </c:pt>
                <c:pt idx="249" formatCode="m/d/yyyy">
                  <c:v>44391</c:v>
                </c:pt>
                <c:pt idx="250" formatCode="m/d/yyyy">
                  <c:v>44392</c:v>
                </c:pt>
                <c:pt idx="251" formatCode="m/d/yyyy">
                  <c:v>44393</c:v>
                </c:pt>
                <c:pt idx="252" formatCode="m/d/yyyy">
                  <c:v>44396</c:v>
                </c:pt>
                <c:pt idx="253" formatCode="m/d/yyyy">
                  <c:v>44397</c:v>
                </c:pt>
                <c:pt idx="254" formatCode="m/d/yyyy">
                  <c:v>44398</c:v>
                </c:pt>
                <c:pt idx="255" formatCode="m/d/yyyy">
                  <c:v>44399</c:v>
                </c:pt>
                <c:pt idx="256" formatCode="m/d/yyyy">
                  <c:v>44400</c:v>
                </c:pt>
                <c:pt idx="257" formatCode="m/d/yyyy">
                  <c:v>44403</c:v>
                </c:pt>
                <c:pt idx="258" formatCode="m/d/yyyy">
                  <c:v>44404</c:v>
                </c:pt>
                <c:pt idx="259" formatCode="m/d/yyyy">
                  <c:v>44405</c:v>
                </c:pt>
                <c:pt idx="260" formatCode="m/d/yyyy">
                  <c:v>44406</c:v>
                </c:pt>
                <c:pt idx="261" formatCode="m/d/yyyy">
                  <c:v>44407</c:v>
                </c:pt>
              </c:numCache>
            </c:numRef>
          </c:cat>
          <c:val>
            <c:numRef>
              <c:f>Sheet2!$N$1048:$N$1309</c:f>
              <c:numCache>
                <c:formatCode>General</c:formatCode>
                <c:ptCount val="262"/>
                <c:pt idx="0">
                  <c:v>1</c:v>
                </c:pt>
                <c:pt idx="1">
                  <c:v>0.99450000000000005</c:v>
                </c:pt>
                <c:pt idx="2">
                  <c:v>1.0004999999999999</c:v>
                </c:pt>
                <c:pt idx="3">
                  <c:v>1.0018</c:v>
                </c:pt>
                <c:pt idx="4">
                  <c:v>1.0243</c:v>
                </c:pt>
                <c:pt idx="5">
                  <c:v>1.0266</c:v>
                </c:pt>
                <c:pt idx="6">
                  <c:v>1.0241</c:v>
                </c:pt>
                <c:pt idx="7">
                  <c:v>0.97549999999999992</c:v>
                </c:pt>
                <c:pt idx="8">
                  <c:v>1.0122</c:v>
                </c:pt>
                <c:pt idx="9">
                  <c:v>1.0065</c:v>
                </c:pt>
                <c:pt idx="10">
                  <c:v>1.0177</c:v>
                </c:pt>
                <c:pt idx="11">
                  <c:v>1.0202</c:v>
                </c:pt>
                <c:pt idx="12">
                  <c:v>1.0179</c:v>
                </c:pt>
                <c:pt idx="13">
                  <c:v>0.97659999999999991</c:v>
                </c:pt>
                <c:pt idx="14">
                  <c:v>0.99909999999999999</c:v>
                </c:pt>
                <c:pt idx="15">
                  <c:v>1.0051000000000001</c:v>
                </c:pt>
                <c:pt idx="16">
                  <c:v>0.99900000000000011</c:v>
                </c:pt>
                <c:pt idx="17">
                  <c:v>0.99780000000000002</c:v>
                </c:pt>
                <c:pt idx="18">
                  <c:v>0.99540000000000006</c:v>
                </c:pt>
                <c:pt idx="19">
                  <c:v>1.0002</c:v>
                </c:pt>
                <c:pt idx="20">
                  <c:v>1.0009999999999999</c:v>
                </c:pt>
                <c:pt idx="21">
                  <c:v>1.0004</c:v>
                </c:pt>
                <c:pt idx="22">
                  <c:v>1.0092000000000001</c:v>
                </c:pt>
                <c:pt idx="23">
                  <c:v>1.0295999999999998</c:v>
                </c:pt>
                <c:pt idx="24">
                  <c:v>1.0424</c:v>
                </c:pt>
                <c:pt idx="25">
                  <c:v>1.0409999999999999</c:v>
                </c:pt>
                <c:pt idx="26">
                  <c:v>1.0551000000000001</c:v>
                </c:pt>
                <c:pt idx="27">
                  <c:v>1.0609</c:v>
                </c:pt>
                <c:pt idx="28">
                  <c:v>1.0632999999999999</c:v>
                </c:pt>
                <c:pt idx="29">
                  <c:v>1.0383</c:v>
                </c:pt>
                <c:pt idx="30">
                  <c:v>1.0476999999999999</c:v>
                </c:pt>
                <c:pt idx="31">
                  <c:v>1.0566</c:v>
                </c:pt>
                <c:pt idx="32">
                  <c:v>1.0639000000000001</c:v>
                </c:pt>
                <c:pt idx="33">
                  <c:v>1.0649</c:v>
                </c:pt>
                <c:pt idx="34">
                  <c:v>1.0793000000000001</c:v>
                </c:pt>
                <c:pt idx="35">
                  <c:v>1.0856000000000001</c:v>
                </c:pt>
                <c:pt idx="36">
                  <c:v>1.0840000000000001</c:v>
                </c:pt>
                <c:pt idx="37">
                  <c:v>1.0949</c:v>
                </c:pt>
                <c:pt idx="38">
                  <c:v>1.0765</c:v>
                </c:pt>
                <c:pt idx="39">
                  <c:v>1.0803</c:v>
                </c:pt>
                <c:pt idx="40">
                  <c:v>1.0880000000000001</c:v>
                </c:pt>
                <c:pt idx="41">
                  <c:v>1.0864</c:v>
                </c:pt>
                <c:pt idx="42">
                  <c:v>1.0926</c:v>
                </c:pt>
                <c:pt idx="43">
                  <c:v>1.0962000000000001</c:v>
                </c:pt>
                <c:pt idx="44">
                  <c:v>1.1018999999999999</c:v>
                </c:pt>
                <c:pt idx="45">
                  <c:v>1.1042000000000001</c:v>
                </c:pt>
                <c:pt idx="46">
                  <c:v>1.0956000000000001</c:v>
                </c:pt>
                <c:pt idx="47">
                  <c:v>1.107</c:v>
                </c:pt>
                <c:pt idx="48">
                  <c:v>1.1157999999999999</c:v>
                </c:pt>
                <c:pt idx="49">
                  <c:v>1.1238999999999999</c:v>
                </c:pt>
                <c:pt idx="50">
                  <c:v>1.1266</c:v>
                </c:pt>
                <c:pt idx="51">
                  <c:v>1.1279999999999999</c:v>
                </c:pt>
                <c:pt idx="52">
                  <c:v>1.1268</c:v>
                </c:pt>
                <c:pt idx="53">
                  <c:v>1.1200000000000001</c:v>
                </c:pt>
                <c:pt idx="54">
                  <c:v>1.1168</c:v>
                </c:pt>
                <c:pt idx="55">
                  <c:v>1.1113</c:v>
                </c:pt>
                <c:pt idx="56">
                  <c:v>1.1184000000000001</c:v>
                </c:pt>
                <c:pt idx="57">
                  <c:v>1.1121000000000001</c:v>
                </c:pt>
                <c:pt idx="58">
                  <c:v>1.1132</c:v>
                </c:pt>
                <c:pt idx="59">
                  <c:v>1.1139000000000001</c:v>
                </c:pt>
                <c:pt idx="60">
                  <c:v>1.1059999999999999</c:v>
                </c:pt>
                <c:pt idx="61">
                  <c:v>1.1032999999999999</c:v>
                </c:pt>
                <c:pt idx="62">
                  <c:v>1.1338999999999999</c:v>
                </c:pt>
                <c:pt idx="63">
                  <c:v>1.1229</c:v>
                </c:pt>
                <c:pt idx="64">
                  <c:v>1.1274</c:v>
                </c:pt>
                <c:pt idx="65">
                  <c:v>1.1311</c:v>
                </c:pt>
                <c:pt idx="66">
                  <c:v>1.1343000000000001</c:v>
                </c:pt>
                <c:pt idx="67">
                  <c:v>1.1396999999999999</c:v>
                </c:pt>
                <c:pt idx="68">
                  <c:v>1.1469</c:v>
                </c:pt>
                <c:pt idx="69">
                  <c:v>1.1514</c:v>
                </c:pt>
                <c:pt idx="70">
                  <c:v>1.1516</c:v>
                </c:pt>
                <c:pt idx="71">
                  <c:v>1.1512</c:v>
                </c:pt>
                <c:pt idx="72">
                  <c:v>1.1512</c:v>
                </c:pt>
                <c:pt idx="73">
                  <c:v>1.1531</c:v>
                </c:pt>
                <c:pt idx="74">
                  <c:v>1.1537999999999999</c:v>
                </c:pt>
                <c:pt idx="75">
                  <c:v>1.1551</c:v>
                </c:pt>
                <c:pt idx="76">
                  <c:v>1.1556999999999999</c:v>
                </c:pt>
                <c:pt idx="77">
                  <c:v>1.1505000000000001</c:v>
                </c:pt>
                <c:pt idx="78">
                  <c:v>1.1506999999999998</c:v>
                </c:pt>
                <c:pt idx="79">
                  <c:v>1.1492</c:v>
                </c:pt>
                <c:pt idx="80">
                  <c:v>1.1556999999999999</c:v>
                </c:pt>
                <c:pt idx="81">
                  <c:v>1.1591</c:v>
                </c:pt>
                <c:pt idx="82">
                  <c:v>1.1616</c:v>
                </c:pt>
                <c:pt idx="83">
                  <c:v>1.1619999999999999</c:v>
                </c:pt>
                <c:pt idx="84">
                  <c:v>1.163</c:v>
                </c:pt>
                <c:pt idx="85">
                  <c:v>1.1667000000000001</c:v>
                </c:pt>
                <c:pt idx="86">
                  <c:v>1.1704999999999999</c:v>
                </c:pt>
                <c:pt idx="87">
                  <c:v>1.1616</c:v>
                </c:pt>
                <c:pt idx="88">
                  <c:v>1.165</c:v>
                </c:pt>
                <c:pt idx="89">
                  <c:v>1.1678999999999999</c:v>
                </c:pt>
                <c:pt idx="90">
                  <c:v>1.1674</c:v>
                </c:pt>
                <c:pt idx="91">
                  <c:v>1.1671</c:v>
                </c:pt>
                <c:pt idx="92">
                  <c:v>1.1715</c:v>
                </c:pt>
                <c:pt idx="93">
                  <c:v>1.1697</c:v>
                </c:pt>
                <c:pt idx="94">
                  <c:v>1.1708000000000001</c:v>
                </c:pt>
                <c:pt idx="95">
                  <c:v>1.1723999999999999</c:v>
                </c:pt>
                <c:pt idx="96">
                  <c:v>1.1784999999999999</c:v>
                </c:pt>
                <c:pt idx="97">
                  <c:v>1.1762999999999999</c:v>
                </c:pt>
                <c:pt idx="98">
                  <c:v>1.1797</c:v>
                </c:pt>
                <c:pt idx="99">
                  <c:v>1.157</c:v>
                </c:pt>
                <c:pt idx="100">
                  <c:v>1.1581000000000001</c:v>
                </c:pt>
                <c:pt idx="101">
                  <c:v>1.1701999999999999</c:v>
                </c:pt>
                <c:pt idx="102">
                  <c:v>1.1704999999999999</c:v>
                </c:pt>
                <c:pt idx="103">
                  <c:v>1.1735</c:v>
                </c:pt>
                <c:pt idx="104">
                  <c:v>1.1734</c:v>
                </c:pt>
                <c:pt idx="105">
                  <c:v>1.1723000000000001</c:v>
                </c:pt>
                <c:pt idx="106">
                  <c:v>1.1717</c:v>
                </c:pt>
                <c:pt idx="107">
                  <c:v>1.1757</c:v>
                </c:pt>
                <c:pt idx="108">
                  <c:v>1.2065000000000001</c:v>
                </c:pt>
                <c:pt idx="109">
                  <c:v>1.2061999999999999</c:v>
                </c:pt>
                <c:pt idx="110">
                  <c:v>1.2060999999999999</c:v>
                </c:pt>
                <c:pt idx="111">
                  <c:v>1.2039</c:v>
                </c:pt>
                <c:pt idx="112">
                  <c:v>1.2046999999999999</c:v>
                </c:pt>
                <c:pt idx="113">
                  <c:v>1.2045000000000001</c:v>
                </c:pt>
                <c:pt idx="114">
                  <c:v>1.204</c:v>
                </c:pt>
                <c:pt idx="115">
                  <c:v>1.2040999999999999</c:v>
                </c:pt>
                <c:pt idx="116">
                  <c:v>1.2040999999999999</c:v>
                </c:pt>
                <c:pt idx="117">
                  <c:v>1.2039</c:v>
                </c:pt>
                <c:pt idx="118">
                  <c:v>1.2038</c:v>
                </c:pt>
                <c:pt idx="119">
                  <c:v>1.2038</c:v>
                </c:pt>
                <c:pt idx="120">
                  <c:v>1.2011000000000001</c:v>
                </c:pt>
                <c:pt idx="121">
                  <c:v>1.1926000000000001</c:v>
                </c:pt>
                <c:pt idx="122">
                  <c:v>1.1944000000000001</c:v>
                </c:pt>
                <c:pt idx="123">
                  <c:v>1.1963000000000001</c:v>
                </c:pt>
                <c:pt idx="124">
                  <c:v>1.1939000000000002</c:v>
                </c:pt>
                <c:pt idx="125">
                  <c:v>1.1904900000000003</c:v>
                </c:pt>
                <c:pt idx="126">
                  <c:v>1.1882900000000003</c:v>
                </c:pt>
                <c:pt idx="127">
                  <c:v>1.1969600000000002</c:v>
                </c:pt>
                <c:pt idx="128">
                  <c:v>1.1606600000000002</c:v>
                </c:pt>
                <c:pt idx="129">
                  <c:v>1.1583600000000003</c:v>
                </c:pt>
                <c:pt idx="130">
                  <c:v>1.1554300000000002</c:v>
                </c:pt>
                <c:pt idx="131">
                  <c:v>1.1663300000000003</c:v>
                </c:pt>
                <c:pt idx="132">
                  <c:v>1.1706000000000003</c:v>
                </c:pt>
                <c:pt idx="133">
                  <c:v>1.1666400000000003</c:v>
                </c:pt>
                <c:pt idx="134">
                  <c:v>1.1678900000000003</c:v>
                </c:pt>
                <c:pt idx="135">
                  <c:v>1.1647100000000004</c:v>
                </c:pt>
                <c:pt idx="136">
                  <c:v>1.1697800000000003</c:v>
                </c:pt>
                <c:pt idx="137">
                  <c:v>1.1695600000000004</c:v>
                </c:pt>
                <c:pt idx="138">
                  <c:v>1.1680900000000003</c:v>
                </c:pt>
                <c:pt idx="139">
                  <c:v>1.1699800000000002</c:v>
                </c:pt>
                <c:pt idx="140">
                  <c:v>1.1648000000000003</c:v>
                </c:pt>
                <c:pt idx="141">
                  <c:v>1.1613000000000002</c:v>
                </c:pt>
                <c:pt idx="142">
                  <c:v>1.1699200000000003</c:v>
                </c:pt>
                <c:pt idx="143">
                  <c:v>1.1843300000000003</c:v>
                </c:pt>
                <c:pt idx="144">
                  <c:v>1.1907400000000004</c:v>
                </c:pt>
                <c:pt idx="145">
                  <c:v>1.1905600000000003</c:v>
                </c:pt>
                <c:pt idx="146">
                  <c:v>1.1940500000000003</c:v>
                </c:pt>
                <c:pt idx="147">
                  <c:v>1.1980500000000003</c:v>
                </c:pt>
                <c:pt idx="148">
                  <c:v>1.1931500000000004</c:v>
                </c:pt>
                <c:pt idx="149">
                  <c:v>1.1830300000000002</c:v>
                </c:pt>
                <c:pt idx="150">
                  <c:v>1.1890900000000002</c:v>
                </c:pt>
                <c:pt idx="151">
                  <c:v>1.2027400000000004</c:v>
                </c:pt>
                <c:pt idx="152">
                  <c:v>1.1937300000000002</c:v>
                </c:pt>
                <c:pt idx="153">
                  <c:v>1.1929100000000004</c:v>
                </c:pt>
                <c:pt idx="154">
                  <c:v>1.1889200000000002</c:v>
                </c:pt>
                <c:pt idx="155">
                  <c:v>1.1965900000000003</c:v>
                </c:pt>
                <c:pt idx="156">
                  <c:v>1.1800600000000003</c:v>
                </c:pt>
                <c:pt idx="157">
                  <c:v>1.2015900000000004</c:v>
                </c:pt>
                <c:pt idx="158">
                  <c:v>1.2036000000000002</c:v>
                </c:pt>
                <c:pt idx="159">
                  <c:v>1.2037800000000003</c:v>
                </c:pt>
                <c:pt idx="160">
                  <c:v>1.1994900000000002</c:v>
                </c:pt>
                <c:pt idx="161">
                  <c:v>1.1997700000000002</c:v>
                </c:pt>
                <c:pt idx="162">
                  <c:v>1.1586500000000002</c:v>
                </c:pt>
                <c:pt idx="163">
                  <c:v>1.1620800000000002</c:v>
                </c:pt>
                <c:pt idx="164">
                  <c:v>1.1775100000000003</c:v>
                </c:pt>
                <c:pt idx="165">
                  <c:v>1.1959400000000002</c:v>
                </c:pt>
                <c:pt idx="166">
                  <c:v>1.2003650000000003</c:v>
                </c:pt>
                <c:pt idx="167">
                  <c:v>1.1955300000000002</c:v>
                </c:pt>
                <c:pt idx="168">
                  <c:v>1.1977300000000002</c:v>
                </c:pt>
                <c:pt idx="169">
                  <c:v>1.1961500000000003</c:v>
                </c:pt>
                <c:pt idx="170">
                  <c:v>1.1993000000000003</c:v>
                </c:pt>
                <c:pt idx="171">
                  <c:v>1.1954100000000003</c:v>
                </c:pt>
                <c:pt idx="172">
                  <c:v>1.1930300000000003</c:v>
                </c:pt>
                <c:pt idx="173">
                  <c:v>1.1918700000000002</c:v>
                </c:pt>
                <c:pt idx="174">
                  <c:v>1.1926800000000002</c:v>
                </c:pt>
                <c:pt idx="175">
                  <c:v>1.1907800000000002</c:v>
                </c:pt>
                <c:pt idx="176">
                  <c:v>1.1900150000000003</c:v>
                </c:pt>
                <c:pt idx="177">
                  <c:v>1.1886900000000002</c:v>
                </c:pt>
                <c:pt idx="178">
                  <c:v>1.1886700000000003</c:v>
                </c:pt>
                <c:pt idx="179">
                  <c:v>1.1881450000000002</c:v>
                </c:pt>
                <c:pt idx="180">
                  <c:v>1.1869850000000002</c:v>
                </c:pt>
                <c:pt idx="181">
                  <c:v>1.1874000000000002</c:v>
                </c:pt>
                <c:pt idx="182">
                  <c:v>1.1860900000000003</c:v>
                </c:pt>
                <c:pt idx="183">
                  <c:v>1.1854050000000003</c:v>
                </c:pt>
                <c:pt idx="184">
                  <c:v>1.1837750000000002</c:v>
                </c:pt>
                <c:pt idx="185">
                  <c:v>1.1849150000000002</c:v>
                </c:pt>
                <c:pt idx="186">
                  <c:v>1.1885200000000002</c:v>
                </c:pt>
                <c:pt idx="187">
                  <c:v>1.1865200000000002</c:v>
                </c:pt>
                <c:pt idx="188">
                  <c:v>1.1848650000000003</c:v>
                </c:pt>
                <c:pt idx="189">
                  <c:v>1.1852900000000002</c:v>
                </c:pt>
                <c:pt idx="190">
                  <c:v>1.1831450000000003</c:v>
                </c:pt>
                <c:pt idx="191">
                  <c:v>1.1907500000000002</c:v>
                </c:pt>
                <c:pt idx="192">
                  <c:v>1.1901950000000003</c:v>
                </c:pt>
                <c:pt idx="193">
                  <c:v>1.1896550000000004</c:v>
                </c:pt>
                <c:pt idx="194">
                  <c:v>1.1896700000000002</c:v>
                </c:pt>
                <c:pt idx="195">
                  <c:v>1.1893800000000003</c:v>
                </c:pt>
                <c:pt idx="196">
                  <c:v>1.1881100000000002</c:v>
                </c:pt>
                <c:pt idx="197">
                  <c:v>1.1891650000000002</c:v>
                </c:pt>
                <c:pt idx="198">
                  <c:v>1.1907250000000003</c:v>
                </c:pt>
                <c:pt idx="199">
                  <c:v>1.1913100000000003</c:v>
                </c:pt>
                <c:pt idx="200">
                  <c:v>1.1917500000000003</c:v>
                </c:pt>
                <c:pt idx="201">
                  <c:v>1.1952900000000002</c:v>
                </c:pt>
                <c:pt idx="202">
                  <c:v>1.1948700000000003</c:v>
                </c:pt>
                <c:pt idx="203">
                  <c:v>1.1973600000000002</c:v>
                </c:pt>
                <c:pt idx="204">
                  <c:v>1.1969500000000002</c:v>
                </c:pt>
                <c:pt idx="205">
                  <c:v>1.1966900000000003</c:v>
                </c:pt>
                <c:pt idx="206">
                  <c:v>1.1958650000000002</c:v>
                </c:pt>
                <c:pt idx="207">
                  <c:v>1.1876600000000002</c:v>
                </c:pt>
                <c:pt idx="208">
                  <c:v>1.1842800000000002</c:v>
                </c:pt>
                <c:pt idx="209">
                  <c:v>1.1848250000000002</c:v>
                </c:pt>
                <c:pt idx="210">
                  <c:v>1.1849900000000002</c:v>
                </c:pt>
                <c:pt idx="211">
                  <c:v>1.1852600000000002</c:v>
                </c:pt>
                <c:pt idx="212">
                  <c:v>1.1864600000000003</c:v>
                </c:pt>
                <c:pt idx="213">
                  <c:v>1.1875450000000003</c:v>
                </c:pt>
                <c:pt idx="214">
                  <c:v>1.1774850000000003</c:v>
                </c:pt>
                <c:pt idx="215">
                  <c:v>1.1779550000000003</c:v>
                </c:pt>
                <c:pt idx="216">
                  <c:v>1.1767450000000004</c:v>
                </c:pt>
                <c:pt idx="217">
                  <c:v>1.1774550000000004</c:v>
                </c:pt>
                <c:pt idx="218">
                  <c:v>1.1773600000000002</c:v>
                </c:pt>
                <c:pt idx="219">
                  <c:v>1.1799800000000003</c:v>
                </c:pt>
                <c:pt idx="220">
                  <c:v>1.1861800000000002</c:v>
                </c:pt>
                <c:pt idx="221">
                  <c:v>1.1897200000000003</c:v>
                </c:pt>
                <c:pt idx="222">
                  <c:v>1.1919300000000004</c:v>
                </c:pt>
                <c:pt idx="223">
                  <c:v>1.1943300000000003</c:v>
                </c:pt>
                <c:pt idx="224">
                  <c:v>1.1942650000000004</c:v>
                </c:pt>
                <c:pt idx="225">
                  <c:v>1.2063050000000002</c:v>
                </c:pt>
                <c:pt idx="226">
                  <c:v>1.2104600000000003</c:v>
                </c:pt>
                <c:pt idx="227">
                  <c:v>1.2105150000000002</c:v>
                </c:pt>
                <c:pt idx="228">
                  <c:v>1.2134200000000002</c:v>
                </c:pt>
                <c:pt idx="229">
                  <c:v>1.2109600000000003</c:v>
                </c:pt>
                <c:pt idx="230">
                  <c:v>1.2165150000000002</c:v>
                </c:pt>
                <c:pt idx="231">
                  <c:v>1.2173700000000003</c:v>
                </c:pt>
                <c:pt idx="232">
                  <c:v>1.2180050000000002</c:v>
                </c:pt>
                <c:pt idx="233">
                  <c:v>1.2182800000000003</c:v>
                </c:pt>
                <c:pt idx="234">
                  <c:v>1.2202550000000003</c:v>
                </c:pt>
                <c:pt idx="235">
                  <c:v>1.2208750000000004</c:v>
                </c:pt>
                <c:pt idx="236">
                  <c:v>1.2179550000000003</c:v>
                </c:pt>
                <c:pt idx="237">
                  <c:v>1.2179550000000003</c:v>
                </c:pt>
                <c:pt idx="238">
                  <c:v>1.2188400000000004</c:v>
                </c:pt>
                <c:pt idx="239">
                  <c:v>1.2182200000000003</c:v>
                </c:pt>
                <c:pt idx="240">
                  <c:v>1.2180600000000004</c:v>
                </c:pt>
                <c:pt idx="241">
                  <c:v>1.2129950000000003</c:v>
                </c:pt>
                <c:pt idx="242">
                  <c:v>1.2156550000000004</c:v>
                </c:pt>
                <c:pt idx="243">
                  <c:v>1.2158450000000003</c:v>
                </c:pt>
                <c:pt idx="244">
                  <c:v>1.2122350000000002</c:v>
                </c:pt>
                <c:pt idx="245">
                  <c:v>1.2113950000000002</c:v>
                </c:pt>
                <c:pt idx="246">
                  <c:v>1.2117550000000004</c:v>
                </c:pt>
                <c:pt idx="247">
                  <c:v>1.2117750000000003</c:v>
                </c:pt>
                <c:pt idx="248">
                  <c:v>1.2130000000000003</c:v>
                </c:pt>
                <c:pt idx="249">
                  <c:v>1.2128150000000002</c:v>
                </c:pt>
                <c:pt idx="250">
                  <c:v>1.2136800000000003</c:v>
                </c:pt>
                <c:pt idx="251">
                  <c:v>1.2121750000000002</c:v>
                </c:pt>
                <c:pt idx="252">
                  <c:v>1.2146600000000003</c:v>
                </c:pt>
                <c:pt idx="253">
                  <c:v>1.2140500000000003</c:v>
                </c:pt>
                <c:pt idx="254">
                  <c:v>1.2148450000000002</c:v>
                </c:pt>
                <c:pt idx="255">
                  <c:v>1.2155900000000002</c:v>
                </c:pt>
                <c:pt idx="256">
                  <c:v>1.2158700000000002</c:v>
                </c:pt>
                <c:pt idx="257">
                  <c:v>1.2064300000000003</c:v>
                </c:pt>
                <c:pt idx="258">
                  <c:v>1.1891500000000004</c:v>
                </c:pt>
                <c:pt idx="259">
                  <c:v>1.1934100000000003</c:v>
                </c:pt>
                <c:pt idx="260">
                  <c:v>1.1961150000000003</c:v>
                </c:pt>
                <c:pt idx="261">
                  <c:v>1.1981400000000002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C-411E-9742-2265DEDB1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7580488"/>
        <c:axId val="1567585736"/>
      </c:lineChart>
      <c:lineChart>
        <c:grouping val="standard"/>
        <c:varyColors val="0"/>
        <c:ser>
          <c:idx val="4"/>
          <c:order val="4"/>
          <c:tx>
            <c:strRef>
              <c:f>Sheet2!$O$1047</c:f>
              <c:strCache>
                <c:ptCount val="1"/>
                <c:pt idx="0">
                  <c:v>波动率指数（右轴）</c:v>
                </c:pt>
              </c:strCache>
            </c:strRef>
          </c:tx>
          <c:spPr>
            <a:ln w="28575" cap="flat">
              <a:solidFill>
                <a:schemeClr val="accent5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Sheet2!$A$1048:$A$1265</c:f>
              <c:numCache>
                <c:formatCode>yyyy\-mm\-dd;@</c:formatCode>
                <c:ptCount val="218"/>
                <c:pt idx="0">
                  <c:v>44019</c:v>
                </c:pt>
                <c:pt idx="1">
                  <c:v>44020</c:v>
                </c:pt>
                <c:pt idx="2">
                  <c:v>44021</c:v>
                </c:pt>
                <c:pt idx="3">
                  <c:v>44022</c:v>
                </c:pt>
                <c:pt idx="4">
                  <c:v>44025</c:v>
                </c:pt>
                <c:pt idx="5">
                  <c:v>44026</c:v>
                </c:pt>
                <c:pt idx="6">
                  <c:v>44027</c:v>
                </c:pt>
                <c:pt idx="7">
                  <c:v>44028</c:v>
                </c:pt>
                <c:pt idx="8">
                  <c:v>44029</c:v>
                </c:pt>
                <c:pt idx="9">
                  <c:v>44032</c:v>
                </c:pt>
                <c:pt idx="10">
                  <c:v>44033</c:v>
                </c:pt>
                <c:pt idx="11">
                  <c:v>44034</c:v>
                </c:pt>
                <c:pt idx="12">
                  <c:v>44035</c:v>
                </c:pt>
                <c:pt idx="13">
                  <c:v>44036</c:v>
                </c:pt>
                <c:pt idx="14">
                  <c:v>44039</c:v>
                </c:pt>
                <c:pt idx="15">
                  <c:v>44040</c:v>
                </c:pt>
                <c:pt idx="16">
                  <c:v>44041</c:v>
                </c:pt>
                <c:pt idx="17">
                  <c:v>44042</c:v>
                </c:pt>
                <c:pt idx="18">
                  <c:v>44043</c:v>
                </c:pt>
                <c:pt idx="19">
                  <c:v>44046</c:v>
                </c:pt>
                <c:pt idx="20">
                  <c:v>44047</c:v>
                </c:pt>
                <c:pt idx="21">
                  <c:v>44048</c:v>
                </c:pt>
                <c:pt idx="22">
                  <c:v>44049</c:v>
                </c:pt>
                <c:pt idx="23">
                  <c:v>44050</c:v>
                </c:pt>
                <c:pt idx="24">
                  <c:v>44053</c:v>
                </c:pt>
                <c:pt idx="25">
                  <c:v>44054</c:v>
                </c:pt>
                <c:pt idx="26">
                  <c:v>44055</c:v>
                </c:pt>
                <c:pt idx="27">
                  <c:v>44056</c:v>
                </c:pt>
                <c:pt idx="28">
                  <c:v>44057</c:v>
                </c:pt>
                <c:pt idx="29">
                  <c:v>44060</c:v>
                </c:pt>
                <c:pt idx="30">
                  <c:v>44061</c:v>
                </c:pt>
                <c:pt idx="31">
                  <c:v>44062</c:v>
                </c:pt>
                <c:pt idx="32">
                  <c:v>44063</c:v>
                </c:pt>
                <c:pt idx="33">
                  <c:v>44064</c:v>
                </c:pt>
                <c:pt idx="34">
                  <c:v>44067</c:v>
                </c:pt>
                <c:pt idx="35">
                  <c:v>44068</c:v>
                </c:pt>
                <c:pt idx="36">
                  <c:v>44069</c:v>
                </c:pt>
                <c:pt idx="37">
                  <c:v>44070</c:v>
                </c:pt>
                <c:pt idx="38">
                  <c:v>44071</c:v>
                </c:pt>
                <c:pt idx="39">
                  <c:v>44074</c:v>
                </c:pt>
                <c:pt idx="40">
                  <c:v>44075</c:v>
                </c:pt>
                <c:pt idx="41">
                  <c:v>44076</c:v>
                </c:pt>
                <c:pt idx="42">
                  <c:v>44077</c:v>
                </c:pt>
                <c:pt idx="43">
                  <c:v>44078</c:v>
                </c:pt>
                <c:pt idx="44">
                  <c:v>44081</c:v>
                </c:pt>
                <c:pt idx="45">
                  <c:v>44082</c:v>
                </c:pt>
                <c:pt idx="46">
                  <c:v>44083</c:v>
                </c:pt>
                <c:pt idx="47">
                  <c:v>44084</c:v>
                </c:pt>
                <c:pt idx="48">
                  <c:v>44085</c:v>
                </c:pt>
                <c:pt idx="49">
                  <c:v>44088</c:v>
                </c:pt>
                <c:pt idx="50">
                  <c:v>44089</c:v>
                </c:pt>
                <c:pt idx="51">
                  <c:v>44090</c:v>
                </c:pt>
                <c:pt idx="52">
                  <c:v>44091</c:v>
                </c:pt>
                <c:pt idx="53">
                  <c:v>44092</c:v>
                </c:pt>
                <c:pt idx="54">
                  <c:v>44095</c:v>
                </c:pt>
                <c:pt idx="55">
                  <c:v>44096</c:v>
                </c:pt>
                <c:pt idx="56">
                  <c:v>44097</c:v>
                </c:pt>
                <c:pt idx="57">
                  <c:v>44098</c:v>
                </c:pt>
                <c:pt idx="58">
                  <c:v>44099</c:v>
                </c:pt>
                <c:pt idx="59">
                  <c:v>44102</c:v>
                </c:pt>
                <c:pt idx="60">
                  <c:v>44103</c:v>
                </c:pt>
                <c:pt idx="61">
                  <c:v>44104</c:v>
                </c:pt>
                <c:pt idx="62">
                  <c:v>44113</c:v>
                </c:pt>
                <c:pt idx="63">
                  <c:v>44116</c:v>
                </c:pt>
                <c:pt idx="64">
                  <c:v>44117</c:v>
                </c:pt>
                <c:pt idx="65">
                  <c:v>44118</c:v>
                </c:pt>
                <c:pt idx="66">
                  <c:v>44119</c:v>
                </c:pt>
                <c:pt idx="67">
                  <c:v>44120</c:v>
                </c:pt>
                <c:pt idx="68">
                  <c:v>44123</c:v>
                </c:pt>
                <c:pt idx="69">
                  <c:v>44124</c:v>
                </c:pt>
                <c:pt idx="70">
                  <c:v>44125</c:v>
                </c:pt>
                <c:pt idx="71">
                  <c:v>44126</c:v>
                </c:pt>
                <c:pt idx="72">
                  <c:v>44127</c:v>
                </c:pt>
                <c:pt idx="73">
                  <c:v>44130</c:v>
                </c:pt>
                <c:pt idx="74">
                  <c:v>44131</c:v>
                </c:pt>
                <c:pt idx="75">
                  <c:v>44132</c:v>
                </c:pt>
                <c:pt idx="76">
                  <c:v>44133</c:v>
                </c:pt>
                <c:pt idx="77">
                  <c:v>44134</c:v>
                </c:pt>
                <c:pt idx="78">
                  <c:v>44137</c:v>
                </c:pt>
                <c:pt idx="79">
                  <c:v>44138</c:v>
                </c:pt>
                <c:pt idx="80">
                  <c:v>44139</c:v>
                </c:pt>
                <c:pt idx="81">
                  <c:v>44140</c:v>
                </c:pt>
                <c:pt idx="82">
                  <c:v>44141</c:v>
                </c:pt>
                <c:pt idx="83">
                  <c:v>44144</c:v>
                </c:pt>
                <c:pt idx="84">
                  <c:v>44145</c:v>
                </c:pt>
                <c:pt idx="85">
                  <c:v>44146</c:v>
                </c:pt>
                <c:pt idx="86">
                  <c:v>44147</c:v>
                </c:pt>
                <c:pt idx="87">
                  <c:v>44148</c:v>
                </c:pt>
                <c:pt idx="88">
                  <c:v>44151</c:v>
                </c:pt>
                <c:pt idx="89">
                  <c:v>44152</c:v>
                </c:pt>
                <c:pt idx="90">
                  <c:v>44153</c:v>
                </c:pt>
                <c:pt idx="91">
                  <c:v>44154</c:v>
                </c:pt>
                <c:pt idx="92">
                  <c:v>44155</c:v>
                </c:pt>
                <c:pt idx="93">
                  <c:v>44158</c:v>
                </c:pt>
                <c:pt idx="94">
                  <c:v>44159</c:v>
                </c:pt>
                <c:pt idx="95">
                  <c:v>44160</c:v>
                </c:pt>
                <c:pt idx="96">
                  <c:v>44161</c:v>
                </c:pt>
                <c:pt idx="97">
                  <c:v>44162</c:v>
                </c:pt>
                <c:pt idx="98">
                  <c:v>44165</c:v>
                </c:pt>
                <c:pt idx="99">
                  <c:v>44166</c:v>
                </c:pt>
                <c:pt idx="100">
                  <c:v>44167</c:v>
                </c:pt>
                <c:pt idx="101">
                  <c:v>44168</c:v>
                </c:pt>
                <c:pt idx="102">
                  <c:v>44169</c:v>
                </c:pt>
                <c:pt idx="103">
                  <c:v>44172</c:v>
                </c:pt>
                <c:pt idx="104">
                  <c:v>44173</c:v>
                </c:pt>
                <c:pt idx="105">
                  <c:v>44174</c:v>
                </c:pt>
                <c:pt idx="106">
                  <c:v>44175</c:v>
                </c:pt>
                <c:pt idx="107">
                  <c:v>44176</c:v>
                </c:pt>
                <c:pt idx="108">
                  <c:v>44179</c:v>
                </c:pt>
                <c:pt idx="109">
                  <c:v>44180</c:v>
                </c:pt>
                <c:pt idx="110">
                  <c:v>44181</c:v>
                </c:pt>
                <c:pt idx="111">
                  <c:v>44182</c:v>
                </c:pt>
                <c:pt idx="112">
                  <c:v>44183</c:v>
                </c:pt>
                <c:pt idx="113">
                  <c:v>44186</c:v>
                </c:pt>
                <c:pt idx="114">
                  <c:v>44187</c:v>
                </c:pt>
                <c:pt idx="115">
                  <c:v>44188</c:v>
                </c:pt>
                <c:pt idx="116">
                  <c:v>44189</c:v>
                </c:pt>
                <c:pt idx="117">
                  <c:v>44190</c:v>
                </c:pt>
                <c:pt idx="118">
                  <c:v>44193</c:v>
                </c:pt>
                <c:pt idx="119">
                  <c:v>44194</c:v>
                </c:pt>
                <c:pt idx="120">
                  <c:v>44195</c:v>
                </c:pt>
                <c:pt idx="121">
                  <c:v>44196</c:v>
                </c:pt>
                <c:pt idx="122">
                  <c:v>44200</c:v>
                </c:pt>
                <c:pt idx="123">
                  <c:v>44201</c:v>
                </c:pt>
                <c:pt idx="124">
                  <c:v>44202</c:v>
                </c:pt>
                <c:pt idx="125">
                  <c:v>44203</c:v>
                </c:pt>
                <c:pt idx="126">
                  <c:v>44204</c:v>
                </c:pt>
                <c:pt idx="127">
                  <c:v>44207</c:v>
                </c:pt>
                <c:pt idx="128">
                  <c:v>44208</c:v>
                </c:pt>
                <c:pt idx="129">
                  <c:v>44209</c:v>
                </c:pt>
                <c:pt idx="130">
                  <c:v>44210</c:v>
                </c:pt>
                <c:pt idx="131">
                  <c:v>44211</c:v>
                </c:pt>
                <c:pt idx="132">
                  <c:v>44214</c:v>
                </c:pt>
                <c:pt idx="133">
                  <c:v>44215</c:v>
                </c:pt>
                <c:pt idx="134">
                  <c:v>44216</c:v>
                </c:pt>
                <c:pt idx="135">
                  <c:v>44217</c:v>
                </c:pt>
                <c:pt idx="136">
                  <c:v>44218</c:v>
                </c:pt>
                <c:pt idx="137">
                  <c:v>44221</c:v>
                </c:pt>
                <c:pt idx="138">
                  <c:v>44222</c:v>
                </c:pt>
                <c:pt idx="139">
                  <c:v>44223</c:v>
                </c:pt>
                <c:pt idx="140">
                  <c:v>44224</c:v>
                </c:pt>
                <c:pt idx="141">
                  <c:v>44225</c:v>
                </c:pt>
                <c:pt idx="142">
                  <c:v>44228</c:v>
                </c:pt>
                <c:pt idx="143">
                  <c:v>44229</c:v>
                </c:pt>
                <c:pt idx="144">
                  <c:v>44230</c:v>
                </c:pt>
                <c:pt idx="145">
                  <c:v>44231</c:v>
                </c:pt>
                <c:pt idx="146">
                  <c:v>44232</c:v>
                </c:pt>
                <c:pt idx="147">
                  <c:v>44235</c:v>
                </c:pt>
                <c:pt idx="148">
                  <c:v>44236</c:v>
                </c:pt>
                <c:pt idx="149">
                  <c:v>44237</c:v>
                </c:pt>
                <c:pt idx="150">
                  <c:v>44245</c:v>
                </c:pt>
                <c:pt idx="151">
                  <c:v>44246</c:v>
                </c:pt>
                <c:pt idx="152">
                  <c:v>44249</c:v>
                </c:pt>
                <c:pt idx="153">
                  <c:v>44250</c:v>
                </c:pt>
                <c:pt idx="154">
                  <c:v>44251</c:v>
                </c:pt>
                <c:pt idx="155">
                  <c:v>44252</c:v>
                </c:pt>
                <c:pt idx="156">
                  <c:v>44253</c:v>
                </c:pt>
                <c:pt idx="157">
                  <c:v>44256</c:v>
                </c:pt>
                <c:pt idx="158">
                  <c:v>44257</c:v>
                </c:pt>
                <c:pt idx="159">
                  <c:v>44258</c:v>
                </c:pt>
                <c:pt idx="160">
                  <c:v>44259</c:v>
                </c:pt>
                <c:pt idx="161">
                  <c:v>44260</c:v>
                </c:pt>
                <c:pt idx="162">
                  <c:v>44263</c:v>
                </c:pt>
                <c:pt idx="163">
                  <c:v>44264</c:v>
                </c:pt>
                <c:pt idx="164">
                  <c:v>44265</c:v>
                </c:pt>
                <c:pt idx="165">
                  <c:v>44266</c:v>
                </c:pt>
                <c:pt idx="166">
                  <c:v>44267</c:v>
                </c:pt>
                <c:pt idx="167">
                  <c:v>44270</c:v>
                </c:pt>
                <c:pt idx="168">
                  <c:v>44271</c:v>
                </c:pt>
                <c:pt idx="169">
                  <c:v>44272</c:v>
                </c:pt>
                <c:pt idx="170">
                  <c:v>44273</c:v>
                </c:pt>
                <c:pt idx="171">
                  <c:v>44274</c:v>
                </c:pt>
                <c:pt idx="172">
                  <c:v>44277</c:v>
                </c:pt>
                <c:pt idx="173">
                  <c:v>44278</c:v>
                </c:pt>
                <c:pt idx="174">
                  <c:v>44279</c:v>
                </c:pt>
                <c:pt idx="175">
                  <c:v>44280</c:v>
                </c:pt>
                <c:pt idx="176">
                  <c:v>44281</c:v>
                </c:pt>
                <c:pt idx="177">
                  <c:v>44284</c:v>
                </c:pt>
                <c:pt idx="178">
                  <c:v>44285</c:v>
                </c:pt>
                <c:pt idx="179">
                  <c:v>44286</c:v>
                </c:pt>
                <c:pt idx="180">
                  <c:v>44287</c:v>
                </c:pt>
                <c:pt idx="181">
                  <c:v>44288</c:v>
                </c:pt>
                <c:pt idx="182">
                  <c:v>44292</c:v>
                </c:pt>
                <c:pt idx="183">
                  <c:v>44293</c:v>
                </c:pt>
                <c:pt idx="184">
                  <c:v>44294</c:v>
                </c:pt>
                <c:pt idx="185">
                  <c:v>44295</c:v>
                </c:pt>
                <c:pt idx="186">
                  <c:v>44298</c:v>
                </c:pt>
                <c:pt idx="187">
                  <c:v>44299</c:v>
                </c:pt>
                <c:pt idx="188">
                  <c:v>44300</c:v>
                </c:pt>
                <c:pt idx="189">
                  <c:v>44301</c:v>
                </c:pt>
                <c:pt idx="190">
                  <c:v>44302</c:v>
                </c:pt>
                <c:pt idx="191">
                  <c:v>44305</c:v>
                </c:pt>
                <c:pt idx="192">
                  <c:v>44306</c:v>
                </c:pt>
                <c:pt idx="193">
                  <c:v>44307</c:v>
                </c:pt>
                <c:pt idx="194">
                  <c:v>44308</c:v>
                </c:pt>
                <c:pt idx="195">
                  <c:v>44309</c:v>
                </c:pt>
                <c:pt idx="196">
                  <c:v>44312</c:v>
                </c:pt>
                <c:pt idx="197">
                  <c:v>44313</c:v>
                </c:pt>
                <c:pt idx="198">
                  <c:v>44314</c:v>
                </c:pt>
                <c:pt idx="199">
                  <c:v>44315</c:v>
                </c:pt>
                <c:pt idx="200">
                  <c:v>44316</c:v>
                </c:pt>
                <c:pt idx="201">
                  <c:v>44322</c:v>
                </c:pt>
                <c:pt idx="202">
                  <c:v>44323</c:v>
                </c:pt>
                <c:pt idx="203">
                  <c:v>44326</c:v>
                </c:pt>
                <c:pt idx="204">
                  <c:v>44327</c:v>
                </c:pt>
                <c:pt idx="205">
                  <c:v>44328</c:v>
                </c:pt>
                <c:pt idx="206">
                  <c:v>44329</c:v>
                </c:pt>
                <c:pt idx="207">
                  <c:v>44330</c:v>
                </c:pt>
                <c:pt idx="208">
                  <c:v>44333</c:v>
                </c:pt>
                <c:pt idx="209">
                  <c:v>44334</c:v>
                </c:pt>
                <c:pt idx="210">
                  <c:v>44335</c:v>
                </c:pt>
                <c:pt idx="211">
                  <c:v>44336</c:v>
                </c:pt>
                <c:pt idx="212">
                  <c:v>44337</c:v>
                </c:pt>
                <c:pt idx="213">
                  <c:v>44340</c:v>
                </c:pt>
                <c:pt idx="214">
                  <c:v>44341</c:v>
                </c:pt>
                <c:pt idx="215">
                  <c:v>44342</c:v>
                </c:pt>
                <c:pt idx="216">
                  <c:v>44343</c:v>
                </c:pt>
                <c:pt idx="217">
                  <c:v>44344</c:v>
                </c:pt>
              </c:numCache>
            </c:numRef>
          </c:cat>
          <c:val>
            <c:numRef>
              <c:f>Sheet2!$O$1048:$O$1287</c:f>
              <c:numCache>
                <c:formatCode>General</c:formatCode>
                <c:ptCount val="240"/>
                <c:pt idx="0">
                  <c:v>31.955067069885839</c:v>
                </c:pt>
                <c:pt idx="1">
                  <c:v>33.007560651660199</c:v>
                </c:pt>
                <c:pt idx="2">
                  <c:v>33.067158790329763</c:v>
                </c:pt>
                <c:pt idx="3">
                  <c:v>32.054063608065299</c:v>
                </c:pt>
                <c:pt idx="4">
                  <c:v>29.100192613700742</c:v>
                </c:pt>
                <c:pt idx="5">
                  <c:v>29.19495068695473</c:v>
                </c:pt>
                <c:pt idx="6">
                  <c:v>34.675337518912229</c:v>
                </c:pt>
                <c:pt idx="7">
                  <c:v>36.874447139525479</c:v>
                </c:pt>
                <c:pt idx="8">
                  <c:v>31.950037661262741</c:v>
                </c:pt>
                <c:pt idx="9">
                  <c:v>31.208939328693539</c:v>
                </c:pt>
                <c:pt idx="10">
                  <c:v>29.36115938758487</c:v>
                </c:pt>
                <c:pt idx="11">
                  <c:v>28.707710923336379</c:v>
                </c:pt>
                <c:pt idx="12">
                  <c:v>29.32573161365378</c:v>
                </c:pt>
                <c:pt idx="13">
                  <c:v>32.026558018148549</c:v>
                </c:pt>
                <c:pt idx="14">
                  <c:v>29.217757537932371</c:v>
                </c:pt>
                <c:pt idx="15">
                  <c:v>28.67054452424669</c:v>
                </c:pt>
                <c:pt idx="16">
                  <c:v>29.207883938511021</c:v>
                </c:pt>
                <c:pt idx="17">
                  <c:v>29.39743408605262</c:v>
                </c:pt>
                <c:pt idx="18">
                  <c:v>30.44637243115816</c:v>
                </c:pt>
                <c:pt idx="19">
                  <c:v>31.361535639641509</c:v>
                </c:pt>
                <c:pt idx="20">
                  <c:v>30.930921061166899</c:v>
                </c:pt>
                <c:pt idx="21">
                  <c:v>31.027813237001929</c:v>
                </c:pt>
                <c:pt idx="22">
                  <c:v>31.153387734884351</c:v>
                </c:pt>
                <c:pt idx="23">
                  <c:v>30.321429448787381</c:v>
                </c:pt>
                <c:pt idx="24">
                  <c:v>30.31127959436693</c:v>
                </c:pt>
                <c:pt idx="25">
                  <c:v>29.357079437008409</c:v>
                </c:pt>
                <c:pt idx="26">
                  <c:v>28.993471655073009</c:v>
                </c:pt>
                <c:pt idx="27">
                  <c:v>28.524625856667789</c:v>
                </c:pt>
                <c:pt idx="28">
                  <c:v>27.903451340814541</c:v>
                </c:pt>
                <c:pt idx="29">
                  <c:v>30.740652026772249</c:v>
                </c:pt>
                <c:pt idx="30">
                  <c:v>30.451447740425781</c:v>
                </c:pt>
                <c:pt idx="31">
                  <c:v>31.78520312720358</c:v>
                </c:pt>
                <c:pt idx="32">
                  <c:v>30.70781367897154</c:v>
                </c:pt>
                <c:pt idx="33">
                  <c:v>30.120294152285538</c:v>
                </c:pt>
                <c:pt idx="34">
                  <c:v>27.900487215006571</c:v>
                </c:pt>
                <c:pt idx="35">
                  <c:v>27.27812816770416</c:v>
                </c:pt>
                <c:pt idx="36">
                  <c:v>28.27729594331225</c:v>
                </c:pt>
                <c:pt idx="37">
                  <c:v>26.13749480178636</c:v>
                </c:pt>
                <c:pt idx="38">
                  <c:v>26.58042458279774</c:v>
                </c:pt>
                <c:pt idx="39">
                  <c:v>26.286731019330119</c:v>
                </c:pt>
                <c:pt idx="40">
                  <c:v>26.179275826559891</c:v>
                </c:pt>
                <c:pt idx="41">
                  <c:v>26.616189754321528</c:v>
                </c:pt>
                <c:pt idx="42">
                  <c:v>26.708026147688742</c:v>
                </c:pt>
                <c:pt idx="43">
                  <c:v>26.571577977295512</c:v>
                </c:pt>
                <c:pt idx="44">
                  <c:v>26.90666241482057</c:v>
                </c:pt>
                <c:pt idx="45">
                  <c:v>26.27400425823518</c:v>
                </c:pt>
                <c:pt idx="46">
                  <c:v>27.04889536677468</c:v>
                </c:pt>
                <c:pt idx="47">
                  <c:v>25.34117721449897</c:v>
                </c:pt>
                <c:pt idx="48">
                  <c:v>24.159201561548631</c:v>
                </c:pt>
                <c:pt idx="49">
                  <c:v>22.87442436281346</c:v>
                </c:pt>
                <c:pt idx="50">
                  <c:v>22.40037266147694</c:v>
                </c:pt>
                <c:pt idx="51">
                  <c:v>25.611960430009329</c:v>
                </c:pt>
                <c:pt idx="52">
                  <c:v>25.36010735824307</c:v>
                </c:pt>
                <c:pt idx="53">
                  <c:v>26.51253328673835</c:v>
                </c:pt>
                <c:pt idx="54">
                  <c:v>25.968085523333521</c:v>
                </c:pt>
                <c:pt idx="55">
                  <c:v>25.88212199978793</c:v>
                </c:pt>
                <c:pt idx="56">
                  <c:v>24.85117731728953</c:v>
                </c:pt>
                <c:pt idx="57">
                  <c:v>25.7302305642189</c:v>
                </c:pt>
                <c:pt idx="58">
                  <c:v>25.72538699344161</c:v>
                </c:pt>
                <c:pt idx="59">
                  <c:v>25.80557416762425</c:v>
                </c:pt>
                <c:pt idx="60">
                  <c:v>26.955455258500638</c:v>
                </c:pt>
                <c:pt idx="61">
                  <c:v>27.50452734421696</c:v>
                </c:pt>
                <c:pt idx="62">
                  <c:v>22.448810530326</c:v>
                </c:pt>
                <c:pt idx="63">
                  <c:v>24.223265402418519</c:v>
                </c:pt>
                <c:pt idx="64">
                  <c:v>24.08230760813775</c:v>
                </c:pt>
                <c:pt idx="65">
                  <c:v>23.343479712151211</c:v>
                </c:pt>
                <c:pt idx="66">
                  <c:v>23.836209258322121</c:v>
                </c:pt>
                <c:pt idx="67">
                  <c:v>23.67294744296585</c:v>
                </c:pt>
                <c:pt idx="68">
                  <c:v>22.843606726403909</c:v>
                </c:pt>
                <c:pt idx="69">
                  <c:v>22.211776073212281</c:v>
                </c:pt>
                <c:pt idx="70">
                  <c:v>24.20937019084268</c:v>
                </c:pt>
                <c:pt idx="71">
                  <c:v>24.042301747667508</c:v>
                </c:pt>
                <c:pt idx="72">
                  <c:v>24.115991682105282</c:v>
                </c:pt>
                <c:pt idx="73">
                  <c:v>23.010969337976078</c:v>
                </c:pt>
                <c:pt idx="74">
                  <c:v>23.23959377255013</c:v>
                </c:pt>
                <c:pt idx="75">
                  <c:v>22.816553803467599</c:v>
                </c:pt>
                <c:pt idx="76">
                  <c:v>22.59913727981569</c:v>
                </c:pt>
                <c:pt idx="77">
                  <c:v>23.491191956302512</c:v>
                </c:pt>
                <c:pt idx="78">
                  <c:v>24.294368086822821</c:v>
                </c:pt>
                <c:pt idx="79">
                  <c:v>24.24986783805851</c:v>
                </c:pt>
                <c:pt idx="80">
                  <c:v>22.69653896811424</c:v>
                </c:pt>
                <c:pt idx="81">
                  <c:v>22.143404903181811</c:v>
                </c:pt>
                <c:pt idx="82">
                  <c:v>21.76197739559035</c:v>
                </c:pt>
                <c:pt idx="83">
                  <c:v>22.890944658916059</c:v>
                </c:pt>
                <c:pt idx="84">
                  <c:v>22.733896506882878</c:v>
                </c:pt>
                <c:pt idx="85">
                  <c:v>22.200075173204048</c:v>
                </c:pt>
                <c:pt idx="86">
                  <c:v>21.729731419418631</c:v>
                </c:pt>
                <c:pt idx="87">
                  <c:v>21.04418744786296</c:v>
                </c:pt>
                <c:pt idx="88">
                  <c:v>20.99726068378467</c:v>
                </c:pt>
                <c:pt idx="89">
                  <c:v>20.70021152363557</c:v>
                </c:pt>
                <c:pt idx="90">
                  <c:v>23.01364508333587</c:v>
                </c:pt>
                <c:pt idx="91">
                  <c:v>23.013309759800709</c:v>
                </c:pt>
                <c:pt idx="92">
                  <c:v>21.665708896591209</c:v>
                </c:pt>
                <c:pt idx="93">
                  <c:v>21.955319254261649</c:v>
                </c:pt>
                <c:pt idx="94">
                  <c:v>21.162240647671581</c:v>
                </c:pt>
                <c:pt idx="95">
                  <c:v>20.808332248803321</c:v>
                </c:pt>
                <c:pt idx="96">
                  <c:v>19.662028000966991</c:v>
                </c:pt>
                <c:pt idx="97">
                  <c:v>20.367125485230272</c:v>
                </c:pt>
                <c:pt idx="98">
                  <c:v>20.542446002447271</c:v>
                </c:pt>
                <c:pt idx="99">
                  <c:v>22.931993463092589</c:v>
                </c:pt>
                <c:pt idx="100">
                  <c:v>23.62676367810008</c:v>
                </c:pt>
                <c:pt idx="101">
                  <c:v>23.363193494906049</c:v>
                </c:pt>
                <c:pt idx="102">
                  <c:v>22.5247411698791</c:v>
                </c:pt>
                <c:pt idx="103">
                  <c:v>21.36058090433168</c:v>
                </c:pt>
                <c:pt idx="104">
                  <c:v>20.32594436376435</c:v>
                </c:pt>
                <c:pt idx="105">
                  <c:v>19.651181031431779</c:v>
                </c:pt>
                <c:pt idx="106">
                  <c:v>18.745733880843812</c:v>
                </c:pt>
                <c:pt idx="107">
                  <c:v>19.27655676492175</c:v>
                </c:pt>
                <c:pt idx="108">
                  <c:v>18.516943193677179</c:v>
                </c:pt>
                <c:pt idx="109">
                  <c:v>18.472803111500919</c:v>
                </c:pt>
                <c:pt idx="110">
                  <c:v>21.936201923851652</c:v>
                </c:pt>
                <c:pt idx="111">
                  <c:v>22.066231245114121</c:v>
                </c:pt>
                <c:pt idx="112">
                  <c:v>21.147334735799529</c:v>
                </c:pt>
                <c:pt idx="113">
                  <c:v>21.629198359418329</c:v>
                </c:pt>
                <c:pt idx="114">
                  <c:v>21.057410122506329</c:v>
                </c:pt>
                <c:pt idx="115">
                  <c:v>20.648635938159831</c:v>
                </c:pt>
                <c:pt idx="116">
                  <c:v>19.488301655812979</c:v>
                </c:pt>
                <c:pt idx="117">
                  <c:v>18.999229746116011</c:v>
                </c:pt>
                <c:pt idx="118">
                  <c:v>18.502444072094718</c:v>
                </c:pt>
                <c:pt idx="119">
                  <c:v>18.928182366355099</c:v>
                </c:pt>
                <c:pt idx="120">
                  <c:v>18.982090066192661</c:v>
                </c:pt>
                <c:pt idx="121">
                  <c:v>20.058617303667379</c:v>
                </c:pt>
                <c:pt idx="122">
                  <c:v>20.685229928695861</c:v>
                </c:pt>
                <c:pt idx="123">
                  <c:v>20.650444476174801</c:v>
                </c:pt>
                <c:pt idx="124">
                  <c:v>22.26722376161759</c:v>
                </c:pt>
                <c:pt idx="125">
                  <c:v>25.348979233660181</c:v>
                </c:pt>
                <c:pt idx="126">
                  <c:v>25.444737930772831</c:v>
                </c:pt>
                <c:pt idx="127">
                  <c:v>23.173195746605519</c:v>
                </c:pt>
                <c:pt idx="128">
                  <c:v>24.478496626594641</c:v>
                </c:pt>
                <c:pt idx="129">
                  <c:v>24.222310673292519</c:v>
                </c:pt>
                <c:pt idx="130">
                  <c:v>23.86651353503829</c:v>
                </c:pt>
                <c:pt idx="131">
                  <c:v>22.066867438759171</c:v>
                </c:pt>
                <c:pt idx="132">
                  <c:v>22.424011969394801</c:v>
                </c:pt>
                <c:pt idx="133">
                  <c:v>22.602378128992129</c:v>
                </c:pt>
                <c:pt idx="134">
                  <c:v>24.315748142359329</c:v>
                </c:pt>
                <c:pt idx="135">
                  <c:v>25.023125671361861</c:v>
                </c:pt>
                <c:pt idx="136">
                  <c:v>23.57170316946706</c:v>
                </c:pt>
                <c:pt idx="137">
                  <c:v>23.281271184680548</c:v>
                </c:pt>
                <c:pt idx="138">
                  <c:v>23.132794369580161</c:v>
                </c:pt>
                <c:pt idx="139">
                  <c:v>22.655763243320461</c:v>
                </c:pt>
                <c:pt idx="140">
                  <c:v>24.169812546479079</c:v>
                </c:pt>
                <c:pt idx="141">
                  <c:v>24.335989680997351</c:v>
                </c:pt>
                <c:pt idx="142">
                  <c:v>24.725508378653711</c:v>
                </c:pt>
                <c:pt idx="143">
                  <c:v>22.968525066565441</c:v>
                </c:pt>
                <c:pt idx="144">
                  <c:v>21.762769003877221</c:v>
                </c:pt>
                <c:pt idx="145">
                  <c:v>22.766712511619019</c:v>
                </c:pt>
                <c:pt idx="146">
                  <c:v>23.171358481258579</c:v>
                </c:pt>
                <c:pt idx="147">
                  <c:v>23.52029461237354</c:v>
                </c:pt>
                <c:pt idx="148">
                  <c:v>23.057626445521691</c:v>
                </c:pt>
                <c:pt idx="149">
                  <c:v>24.396456765330541</c:v>
                </c:pt>
                <c:pt idx="150">
                  <c:v>25.60228567248895</c:v>
                </c:pt>
                <c:pt idx="151">
                  <c:v>23.021000212743761</c:v>
                </c:pt>
                <c:pt idx="152">
                  <c:v>24.210386103705201</c:v>
                </c:pt>
                <c:pt idx="153">
                  <c:v>23.640427781164981</c:v>
                </c:pt>
                <c:pt idx="154">
                  <c:v>24.4282646352241</c:v>
                </c:pt>
                <c:pt idx="155">
                  <c:v>22.874318378082481</c:v>
                </c:pt>
                <c:pt idx="156">
                  <c:v>25.514235865035921</c:v>
                </c:pt>
                <c:pt idx="157">
                  <c:v>23.93102283026623</c:v>
                </c:pt>
                <c:pt idx="158">
                  <c:v>23.296438034922041</c:v>
                </c:pt>
                <c:pt idx="159">
                  <c:v>23.066535716829861</c:v>
                </c:pt>
                <c:pt idx="160">
                  <c:v>24.848792204272218</c:v>
                </c:pt>
                <c:pt idx="161">
                  <c:v>25.530733253704</c:v>
                </c:pt>
                <c:pt idx="162">
                  <c:v>26.898482880295479</c:v>
                </c:pt>
                <c:pt idx="163">
                  <c:v>26.60898381298281</c:v>
                </c:pt>
                <c:pt idx="164">
                  <c:v>25.89729164538323</c:v>
                </c:pt>
                <c:pt idx="165">
                  <c:v>23.928591087497789</c:v>
                </c:pt>
                <c:pt idx="166">
                  <c:v>22.51372926537265</c:v>
                </c:pt>
                <c:pt idx="167">
                  <c:v>23.263067875938681</c:v>
                </c:pt>
                <c:pt idx="168">
                  <c:v>22.553518574821261</c:v>
                </c:pt>
                <c:pt idx="169">
                  <c:v>22.705731859037751</c:v>
                </c:pt>
                <c:pt idx="170">
                  <c:v>22.409108911458318</c:v>
                </c:pt>
                <c:pt idx="171">
                  <c:v>22.896828546969839</c:v>
                </c:pt>
                <c:pt idx="172">
                  <c:v>22.196230849567758</c:v>
                </c:pt>
                <c:pt idx="173">
                  <c:v>21.418161154056591</c:v>
                </c:pt>
                <c:pt idx="174">
                  <c:v>21.919388496859721</c:v>
                </c:pt>
                <c:pt idx="175">
                  <c:v>21.053955795155449</c:v>
                </c:pt>
                <c:pt idx="176">
                  <c:v>20.073666932167249</c:v>
                </c:pt>
                <c:pt idx="177">
                  <c:v>20.10056023662268</c:v>
                </c:pt>
                <c:pt idx="178">
                  <c:v>20.110953604336689</c:v>
                </c:pt>
                <c:pt idx="179">
                  <c:v>19.782802238224779</c:v>
                </c:pt>
                <c:pt idx="180">
                  <c:v>19.0985885190026</c:v>
                </c:pt>
                <c:pt idx="181">
                  <c:v>19.254528236100299</c:v>
                </c:pt>
                <c:pt idx="182">
                  <c:v>19.541616169395802</c:v>
                </c:pt>
                <c:pt idx="183">
                  <c:v>18.8560259805501</c:v>
                </c:pt>
                <c:pt idx="184">
                  <c:v>18.519972989896701</c:v>
                </c:pt>
                <c:pt idx="185">
                  <c:v>18.369609752478102</c:v>
                </c:pt>
                <c:pt idx="186">
                  <c:v>19.2861370906909</c:v>
                </c:pt>
                <c:pt idx="187">
                  <c:v>19.249168587194099</c:v>
                </c:pt>
                <c:pt idx="188">
                  <c:v>19.1263844971987</c:v>
                </c:pt>
                <c:pt idx="189">
                  <c:v>19.241129277799701</c:v>
                </c:pt>
                <c:pt idx="190">
                  <c:v>18.982789172103999</c:v>
                </c:pt>
                <c:pt idx="191">
                  <c:v>19.463454983592001</c:v>
                </c:pt>
                <c:pt idx="192">
                  <c:v>19.516767170036498</c:v>
                </c:pt>
                <c:pt idx="193">
                  <c:v>19.710788019121502</c:v>
                </c:pt>
                <c:pt idx="194">
                  <c:v>19.6614818068186</c:v>
                </c:pt>
                <c:pt idx="195">
                  <c:v>19.723629414016798</c:v>
                </c:pt>
                <c:pt idx="196">
                  <c:v>20.418153580558499</c:v>
                </c:pt>
                <c:pt idx="197">
                  <c:v>20.140797176437399</c:v>
                </c:pt>
                <c:pt idx="198">
                  <c:v>19.7960579140045</c:v>
                </c:pt>
                <c:pt idx="199">
                  <c:v>19.6729289455483</c:v>
                </c:pt>
                <c:pt idx="200">
                  <c:v>19.4029029211592</c:v>
                </c:pt>
                <c:pt idx="201">
                  <c:v>19.3353370280783</c:v>
                </c:pt>
                <c:pt idx="202">
                  <c:v>19.108709186548801</c:v>
                </c:pt>
                <c:pt idx="203">
                  <c:v>18.984888574459301</c:v>
                </c:pt>
                <c:pt idx="204">
                  <c:v>19.279681313207</c:v>
                </c:pt>
                <c:pt idx="205">
                  <c:v>19.509179112931299</c:v>
                </c:pt>
                <c:pt idx="206">
                  <c:v>19.568608095217499</c:v>
                </c:pt>
                <c:pt idx="207">
                  <c:v>19.884486882808002</c:v>
                </c:pt>
                <c:pt idx="208">
                  <c:v>20.682117784035899</c:v>
                </c:pt>
                <c:pt idx="209">
                  <c:v>20.314985844720098</c:v>
                </c:pt>
                <c:pt idx="210">
                  <c:v>19.6770649634527</c:v>
                </c:pt>
                <c:pt idx="211">
                  <c:v>19.700618659312799</c:v>
                </c:pt>
                <c:pt idx="212">
                  <c:v>19.362154389917901</c:v>
                </c:pt>
                <c:pt idx="213">
                  <c:v>19.3945625848168</c:v>
                </c:pt>
                <c:pt idx="214">
                  <c:v>21.461416619329501</c:v>
                </c:pt>
                <c:pt idx="215">
                  <c:v>21.4593750764361</c:v>
                </c:pt>
                <c:pt idx="216">
                  <c:v>22.429264558678799</c:v>
                </c:pt>
                <c:pt idx="217">
                  <c:v>22.237297694747902</c:v>
                </c:pt>
                <c:pt idx="218">
                  <c:v>22.711806223875701</c:v>
                </c:pt>
                <c:pt idx="219">
                  <c:v>22.485273177537501</c:v>
                </c:pt>
                <c:pt idx="220">
                  <c:v>21.090286645155601</c:v>
                </c:pt>
                <c:pt idx="221">
                  <c:v>20.303541387193199</c:v>
                </c:pt>
                <c:pt idx="222">
                  <c:v>20.4666693822846</c:v>
                </c:pt>
                <c:pt idx="223">
                  <c:v>21.034771583852699</c:v>
                </c:pt>
                <c:pt idx="224">
                  <c:v>21.587619164049599</c:v>
                </c:pt>
                <c:pt idx="225">
                  <c:v>20.738145468969801</c:v>
                </c:pt>
                <c:pt idx="226">
                  <c:v>19.958929167005302</c:v>
                </c:pt>
                <c:pt idx="227">
                  <c:v>20.1176493404718</c:v>
                </c:pt>
                <c:pt idx="228">
                  <c:v>19.785313789097501</c:v>
                </c:pt>
                <c:pt idx="229">
                  <c:v>20.6380519593903</c:v>
                </c:pt>
                <c:pt idx="230">
                  <c:v>19.709083858158898</c:v>
                </c:pt>
                <c:pt idx="231">
                  <c:v>19.774456442504299</c:v>
                </c:pt>
                <c:pt idx="232">
                  <c:v>20.206151972951002</c:v>
                </c:pt>
                <c:pt idx="233">
                  <c:v>19.827868546044002</c:v>
                </c:pt>
                <c:pt idx="234">
                  <c:v>18.505869941709001</c:v>
                </c:pt>
                <c:pt idx="235">
                  <c:v>17.760250362744099</c:v>
                </c:pt>
                <c:pt idx="236">
                  <c:v>18.0153367486806</c:v>
                </c:pt>
                <c:pt idx="237">
                  <c:v>18.315187162158601</c:v>
                </c:pt>
                <c:pt idx="238">
                  <c:v>18.095482984283201</c:v>
                </c:pt>
                <c:pt idx="239">
                  <c:v>18.638391034542899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92-4251-B422-A31F840E4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269984"/>
        <c:axId val="734274248"/>
      </c:lineChart>
      <c:dateAx>
        <c:axId val="15675804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7585736"/>
        <c:crosses val="autoZero"/>
        <c:auto val="1"/>
        <c:lblOffset val="100"/>
        <c:baseTimeUnit val="days"/>
      </c:dateAx>
      <c:valAx>
        <c:axId val="156758573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67580488"/>
        <c:crosses val="autoZero"/>
        <c:crossBetween val="between"/>
      </c:valAx>
      <c:valAx>
        <c:axId val="734274248"/>
        <c:scaling>
          <c:orientation val="minMax"/>
          <c:min val="1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4269984"/>
        <c:crosses val="max"/>
        <c:crossBetween val="between"/>
      </c:valAx>
      <c:dateAx>
        <c:axId val="734269984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7342742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200" b="0" i="0" baseline="0">
                <a:effectLst/>
              </a:rPr>
              <a:t>波动率指数 </a:t>
            </a:r>
            <a:r>
              <a:rPr lang="en-US" altLang="zh-CN" sz="1200" b="0" i="0" baseline="0">
                <a:effectLst/>
              </a:rPr>
              <a:t>Vix </a:t>
            </a:r>
            <a:r>
              <a:rPr lang="zh-CN" altLang="zh-CN" sz="1200" b="0" i="0" baseline="0">
                <a:effectLst/>
              </a:rPr>
              <a:t>（</a:t>
            </a:r>
            <a:r>
              <a:rPr lang="en-US" altLang="zh-CN" sz="1200" b="0" i="0" baseline="0">
                <a:effectLst/>
              </a:rPr>
              <a:t>2020.01-2020.10</a:t>
            </a:r>
            <a:r>
              <a:rPr lang="zh-CN" altLang="zh-CN" sz="1200" b="0" i="0" baseline="0">
                <a:effectLst/>
              </a:rPr>
              <a:t>）</a:t>
            </a:r>
            <a:endParaRPr lang="zh-CN" altLang="zh-CN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4465969018198053E-2"/>
          <c:y val="0.10108971862388169"/>
          <c:w val="0.95690802974951605"/>
          <c:h val="0.82952456749357939"/>
        </c:manualLayout>
      </c:layout>
      <c:lineChart>
        <c:grouping val="standard"/>
        <c:varyColors val="0"/>
        <c:ser>
          <c:idx val="0"/>
          <c:order val="0"/>
          <c:tx>
            <c:strRef>
              <c:f>vix!$B$1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vix!$A$2:$A$1128</c:f>
              <c:numCache>
                <c:formatCode>yyyy\-mm\-dd\ hh:mm:ss</c:formatCode>
                <c:ptCount val="1127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42457</c:v>
                </c:pt>
                <c:pt idx="6">
                  <c:v>42458</c:v>
                </c:pt>
                <c:pt idx="7">
                  <c:v>42459</c:v>
                </c:pt>
                <c:pt idx="8">
                  <c:v>42460</c:v>
                </c:pt>
                <c:pt idx="9">
                  <c:v>42461</c:v>
                </c:pt>
                <c:pt idx="10">
                  <c:v>42465</c:v>
                </c:pt>
                <c:pt idx="11">
                  <c:v>42466</c:v>
                </c:pt>
                <c:pt idx="12">
                  <c:v>42467</c:v>
                </c:pt>
                <c:pt idx="13">
                  <c:v>42468</c:v>
                </c:pt>
                <c:pt idx="14">
                  <c:v>42471</c:v>
                </c:pt>
                <c:pt idx="15">
                  <c:v>42472</c:v>
                </c:pt>
                <c:pt idx="16">
                  <c:v>42473</c:v>
                </c:pt>
                <c:pt idx="17">
                  <c:v>42474</c:v>
                </c:pt>
                <c:pt idx="18">
                  <c:v>42475</c:v>
                </c:pt>
                <c:pt idx="19">
                  <c:v>42478</c:v>
                </c:pt>
                <c:pt idx="20">
                  <c:v>42479</c:v>
                </c:pt>
                <c:pt idx="21">
                  <c:v>42480</c:v>
                </c:pt>
                <c:pt idx="22">
                  <c:v>42481</c:v>
                </c:pt>
                <c:pt idx="23">
                  <c:v>42482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42493</c:v>
                </c:pt>
                <c:pt idx="30">
                  <c:v>42494</c:v>
                </c:pt>
                <c:pt idx="31">
                  <c:v>42495</c:v>
                </c:pt>
                <c:pt idx="32">
                  <c:v>42496</c:v>
                </c:pt>
                <c:pt idx="33">
                  <c:v>42499</c:v>
                </c:pt>
                <c:pt idx="34">
                  <c:v>42500</c:v>
                </c:pt>
                <c:pt idx="35">
                  <c:v>42501</c:v>
                </c:pt>
                <c:pt idx="36">
                  <c:v>42502</c:v>
                </c:pt>
                <c:pt idx="37">
                  <c:v>42503</c:v>
                </c:pt>
                <c:pt idx="38">
                  <c:v>42506</c:v>
                </c:pt>
                <c:pt idx="39">
                  <c:v>42507</c:v>
                </c:pt>
                <c:pt idx="40">
                  <c:v>42508</c:v>
                </c:pt>
                <c:pt idx="41">
                  <c:v>42509</c:v>
                </c:pt>
                <c:pt idx="42">
                  <c:v>42510</c:v>
                </c:pt>
                <c:pt idx="43">
                  <c:v>42513</c:v>
                </c:pt>
                <c:pt idx="44">
                  <c:v>42514</c:v>
                </c:pt>
                <c:pt idx="45">
                  <c:v>42515</c:v>
                </c:pt>
                <c:pt idx="46">
                  <c:v>42516</c:v>
                </c:pt>
                <c:pt idx="47">
                  <c:v>42517</c:v>
                </c:pt>
                <c:pt idx="48">
                  <c:v>42520</c:v>
                </c:pt>
                <c:pt idx="49">
                  <c:v>42521</c:v>
                </c:pt>
                <c:pt idx="50">
                  <c:v>42522</c:v>
                </c:pt>
                <c:pt idx="51">
                  <c:v>42523</c:v>
                </c:pt>
                <c:pt idx="52">
                  <c:v>42524</c:v>
                </c:pt>
                <c:pt idx="53">
                  <c:v>42527</c:v>
                </c:pt>
                <c:pt idx="54">
                  <c:v>42528</c:v>
                </c:pt>
                <c:pt idx="55">
                  <c:v>42529</c:v>
                </c:pt>
                <c:pt idx="56">
                  <c:v>42534</c:v>
                </c:pt>
                <c:pt idx="57">
                  <c:v>42535</c:v>
                </c:pt>
                <c:pt idx="58">
                  <c:v>42536</c:v>
                </c:pt>
                <c:pt idx="59">
                  <c:v>42537</c:v>
                </c:pt>
                <c:pt idx="60">
                  <c:v>42538</c:v>
                </c:pt>
                <c:pt idx="61">
                  <c:v>42541</c:v>
                </c:pt>
                <c:pt idx="62">
                  <c:v>42542</c:v>
                </c:pt>
                <c:pt idx="63">
                  <c:v>42543</c:v>
                </c:pt>
                <c:pt idx="64">
                  <c:v>42544</c:v>
                </c:pt>
                <c:pt idx="65">
                  <c:v>42545</c:v>
                </c:pt>
                <c:pt idx="66">
                  <c:v>42548</c:v>
                </c:pt>
                <c:pt idx="67">
                  <c:v>42549</c:v>
                </c:pt>
                <c:pt idx="68">
                  <c:v>42550</c:v>
                </c:pt>
                <c:pt idx="69">
                  <c:v>42551</c:v>
                </c:pt>
                <c:pt idx="70">
                  <c:v>42552</c:v>
                </c:pt>
                <c:pt idx="71">
                  <c:v>42555</c:v>
                </c:pt>
                <c:pt idx="72">
                  <c:v>42556</c:v>
                </c:pt>
                <c:pt idx="73">
                  <c:v>42557</c:v>
                </c:pt>
                <c:pt idx="74">
                  <c:v>42558</c:v>
                </c:pt>
                <c:pt idx="75">
                  <c:v>42559</c:v>
                </c:pt>
                <c:pt idx="76">
                  <c:v>42562</c:v>
                </c:pt>
                <c:pt idx="77">
                  <c:v>42563</c:v>
                </c:pt>
                <c:pt idx="78">
                  <c:v>42564</c:v>
                </c:pt>
                <c:pt idx="79">
                  <c:v>42565</c:v>
                </c:pt>
                <c:pt idx="80">
                  <c:v>42566</c:v>
                </c:pt>
                <c:pt idx="81">
                  <c:v>42569</c:v>
                </c:pt>
                <c:pt idx="82">
                  <c:v>42570</c:v>
                </c:pt>
                <c:pt idx="83">
                  <c:v>42571</c:v>
                </c:pt>
                <c:pt idx="84">
                  <c:v>42572</c:v>
                </c:pt>
                <c:pt idx="85">
                  <c:v>42573</c:v>
                </c:pt>
                <c:pt idx="86">
                  <c:v>42576</c:v>
                </c:pt>
                <c:pt idx="87">
                  <c:v>42577</c:v>
                </c:pt>
                <c:pt idx="88">
                  <c:v>42578</c:v>
                </c:pt>
                <c:pt idx="89">
                  <c:v>42579</c:v>
                </c:pt>
                <c:pt idx="90">
                  <c:v>42580</c:v>
                </c:pt>
                <c:pt idx="91">
                  <c:v>42583</c:v>
                </c:pt>
                <c:pt idx="92">
                  <c:v>42584</c:v>
                </c:pt>
                <c:pt idx="93">
                  <c:v>42585</c:v>
                </c:pt>
                <c:pt idx="94">
                  <c:v>42586</c:v>
                </c:pt>
                <c:pt idx="95">
                  <c:v>42587</c:v>
                </c:pt>
                <c:pt idx="96">
                  <c:v>42590</c:v>
                </c:pt>
                <c:pt idx="97">
                  <c:v>42591</c:v>
                </c:pt>
                <c:pt idx="98">
                  <c:v>42592</c:v>
                </c:pt>
                <c:pt idx="99">
                  <c:v>42593</c:v>
                </c:pt>
                <c:pt idx="100">
                  <c:v>42594</c:v>
                </c:pt>
                <c:pt idx="101">
                  <c:v>42597</c:v>
                </c:pt>
                <c:pt idx="102">
                  <c:v>42598</c:v>
                </c:pt>
                <c:pt idx="103">
                  <c:v>42599</c:v>
                </c:pt>
                <c:pt idx="104">
                  <c:v>42600</c:v>
                </c:pt>
                <c:pt idx="105">
                  <c:v>42601</c:v>
                </c:pt>
                <c:pt idx="106">
                  <c:v>42604</c:v>
                </c:pt>
                <c:pt idx="107">
                  <c:v>42605</c:v>
                </c:pt>
                <c:pt idx="108">
                  <c:v>42606</c:v>
                </c:pt>
                <c:pt idx="109">
                  <c:v>42607</c:v>
                </c:pt>
                <c:pt idx="110">
                  <c:v>42608</c:v>
                </c:pt>
                <c:pt idx="111">
                  <c:v>42611</c:v>
                </c:pt>
                <c:pt idx="112">
                  <c:v>42612</c:v>
                </c:pt>
                <c:pt idx="113">
                  <c:v>42613</c:v>
                </c:pt>
                <c:pt idx="114">
                  <c:v>42614</c:v>
                </c:pt>
                <c:pt idx="115">
                  <c:v>42615</c:v>
                </c:pt>
                <c:pt idx="116">
                  <c:v>42618</c:v>
                </c:pt>
                <c:pt idx="117">
                  <c:v>42619</c:v>
                </c:pt>
                <c:pt idx="118">
                  <c:v>42620</c:v>
                </c:pt>
                <c:pt idx="119">
                  <c:v>42621</c:v>
                </c:pt>
                <c:pt idx="120">
                  <c:v>42622</c:v>
                </c:pt>
                <c:pt idx="121">
                  <c:v>42625</c:v>
                </c:pt>
                <c:pt idx="122">
                  <c:v>42626</c:v>
                </c:pt>
                <c:pt idx="123">
                  <c:v>42627</c:v>
                </c:pt>
                <c:pt idx="124">
                  <c:v>42632</c:v>
                </c:pt>
                <c:pt idx="125">
                  <c:v>42633</c:v>
                </c:pt>
                <c:pt idx="126">
                  <c:v>42634</c:v>
                </c:pt>
                <c:pt idx="127">
                  <c:v>42635</c:v>
                </c:pt>
                <c:pt idx="128">
                  <c:v>42636</c:v>
                </c:pt>
                <c:pt idx="129">
                  <c:v>42639</c:v>
                </c:pt>
                <c:pt idx="130">
                  <c:v>42640</c:v>
                </c:pt>
                <c:pt idx="131">
                  <c:v>42641</c:v>
                </c:pt>
                <c:pt idx="132">
                  <c:v>42642</c:v>
                </c:pt>
                <c:pt idx="133">
                  <c:v>42643</c:v>
                </c:pt>
                <c:pt idx="134">
                  <c:v>42653</c:v>
                </c:pt>
                <c:pt idx="135">
                  <c:v>42654</c:v>
                </c:pt>
                <c:pt idx="136">
                  <c:v>42655</c:v>
                </c:pt>
                <c:pt idx="137">
                  <c:v>42656</c:v>
                </c:pt>
                <c:pt idx="138">
                  <c:v>42657</c:v>
                </c:pt>
                <c:pt idx="139">
                  <c:v>42660</c:v>
                </c:pt>
                <c:pt idx="140">
                  <c:v>42661</c:v>
                </c:pt>
                <c:pt idx="141">
                  <c:v>42662</c:v>
                </c:pt>
                <c:pt idx="142">
                  <c:v>42663</c:v>
                </c:pt>
                <c:pt idx="143">
                  <c:v>42664</c:v>
                </c:pt>
                <c:pt idx="144">
                  <c:v>42667</c:v>
                </c:pt>
                <c:pt idx="145">
                  <c:v>42668</c:v>
                </c:pt>
                <c:pt idx="146">
                  <c:v>42669</c:v>
                </c:pt>
                <c:pt idx="147">
                  <c:v>42670</c:v>
                </c:pt>
                <c:pt idx="148">
                  <c:v>42671</c:v>
                </c:pt>
                <c:pt idx="149">
                  <c:v>42674</c:v>
                </c:pt>
                <c:pt idx="150">
                  <c:v>42675</c:v>
                </c:pt>
                <c:pt idx="151">
                  <c:v>42676</c:v>
                </c:pt>
                <c:pt idx="152">
                  <c:v>42677</c:v>
                </c:pt>
                <c:pt idx="153">
                  <c:v>42678</c:v>
                </c:pt>
                <c:pt idx="154">
                  <c:v>42681</c:v>
                </c:pt>
                <c:pt idx="155">
                  <c:v>42682</c:v>
                </c:pt>
                <c:pt idx="156">
                  <c:v>42683</c:v>
                </c:pt>
                <c:pt idx="157">
                  <c:v>42684</c:v>
                </c:pt>
                <c:pt idx="158">
                  <c:v>42685</c:v>
                </c:pt>
                <c:pt idx="159">
                  <c:v>42688</c:v>
                </c:pt>
                <c:pt idx="160">
                  <c:v>42689</c:v>
                </c:pt>
                <c:pt idx="161">
                  <c:v>42690</c:v>
                </c:pt>
                <c:pt idx="162">
                  <c:v>42691</c:v>
                </c:pt>
                <c:pt idx="163">
                  <c:v>42692</c:v>
                </c:pt>
                <c:pt idx="164">
                  <c:v>42695</c:v>
                </c:pt>
                <c:pt idx="165">
                  <c:v>42696</c:v>
                </c:pt>
                <c:pt idx="166">
                  <c:v>42697</c:v>
                </c:pt>
                <c:pt idx="167">
                  <c:v>42698</c:v>
                </c:pt>
                <c:pt idx="168">
                  <c:v>42699</c:v>
                </c:pt>
                <c:pt idx="169">
                  <c:v>42702</c:v>
                </c:pt>
                <c:pt idx="170">
                  <c:v>42703</c:v>
                </c:pt>
                <c:pt idx="171">
                  <c:v>42704</c:v>
                </c:pt>
                <c:pt idx="172">
                  <c:v>42705</c:v>
                </c:pt>
                <c:pt idx="173">
                  <c:v>42706</c:v>
                </c:pt>
                <c:pt idx="174">
                  <c:v>42709</c:v>
                </c:pt>
                <c:pt idx="175">
                  <c:v>42710</c:v>
                </c:pt>
                <c:pt idx="176">
                  <c:v>42711</c:v>
                </c:pt>
                <c:pt idx="177">
                  <c:v>42712</c:v>
                </c:pt>
                <c:pt idx="178">
                  <c:v>42713</c:v>
                </c:pt>
                <c:pt idx="179">
                  <c:v>42716</c:v>
                </c:pt>
                <c:pt idx="180">
                  <c:v>42717</c:v>
                </c:pt>
                <c:pt idx="181">
                  <c:v>42718</c:v>
                </c:pt>
                <c:pt idx="182">
                  <c:v>42719</c:v>
                </c:pt>
                <c:pt idx="183">
                  <c:v>42720</c:v>
                </c:pt>
                <c:pt idx="184">
                  <c:v>42723</c:v>
                </c:pt>
                <c:pt idx="185">
                  <c:v>42724</c:v>
                </c:pt>
                <c:pt idx="186">
                  <c:v>42725</c:v>
                </c:pt>
                <c:pt idx="187">
                  <c:v>42726</c:v>
                </c:pt>
                <c:pt idx="188">
                  <c:v>42727</c:v>
                </c:pt>
                <c:pt idx="189">
                  <c:v>42730</c:v>
                </c:pt>
                <c:pt idx="190">
                  <c:v>42731</c:v>
                </c:pt>
                <c:pt idx="191">
                  <c:v>42732</c:v>
                </c:pt>
                <c:pt idx="192">
                  <c:v>42733</c:v>
                </c:pt>
                <c:pt idx="193">
                  <c:v>42734</c:v>
                </c:pt>
                <c:pt idx="194">
                  <c:v>42738</c:v>
                </c:pt>
                <c:pt idx="195">
                  <c:v>42739</c:v>
                </c:pt>
                <c:pt idx="196">
                  <c:v>42740</c:v>
                </c:pt>
                <c:pt idx="197">
                  <c:v>42741</c:v>
                </c:pt>
                <c:pt idx="198">
                  <c:v>42744</c:v>
                </c:pt>
                <c:pt idx="199">
                  <c:v>42745</c:v>
                </c:pt>
                <c:pt idx="200">
                  <c:v>42746</c:v>
                </c:pt>
                <c:pt idx="201">
                  <c:v>42747</c:v>
                </c:pt>
                <c:pt idx="202">
                  <c:v>42748</c:v>
                </c:pt>
                <c:pt idx="203">
                  <c:v>42751</c:v>
                </c:pt>
                <c:pt idx="204">
                  <c:v>42752</c:v>
                </c:pt>
                <c:pt idx="205">
                  <c:v>42753</c:v>
                </c:pt>
                <c:pt idx="206">
                  <c:v>42754</c:v>
                </c:pt>
                <c:pt idx="207">
                  <c:v>42755</c:v>
                </c:pt>
                <c:pt idx="208">
                  <c:v>42758</c:v>
                </c:pt>
                <c:pt idx="209">
                  <c:v>42759</c:v>
                </c:pt>
                <c:pt idx="210">
                  <c:v>42760</c:v>
                </c:pt>
                <c:pt idx="211">
                  <c:v>42761</c:v>
                </c:pt>
                <c:pt idx="212">
                  <c:v>42769</c:v>
                </c:pt>
                <c:pt idx="213">
                  <c:v>42772</c:v>
                </c:pt>
                <c:pt idx="214">
                  <c:v>42773</c:v>
                </c:pt>
                <c:pt idx="215">
                  <c:v>42774</c:v>
                </c:pt>
                <c:pt idx="216">
                  <c:v>42775</c:v>
                </c:pt>
                <c:pt idx="217">
                  <c:v>42776</c:v>
                </c:pt>
                <c:pt idx="218">
                  <c:v>42779</c:v>
                </c:pt>
                <c:pt idx="219">
                  <c:v>42780</c:v>
                </c:pt>
                <c:pt idx="220">
                  <c:v>42781</c:v>
                </c:pt>
                <c:pt idx="221">
                  <c:v>42782</c:v>
                </c:pt>
                <c:pt idx="222">
                  <c:v>42783</c:v>
                </c:pt>
                <c:pt idx="223">
                  <c:v>42786</c:v>
                </c:pt>
                <c:pt idx="224">
                  <c:v>42787</c:v>
                </c:pt>
                <c:pt idx="225">
                  <c:v>42788</c:v>
                </c:pt>
                <c:pt idx="226">
                  <c:v>42789</c:v>
                </c:pt>
                <c:pt idx="227">
                  <c:v>42790</c:v>
                </c:pt>
                <c:pt idx="228">
                  <c:v>42793</c:v>
                </c:pt>
                <c:pt idx="229">
                  <c:v>42794</c:v>
                </c:pt>
                <c:pt idx="230">
                  <c:v>42795</c:v>
                </c:pt>
                <c:pt idx="231">
                  <c:v>42796</c:v>
                </c:pt>
                <c:pt idx="232">
                  <c:v>42797</c:v>
                </c:pt>
                <c:pt idx="233">
                  <c:v>42800</c:v>
                </c:pt>
                <c:pt idx="234">
                  <c:v>42801</c:v>
                </c:pt>
                <c:pt idx="235">
                  <c:v>42802</c:v>
                </c:pt>
                <c:pt idx="236">
                  <c:v>42803</c:v>
                </c:pt>
                <c:pt idx="237">
                  <c:v>42804</c:v>
                </c:pt>
                <c:pt idx="238">
                  <c:v>42807</c:v>
                </c:pt>
                <c:pt idx="239">
                  <c:v>42808</c:v>
                </c:pt>
                <c:pt idx="240">
                  <c:v>42809</c:v>
                </c:pt>
                <c:pt idx="241">
                  <c:v>42810</c:v>
                </c:pt>
                <c:pt idx="242">
                  <c:v>42811</c:v>
                </c:pt>
                <c:pt idx="243">
                  <c:v>42814</c:v>
                </c:pt>
                <c:pt idx="244">
                  <c:v>42815</c:v>
                </c:pt>
                <c:pt idx="245">
                  <c:v>42816</c:v>
                </c:pt>
                <c:pt idx="246">
                  <c:v>42817</c:v>
                </c:pt>
                <c:pt idx="247">
                  <c:v>42818</c:v>
                </c:pt>
                <c:pt idx="248">
                  <c:v>42821</c:v>
                </c:pt>
                <c:pt idx="249">
                  <c:v>42822</c:v>
                </c:pt>
                <c:pt idx="250">
                  <c:v>42823</c:v>
                </c:pt>
                <c:pt idx="251">
                  <c:v>42824</c:v>
                </c:pt>
                <c:pt idx="252">
                  <c:v>42825</c:v>
                </c:pt>
                <c:pt idx="253">
                  <c:v>42830</c:v>
                </c:pt>
                <c:pt idx="254">
                  <c:v>42831</c:v>
                </c:pt>
                <c:pt idx="255">
                  <c:v>42832</c:v>
                </c:pt>
                <c:pt idx="256">
                  <c:v>42835</c:v>
                </c:pt>
                <c:pt idx="257">
                  <c:v>42836</c:v>
                </c:pt>
                <c:pt idx="258">
                  <c:v>42837</c:v>
                </c:pt>
                <c:pt idx="259">
                  <c:v>42838</c:v>
                </c:pt>
                <c:pt idx="260">
                  <c:v>42839</c:v>
                </c:pt>
                <c:pt idx="261">
                  <c:v>42842</c:v>
                </c:pt>
                <c:pt idx="262">
                  <c:v>42843</c:v>
                </c:pt>
                <c:pt idx="263">
                  <c:v>42844</c:v>
                </c:pt>
                <c:pt idx="264">
                  <c:v>42845</c:v>
                </c:pt>
                <c:pt idx="265">
                  <c:v>42846</c:v>
                </c:pt>
                <c:pt idx="266">
                  <c:v>42849</c:v>
                </c:pt>
                <c:pt idx="267">
                  <c:v>42850</c:v>
                </c:pt>
                <c:pt idx="268">
                  <c:v>42851</c:v>
                </c:pt>
                <c:pt idx="269">
                  <c:v>42852</c:v>
                </c:pt>
                <c:pt idx="270">
                  <c:v>42853</c:v>
                </c:pt>
                <c:pt idx="271">
                  <c:v>42857</c:v>
                </c:pt>
                <c:pt idx="272">
                  <c:v>42858</c:v>
                </c:pt>
                <c:pt idx="273">
                  <c:v>42859</c:v>
                </c:pt>
                <c:pt idx="274">
                  <c:v>42860</c:v>
                </c:pt>
                <c:pt idx="275">
                  <c:v>42863</c:v>
                </c:pt>
                <c:pt idx="276">
                  <c:v>42864</c:v>
                </c:pt>
                <c:pt idx="277">
                  <c:v>42865</c:v>
                </c:pt>
                <c:pt idx="278">
                  <c:v>42866</c:v>
                </c:pt>
                <c:pt idx="279">
                  <c:v>42867</c:v>
                </c:pt>
                <c:pt idx="280">
                  <c:v>42870</c:v>
                </c:pt>
                <c:pt idx="281">
                  <c:v>42871</c:v>
                </c:pt>
                <c:pt idx="282">
                  <c:v>42872</c:v>
                </c:pt>
                <c:pt idx="283">
                  <c:v>42873</c:v>
                </c:pt>
                <c:pt idx="284">
                  <c:v>42874</c:v>
                </c:pt>
                <c:pt idx="285">
                  <c:v>42877</c:v>
                </c:pt>
                <c:pt idx="286">
                  <c:v>42878</c:v>
                </c:pt>
                <c:pt idx="287">
                  <c:v>42879</c:v>
                </c:pt>
                <c:pt idx="288">
                  <c:v>42880</c:v>
                </c:pt>
                <c:pt idx="289">
                  <c:v>42881</c:v>
                </c:pt>
                <c:pt idx="290">
                  <c:v>42886</c:v>
                </c:pt>
                <c:pt idx="291">
                  <c:v>42887</c:v>
                </c:pt>
                <c:pt idx="292">
                  <c:v>42888</c:v>
                </c:pt>
                <c:pt idx="293">
                  <c:v>42891</c:v>
                </c:pt>
                <c:pt idx="294">
                  <c:v>42892</c:v>
                </c:pt>
                <c:pt idx="295">
                  <c:v>42893</c:v>
                </c:pt>
                <c:pt idx="296">
                  <c:v>42894</c:v>
                </c:pt>
                <c:pt idx="297">
                  <c:v>42895</c:v>
                </c:pt>
                <c:pt idx="298">
                  <c:v>42898</c:v>
                </c:pt>
                <c:pt idx="299">
                  <c:v>42899</c:v>
                </c:pt>
                <c:pt idx="300">
                  <c:v>42900</c:v>
                </c:pt>
                <c:pt idx="301">
                  <c:v>42901</c:v>
                </c:pt>
                <c:pt idx="302">
                  <c:v>42902</c:v>
                </c:pt>
                <c:pt idx="303">
                  <c:v>42905</c:v>
                </c:pt>
                <c:pt idx="304">
                  <c:v>42906</c:v>
                </c:pt>
                <c:pt idx="305">
                  <c:v>42907</c:v>
                </c:pt>
                <c:pt idx="306">
                  <c:v>42908</c:v>
                </c:pt>
                <c:pt idx="307">
                  <c:v>42909</c:v>
                </c:pt>
                <c:pt idx="308">
                  <c:v>42912</c:v>
                </c:pt>
                <c:pt idx="309">
                  <c:v>42913</c:v>
                </c:pt>
                <c:pt idx="310">
                  <c:v>42914</c:v>
                </c:pt>
                <c:pt idx="311">
                  <c:v>42915</c:v>
                </c:pt>
                <c:pt idx="312">
                  <c:v>42916</c:v>
                </c:pt>
                <c:pt idx="313">
                  <c:v>42919</c:v>
                </c:pt>
                <c:pt idx="314">
                  <c:v>42920</c:v>
                </c:pt>
                <c:pt idx="315">
                  <c:v>42921</c:v>
                </c:pt>
                <c:pt idx="316">
                  <c:v>42922</c:v>
                </c:pt>
                <c:pt idx="317">
                  <c:v>42923</c:v>
                </c:pt>
                <c:pt idx="318">
                  <c:v>42926</c:v>
                </c:pt>
                <c:pt idx="319">
                  <c:v>42927</c:v>
                </c:pt>
                <c:pt idx="320">
                  <c:v>42928</c:v>
                </c:pt>
                <c:pt idx="321">
                  <c:v>42929</c:v>
                </c:pt>
                <c:pt idx="322">
                  <c:v>42930</c:v>
                </c:pt>
                <c:pt idx="323">
                  <c:v>42933</c:v>
                </c:pt>
                <c:pt idx="324">
                  <c:v>42934</c:v>
                </c:pt>
                <c:pt idx="325">
                  <c:v>42935</c:v>
                </c:pt>
                <c:pt idx="326">
                  <c:v>42936</c:v>
                </c:pt>
                <c:pt idx="327">
                  <c:v>42937</c:v>
                </c:pt>
                <c:pt idx="328">
                  <c:v>42940</c:v>
                </c:pt>
                <c:pt idx="329">
                  <c:v>42941</c:v>
                </c:pt>
                <c:pt idx="330">
                  <c:v>42942</c:v>
                </c:pt>
                <c:pt idx="331">
                  <c:v>42943</c:v>
                </c:pt>
                <c:pt idx="332">
                  <c:v>42944</c:v>
                </c:pt>
                <c:pt idx="333">
                  <c:v>42947</c:v>
                </c:pt>
                <c:pt idx="334">
                  <c:v>42948</c:v>
                </c:pt>
                <c:pt idx="335">
                  <c:v>42949</c:v>
                </c:pt>
                <c:pt idx="336">
                  <c:v>42950</c:v>
                </c:pt>
                <c:pt idx="337">
                  <c:v>42951</c:v>
                </c:pt>
                <c:pt idx="338">
                  <c:v>42954</c:v>
                </c:pt>
                <c:pt idx="339">
                  <c:v>42955</c:v>
                </c:pt>
                <c:pt idx="340">
                  <c:v>42956</c:v>
                </c:pt>
                <c:pt idx="341">
                  <c:v>42957</c:v>
                </c:pt>
                <c:pt idx="342">
                  <c:v>42958</c:v>
                </c:pt>
                <c:pt idx="343">
                  <c:v>42961</c:v>
                </c:pt>
                <c:pt idx="344">
                  <c:v>42962</c:v>
                </c:pt>
                <c:pt idx="345">
                  <c:v>42963</c:v>
                </c:pt>
                <c:pt idx="346">
                  <c:v>42964</c:v>
                </c:pt>
                <c:pt idx="347">
                  <c:v>42965</c:v>
                </c:pt>
                <c:pt idx="348">
                  <c:v>42968</c:v>
                </c:pt>
                <c:pt idx="349">
                  <c:v>42969</c:v>
                </c:pt>
                <c:pt idx="350">
                  <c:v>42970</c:v>
                </c:pt>
                <c:pt idx="351">
                  <c:v>42971</c:v>
                </c:pt>
                <c:pt idx="352">
                  <c:v>42972</c:v>
                </c:pt>
                <c:pt idx="353">
                  <c:v>42975</c:v>
                </c:pt>
                <c:pt idx="354">
                  <c:v>42976</c:v>
                </c:pt>
                <c:pt idx="355">
                  <c:v>42977</c:v>
                </c:pt>
                <c:pt idx="356">
                  <c:v>42978</c:v>
                </c:pt>
                <c:pt idx="357">
                  <c:v>42979</c:v>
                </c:pt>
                <c:pt idx="358">
                  <c:v>42982</c:v>
                </c:pt>
                <c:pt idx="359">
                  <c:v>42983</c:v>
                </c:pt>
                <c:pt idx="360">
                  <c:v>42984</c:v>
                </c:pt>
                <c:pt idx="361">
                  <c:v>42985</c:v>
                </c:pt>
                <c:pt idx="362">
                  <c:v>42986</c:v>
                </c:pt>
                <c:pt idx="363">
                  <c:v>42989</c:v>
                </c:pt>
                <c:pt idx="364">
                  <c:v>42990</c:v>
                </c:pt>
                <c:pt idx="365">
                  <c:v>42991</c:v>
                </c:pt>
                <c:pt idx="366">
                  <c:v>42992</c:v>
                </c:pt>
                <c:pt idx="367">
                  <c:v>42993</c:v>
                </c:pt>
                <c:pt idx="368">
                  <c:v>42996</c:v>
                </c:pt>
                <c:pt idx="369">
                  <c:v>42997</c:v>
                </c:pt>
                <c:pt idx="370">
                  <c:v>42998</c:v>
                </c:pt>
                <c:pt idx="371">
                  <c:v>42999</c:v>
                </c:pt>
                <c:pt idx="372">
                  <c:v>43000</c:v>
                </c:pt>
                <c:pt idx="373">
                  <c:v>43003</c:v>
                </c:pt>
                <c:pt idx="374">
                  <c:v>43004</c:v>
                </c:pt>
                <c:pt idx="375">
                  <c:v>43005</c:v>
                </c:pt>
                <c:pt idx="376">
                  <c:v>43006</c:v>
                </c:pt>
                <c:pt idx="377">
                  <c:v>43007</c:v>
                </c:pt>
                <c:pt idx="378">
                  <c:v>43017</c:v>
                </c:pt>
                <c:pt idx="379">
                  <c:v>43018</c:v>
                </c:pt>
                <c:pt idx="380">
                  <c:v>43019</c:v>
                </c:pt>
                <c:pt idx="381">
                  <c:v>43020</c:v>
                </c:pt>
                <c:pt idx="382">
                  <c:v>43021</c:v>
                </c:pt>
                <c:pt idx="383">
                  <c:v>43024</c:v>
                </c:pt>
                <c:pt idx="384">
                  <c:v>43025</c:v>
                </c:pt>
                <c:pt idx="385">
                  <c:v>43026</c:v>
                </c:pt>
                <c:pt idx="386">
                  <c:v>43027</c:v>
                </c:pt>
                <c:pt idx="387">
                  <c:v>43028</c:v>
                </c:pt>
                <c:pt idx="388">
                  <c:v>43031</c:v>
                </c:pt>
                <c:pt idx="389">
                  <c:v>43032</c:v>
                </c:pt>
                <c:pt idx="390">
                  <c:v>43033</c:v>
                </c:pt>
                <c:pt idx="391">
                  <c:v>43034</c:v>
                </c:pt>
                <c:pt idx="392">
                  <c:v>43035</c:v>
                </c:pt>
                <c:pt idx="393">
                  <c:v>43038</c:v>
                </c:pt>
                <c:pt idx="394">
                  <c:v>43039</c:v>
                </c:pt>
                <c:pt idx="395">
                  <c:v>43040</c:v>
                </c:pt>
                <c:pt idx="396">
                  <c:v>43041</c:v>
                </c:pt>
                <c:pt idx="397">
                  <c:v>43042</c:v>
                </c:pt>
                <c:pt idx="398">
                  <c:v>43045</c:v>
                </c:pt>
                <c:pt idx="399">
                  <c:v>43046</c:v>
                </c:pt>
                <c:pt idx="400">
                  <c:v>43047</c:v>
                </c:pt>
                <c:pt idx="401">
                  <c:v>43048</c:v>
                </c:pt>
                <c:pt idx="402">
                  <c:v>43049</c:v>
                </c:pt>
                <c:pt idx="403">
                  <c:v>43052</c:v>
                </c:pt>
                <c:pt idx="404">
                  <c:v>43053</c:v>
                </c:pt>
                <c:pt idx="405">
                  <c:v>43054</c:v>
                </c:pt>
                <c:pt idx="406">
                  <c:v>43055</c:v>
                </c:pt>
                <c:pt idx="407">
                  <c:v>43056</c:v>
                </c:pt>
                <c:pt idx="408">
                  <c:v>43059</c:v>
                </c:pt>
                <c:pt idx="409">
                  <c:v>43060</c:v>
                </c:pt>
                <c:pt idx="410">
                  <c:v>43061</c:v>
                </c:pt>
                <c:pt idx="411">
                  <c:v>43062</c:v>
                </c:pt>
                <c:pt idx="412">
                  <c:v>43063</c:v>
                </c:pt>
                <c:pt idx="413">
                  <c:v>43066</c:v>
                </c:pt>
                <c:pt idx="414">
                  <c:v>43067</c:v>
                </c:pt>
                <c:pt idx="415">
                  <c:v>43068</c:v>
                </c:pt>
                <c:pt idx="416">
                  <c:v>43069</c:v>
                </c:pt>
                <c:pt idx="417">
                  <c:v>43070</c:v>
                </c:pt>
                <c:pt idx="418">
                  <c:v>43073</c:v>
                </c:pt>
                <c:pt idx="419">
                  <c:v>43074</c:v>
                </c:pt>
                <c:pt idx="420">
                  <c:v>43075</c:v>
                </c:pt>
                <c:pt idx="421">
                  <c:v>43076</c:v>
                </c:pt>
                <c:pt idx="422">
                  <c:v>43077</c:v>
                </c:pt>
                <c:pt idx="423">
                  <c:v>43080</c:v>
                </c:pt>
                <c:pt idx="424">
                  <c:v>43081</c:v>
                </c:pt>
                <c:pt idx="425">
                  <c:v>43082</c:v>
                </c:pt>
                <c:pt idx="426">
                  <c:v>43083</c:v>
                </c:pt>
                <c:pt idx="427">
                  <c:v>43084</c:v>
                </c:pt>
                <c:pt idx="428">
                  <c:v>43087</c:v>
                </c:pt>
                <c:pt idx="429">
                  <c:v>43088</c:v>
                </c:pt>
                <c:pt idx="430">
                  <c:v>43089</c:v>
                </c:pt>
                <c:pt idx="431">
                  <c:v>43090</c:v>
                </c:pt>
                <c:pt idx="432">
                  <c:v>43091</c:v>
                </c:pt>
                <c:pt idx="433">
                  <c:v>43094</c:v>
                </c:pt>
                <c:pt idx="434">
                  <c:v>43095</c:v>
                </c:pt>
                <c:pt idx="435">
                  <c:v>43096</c:v>
                </c:pt>
                <c:pt idx="436">
                  <c:v>43097</c:v>
                </c:pt>
                <c:pt idx="437">
                  <c:v>43098</c:v>
                </c:pt>
                <c:pt idx="438">
                  <c:v>43102</c:v>
                </c:pt>
                <c:pt idx="439">
                  <c:v>43103</c:v>
                </c:pt>
                <c:pt idx="440">
                  <c:v>43104</c:v>
                </c:pt>
                <c:pt idx="441">
                  <c:v>43105</c:v>
                </c:pt>
                <c:pt idx="442">
                  <c:v>43108</c:v>
                </c:pt>
                <c:pt idx="443">
                  <c:v>43109</c:v>
                </c:pt>
                <c:pt idx="444">
                  <c:v>43110</c:v>
                </c:pt>
                <c:pt idx="445">
                  <c:v>43111</c:v>
                </c:pt>
                <c:pt idx="446">
                  <c:v>43112</c:v>
                </c:pt>
                <c:pt idx="447">
                  <c:v>43115</c:v>
                </c:pt>
                <c:pt idx="448">
                  <c:v>43116</c:v>
                </c:pt>
                <c:pt idx="449">
                  <c:v>43117</c:v>
                </c:pt>
                <c:pt idx="450">
                  <c:v>43118</c:v>
                </c:pt>
                <c:pt idx="451">
                  <c:v>43119</c:v>
                </c:pt>
                <c:pt idx="452">
                  <c:v>43122</c:v>
                </c:pt>
                <c:pt idx="453">
                  <c:v>43123</c:v>
                </c:pt>
                <c:pt idx="454">
                  <c:v>43124</c:v>
                </c:pt>
                <c:pt idx="455">
                  <c:v>43125</c:v>
                </c:pt>
                <c:pt idx="456">
                  <c:v>43126</c:v>
                </c:pt>
                <c:pt idx="457">
                  <c:v>43129</c:v>
                </c:pt>
                <c:pt idx="458">
                  <c:v>43130</c:v>
                </c:pt>
                <c:pt idx="459">
                  <c:v>43131</c:v>
                </c:pt>
                <c:pt idx="460">
                  <c:v>43132</c:v>
                </c:pt>
                <c:pt idx="461">
                  <c:v>43133</c:v>
                </c:pt>
                <c:pt idx="462">
                  <c:v>43136</c:v>
                </c:pt>
                <c:pt idx="463">
                  <c:v>43137</c:v>
                </c:pt>
                <c:pt idx="464">
                  <c:v>43138</c:v>
                </c:pt>
                <c:pt idx="465">
                  <c:v>43139</c:v>
                </c:pt>
                <c:pt idx="466">
                  <c:v>43140</c:v>
                </c:pt>
                <c:pt idx="467">
                  <c:v>43143</c:v>
                </c:pt>
                <c:pt idx="468">
                  <c:v>43144</c:v>
                </c:pt>
                <c:pt idx="469">
                  <c:v>43145</c:v>
                </c:pt>
                <c:pt idx="470">
                  <c:v>43153</c:v>
                </c:pt>
                <c:pt idx="471">
                  <c:v>43154</c:v>
                </c:pt>
                <c:pt idx="472">
                  <c:v>43157</c:v>
                </c:pt>
                <c:pt idx="473">
                  <c:v>43158</c:v>
                </c:pt>
                <c:pt idx="474">
                  <c:v>43159</c:v>
                </c:pt>
                <c:pt idx="475">
                  <c:v>43160</c:v>
                </c:pt>
                <c:pt idx="476">
                  <c:v>43161</c:v>
                </c:pt>
                <c:pt idx="477">
                  <c:v>43164</c:v>
                </c:pt>
                <c:pt idx="478">
                  <c:v>43165</c:v>
                </c:pt>
                <c:pt idx="479">
                  <c:v>43166</c:v>
                </c:pt>
                <c:pt idx="480">
                  <c:v>43167</c:v>
                </c:pt>
                <c:pt idx="481">
                  <c:v>43168</c:v>
                </c:pt>
                <c:pt idx="482">
                  <c:v>43171</c:v>
                </c:pt>
                <c:pt idx="483">
                  <c:v>43172</c:v>
                </c:pt>
                <c:pt idx="484">
                  <c:v>43173</c:v>
                </c:pt>
                <c:pt idx="485">
                  <c:v>43174</c:v>
                </c:pt>
                <c:pt idx="486">
                  <c:v>43175</c:v>
                </c:pt>
                <c:pt idx="487">
                  <c:v>43178</c:v>
                </c:pt>
                <c:pt idx="488">
                  <c:v>43179</c:v>
                </c:pt>
                <c:pt idx="489">
                  <c:v>43180</c:v>
                </c:pt>
                <c:pt idx="490">
                  <c:v>43181</c:v>
                </c:pt>
                <c:pt idx="491">
                  <c:v>43182</c:v>
                </c:pt>
                <c:pt idx="492">
                  <c:v>43185</c:v>
                </c:pt>
                <c:pt idx="493">
                  <c:v>43186</c:v>
                </c:pt>
                <c:pt idx="494">
                  <c:v>43187</c:v>
                </c:pt>
                <c:pt idx="495">
                  <c:v>43188</c:v>
                </c:pt>
                <c:pt idx="496">
                  <c:v>43189</c:v>
                </c:pt>
                <c:pt idx="497">
                  <c:v>43192</c:v>
                </c:pt>
                <c:pt idx="498">
                  <c:v>43193</c:v>
                </c:pt>
                <c:pt idx="499">
                  <c:v>43194</c:v>
                </c:pt>
                <c:pt idx="500">
                  <c:v>43199</c:v>
                </c:pt>
                <c:pt idx="501">
                  <c:v>43200</c:v>
                </c:pt>
                <c:pt idx="502">
                  <c:v>43201</c:v>
                </c:pt>
                <c:pt idx="503">
                  <c:v>43202</c:v>
                </c:pt>
                <c:pt idx="504">
                  <c:v>43203</c:v>
                </c:pt>
                <c:pt idx="505">
                  <c:v>43206</c:v>
                </c:pt>
                <c:pt idx="506">
                  <c:v>43207</c:v>
                </c:pt>
                <c:pt idx="507">
                  <c:v>43208</c:v>
                </c:pt>
                <c:pt idx="508">
                  <c:v>43209</c:v>
                </c:pt>
                <c:pt idx="509">
                  <c:v>43210</c:v>
                </c:pt>
                <c:pt idx="510">
                  <c:v>43213</c:v>
                </c:pt>
                <c:pt idx="511">
                  <c:v>43214</c:v>
                </c:pt>
                <c:pt idx="512">
                  <c:v>43215</c:v>
                </c:pt>
                <c:pt idx="513">
                  <c:v>43216</c:v>
                </c:pt>
                <c:pt idx="514">
                  <c:v>43217</c:v>
                </c:pt>
                <c:pt idx="515">
                  <c:v>43222</c:v>
                </c:pt>
                <c:pt idx="516">
                  <c:v>43223</c:v>
                </c:pt>
                <c:pt idx="517">
                  <c:v>43224</c:v>
                </c:pt>
                <c:pt idx="518">
                  <c:v>43227</c:v>
                </c:pt>
                <c:pt idx="519">
                  <c:v>43228</c:v>
                </c:pt>
                <c:pt idx="520">
                  <c:v>43229</c:v>
                </c:pt>
                <c:pt idx="521">
                  <c:v>43230</c:v>
                </c:pt>
                <c:pt idx="522">
                  <c:v>43231</c:v>
                </c:pt>
                <c:pt idx="523">
                  <c:v>43234</c:v>
                </c:pt>
                <c:pt idx="524">
                  <c:v>43235</c:v>
                </c:pt>
                <c:pt idx="525">
                  <c:v>43236</c:v>
                </c:pt>
                <c:pt idx="526">
                  <c:v>43237</c:v>
                </c:pt>
                <c:pt idx="527">
                  <c:v>43238</c:v>
                </c:pt>
                <c:pt idx="528">
                  <c:v>43241</c:v>
                </c:pt>
                <c:pt idx="529">
                  <c:v>43242</c:v>
                </c:pt>
                <c:pt idx="530">
                  <c:v>43243</c:v>
                </c:pt>
                <c:pt idx="531">
                  <c:v>43244</c:v>
                </c:pt>
                <c:pt idx="532">
                  <c:v>43245</c:v>
                </c:pt>
                <c:pt idx="533">
                  <c:v>43248</c:v>
                </c:pt>
                <c:pt idx="534">
                  <c:v>43249</c:v>
                </c:pt>
                <c:pt idx="535">
                  <c:v>43250</c:v>
                </c:pt>
                <c:pt idx="536">
                  <c:v>43251</c:v>
                </c:pt>
                <c:pt idx="537">
                  <c:v>43252</c:v>
                </c:pt>
                <c:pt idx="538">
                  <c:v>43255</c:v>
                </c:pt>
                <c:pt idx="539">
                  <c:v>43256</c:v>
                </c:pt>
                <c:pt idx="540">
                  <c:v>43257</c:v>
                </c:pt>
                <c:pt idx="541">
                  <c:v>43258</c:v>
                </c:pt>
                <c:pt idx="542">
                  <c:v>43259</c:v>
                </c:pt>
                <c:pt idx="543">
                  <c:v>43262</c:v>
                </c:pt>
                <c:pt idx="544">
                  <c:v>43263</c:v>
                </c:pt>
                <c:pt idx="545">
                  <c:v>43264</c:v>
                </c:pt>
                <c:pt idx="546">
                  <c:v>43265</c:v>
                </c:pt>
                <c:pt idx="547">
                  <c:v>43266</c:v>
                </c:pt>
                <c:pt idx="548">
                  <c:v>43270</c:v>
                </c:pt>
                <c:pt idx="549">
                  <c:v>43271</c:v>
                </c:pt>
                <c:pt idx="550">
                  <c:v>43272</c:v>
                </c:pt>
                <c:pt idx="551">
                  <c:v>43273</c:v>
                </c:pt>
                <c:pt idx="552">
                  <c:v>43276</c:v>
                </c:pt>
                <c:pt idx="553">
                  <c:v>43277</c:v>
                </c:pt>
                <c:pt idx="554">
                  <c:v>43278</c:v>
                </c:pt>
                <c:pt idx="555">
                  <c:v>43279</c:v>
                </c:pt>
                <c:pt idx="556">
                  <c:v>43280</c:v>
                </c:pt>
                <c:pt idx="557">
                  <c:v>43283</c:v>
                </c:pt>
                <c:pt idx="558">
                  <c:v>43284</c:v>
                </c:pt>
                <c:pt idx="559">
                  <c:v>43285</c:v>
                </c:pt>
                <c:pt idx="560">
                  <c:v>43286</c:v>
                </c:pt>
                <c:pt idx="561">
                  <c:v>43287</c:v>
                </c:pt>
                <c:pt idx="562">
                  <c:v>43290</c:v>
                </c:pt>
                <c:pt idx="563">
                  <c:v>43291</c:v>
                </c:pt>
                <c:pt idx="564">
                  <c:v>43292</c:v>
                </c:pt>
                <c:pt idx="565">
                  <c:v>43293</c:v>
                </c:pt>
                <c:pt idx="566">
                  <c:v>43294</c:v>
                </c:pt>
                <c:pt idx="567">
                  <c:v>43297</c:v>
                </c:pt>
                <c:pt idx="568">
                  <c:v>43298</c:v>
                </c:pt>
                <c:pt idx="569">
                  <c:v>43299</c:v>
                </c:pt>
                <c:pt idx="570">
                  <c:v>43300</c:v>
                </c:pt>
                <c:pt idx="571">
                  <c:v>43301</c:v>
                </c:pt>
                <c:pt idx="572">
                  <c:v>43304</c:v>
                </c:pt>
                <c:pt idx="573">
                  <c:v>43305</c:v>
                </c:pt>
                <c:pt idx="574">
                  <c:v>43306</c:v>
                </c:pt>
                <c:pt idx="575">
                  <c:v>43307</c:v>
                </c:pt>
                <c:pt idx="576">
                  <c:v>43308</c:v>
                </c:pt>
                <c:pt idx="577">
                  <c:v>43311</c:v>
                </c:pt>
                <c:pt idx="578">
                  <c:v>43312</c:v>
                </c:pt>
                <c:pt idx="579">
                  <c:v>43313</c:v>
                </c:pt>
                <c:pt idx="580">
                  <c:v>43314</c:v>
                </c:pt>
                <c:pt idx="581">
                  <c:v>43315</c:v>
                </c:pt>
                <c:pt idx="582">
                  <c:v>43318</c:v>
                </c:pt>
                <c:pt idx="583">
                  <c:v>43319</c:v>
                </c:pt>
                <c:pt idx="584">
                  <c:v>43320</c:v>
                </c:pt>
                <c:pt idx="585">
                  <c:v>43321</c:v>
                </c:pt>
                <c:pt idx="586">
                  <c:v>43322</c:v>
                </c:pt>
                <c:pt idx="587">
                  <c:v>43325</c:v>
                </c:pt>
                <c:pt idx="588">
                  <c:v>43326</c:v>
                </c:pt>
                <c:pt idx="589">
                  <c:v>43327</c:v>
                </c:pt>
                <c:pt idx="590">
                  <c:v>43328</c:v>
                </c:pt>
                <c:pt idx="591">
                  <c:v>43329</c:v>
                </c:pt>
                <c:pt idx="592">
                  <c:v>43332</c:v>
                </c:pt>
                <c:pt idx="593">
                  <c:v>43333</c:v>
                </c:pt>
                <c:pt idx="594">
                  <c:v>43334</c:v>
                </c:pt>
                <c:pt idx="595">
                  <c:v>43335</c:v>
                </c:pt>
                <c:pt idx="596">
                  <c:v>43336</c:v>
                </c:pt>
                <c:pt idx="597">
                  <c:v>43339</c:v>
                </c:pt>
                <c:pt idx="598">
                  <c:v>43340</c:v>
                </c:pt>
                <c:pt idx="599">
                  <c:v>43341</c:v>
                </c:pt>
                <c:pt idx="600">
                  <c:v>43342</c:v>
                </c:pt>
                <c:pt idx="601">
                  <c:v>43343</c:v>
                </c:pt>
                <c:pt idx="602">
                  <c:v>43346</c:v>
                </c:pt>
                <c:pt idx="603">
                  <c:v>43347</c:v>
                </c:pt>
                <c:pt idx="604">
                  <c:v>43348</c:v>
                </c:pt>
                <c:pt idx="605">
                  <c:v>43349</c:v>
                </c:pt>
                <c:pt idx="606">
                  <c:v>43350</c:v>
                </c:pt>
                <c:pt idx="607">
                  <c:v>43353</c:v>
                </c:pt>
                <c:pt idx="608">
                  <c:v>43354</c:v>
                </c:pt>
                <c:pt idx="609">
                  <c:v>43355</c:v>
                </c:pt>
                <c:pt idx="610">
                  <c:v>43356</c:v>
                </c:pt>
                <c:pt idx="611">
                  <c:v>43357</c:v>
                </c:pt>
                <c:pt idx="612">
                  <c:v>43360</c:v>
                </c:pt>
                <c:pt idx="613">
                  <c:v>43361</c:v>
                </c:pt>
                <c:pt idx="614">
                  <c:v>43362</c:v>
                </c:pt>
                <c:pt idx="615">
                  <c:v>43363</c:v>
                </c:pt>
                <c:pt idx="616">
                  <c:v>43364</c:v>
                </c:pt>
                <c:pt idx="617">
                  <c:v>43368</c:v>
                </c:pt>
                <c:pt idx="618">
                  <c:v>43369</c:v>
                </c:pt>
                <c:pt idx="619">
                  <c:v>43370</c:v>
                </c:pt>
                <c:pt idx="620">
                  <c:v>43371</c:v>
                </c:pt>
                <c:pt idx="621">
                  <c:v>43381</c:v>
                </c:pt>
                <c:pt idx="622">
                  <c:v>43382</c:v>
                </c:pt>
                <c:pt idx="623">
                  <c:v>43383</c:v>
                </c:pt>
                <c:pt idx="624">
                  <c:v>43384</c:v>
                </c:pt>
                <c:pt idx="625">
                  <c:v>43385</c:v>
                </c:pt>
                <c:pt idx="626">
                  <c:v>43388</c:v>
                </c:pt>
                <c:pt idx="627">
                  <c:v>43389</c:v>
                </c:pt>
                <c:pt idx="628">
                  <c:v>43390</c:v>
                </c:pt>
                <c:pt idx="629">
                  <c:v>43391</c:v>
                </c:pt>
                <c:pt idx="630">
                  <c:v>43392</c:v>
                </c:pt>
                <c:pt idx="631">
                  <c:v>43395</c:v>
                </c:pt>
                <c:pt idx="632">
                  <c:v>43396</c:v>
                </c:pt>
                <c:pt idx="633">
                  <c:v>43397</c:v>
                </c:pt>
                <c:pt idx="634">
                  <c:v>43398</c:v>
                </c:pt>
                <c:pt idx="635">
                  <c:v>43399</c:v>
                </c:pt>
                <c:pt idx="636">
                  <c:v>43402</c:v>
                </c:pt>
                <c:pt idx="637">
                  <c:v>43403</c:v>
                </c:pt>
                <c:pt idx="638">
                  <c:v>43404</c:v>
                </c:pt>
                <c:pt idx="639">
                  <c:v>43405</c:v>
                </c:pt>
                <c:pt idx="640">
                  <c:v>43406</c:v>
                </c:pt>
                <c:pt idx="641">
                  <c:v>43409</c:v>
                </c:pt>
                <c:pt idx="642">
                  <c:v>43410</c:v>
                </c:pt>
                <c:pt idx="643">
                  <c:v>43411</c:v>
                </c:pt>
                <c:pt idx="644">
                  <c:v>43412</c:v>
                </c:pt>
                <c:pt idx="645">
                  <c:v>43413</c:v>
                </c:pt>
                <c:pt idx="646">
                  <c:v>43416</c:v>
                </c:pt>
                <c:pt idx="647">
                  <c:v>43417</c:v>
                </c:pt>
                <c:pt idx="648">
                  <c:v>43418</c:v>
                </c:pt>
                <c:pt idx="649">
                  <c:v>43419</c:v>
                </c:pt>
                <c:pt idx="650">
                  <c:v>43420</c:v>
                </c:pt>
                <c:pt idx="651">
                  <c:v>43423</c:v>
                </c:pt>
                <c:pt idx="652">
                  <c:v>43424</c:v>
                </c:pt>
                <c:pt idx="653">
                  <c:v>43425</c:v>
                </c:pt>
                <c:pt idx="654">
                  <c:v>43426</c:v>
                </c:pt>
                <c:pt idx="655">
                  <c:v>43427</c:v>
                </c:pt>
                <c:pt idx="656">
                  <c:v>43430</c:v>
                </c:pt>
                <c:pt idx="657">
                  <c:v>43431</c:v>
                </c:pt>
                <c:pt idx="658">
                  <c:v>43432</c:v>
                </c:pt>
                <c:pt idx="659">
                  <c:v>43433</c:v>
                </c:pt>
                <c:pt idx="660">
                  <c:v>43434</c:v>
                </c:pt>
                <c:pt idx="661">
                  <c:v>43437</c:v>
                </c:pt>
                <c:pt idx="662">
                  <c:v>43438</c:v>
                </c:pt>
                <c:pt idx="663">
                  <c:v>43439</c:v>
                </c:pt>
                <c:pt idx="664">
                  <c:v>43440</c:v>
                </c:pt>
                <c:pt idx="665">
                  <c:v>43441</c:v>
                </c:pt>
                <c:pt idx="666">
                  <c:v>43444</c:v>
                </c:pt>
                <c:pt idx="667">
                  <c:v>43445</c:v>
                </c:pt>
                <c:pt idx="668">
                  <c:v>43446</c:v>
                </c:pt>
                <c:pt idx="669">
                  <c:v>43447</c:v>
                </c:pt>
                <c:pt idx="670">
                  <c:v>43448</c:v>
                </c:pt>
                <c:pt idx="671">
                  <c:v>43451</c:v>
                </c:pt>
                <c:pt idx="672">
                  <c:v>43452</c:v>
                </c:pt>
                <c:pt idx="673">
                  <c:v>43453</c:v>
                </c:pt>
                <c:pt idx="674">
                  <c:v>43454</c:v>
                </c:pt>
                <c:pt idx="675">
                  <c:v>43455</c:v>
                </c:pt>
                <c:pt idx="676">
                  <c:v>43458</c:v>
                </c:pt>
                <c:pt idx="677">
                  <c:v>43459</c:v>
                </c:pt>
                <c:pt idx="678">
                  <c:v>43460</c:v>
                </c:pt>
                <c:pt idx="679">
                  <c:v>43461</c:v>
                </c:pt>
                <c:pt idx="680">
                  <c:v>43462</c:v>
                </c:pt>
                <c:pt idx="681">
                  <c:v>43467</c:v>
                </c:pt>
                <c:pt idx="682">
                  <c:v>43468</c:v>
                </c:pt>
                <c:pt idx="683">
                  <c:v>43469</c:v>
                </c:pt>
                <c:pt idx="684">
                  <c:v>43472</c:v>
                </c:pt>
                <c:pt idx="685">
                  <c:v>43473</c:v>
                </c:pt>
                <c:pt idx="686">
                  <c:v>43474</c:v>
                </c:pt>
                <c:pt idx="687">
                  <c:v>43475</c:v>
                </c:pt>
                <c:pt idx="688">
                  <c:v>43476</c:v>
                </c:pt>
                <c:pt idx="689">
                  <c:v>43479</c:v>
                </c:pt>
                <c:pt idx="690">
                  <c:v>43480</c:v>
                </c:pt>
                <c:pt idx="691">
                  <c:v>43481</c:v>
                </c:pt>
                <c:pt idx="692">
                  <c:v>43482</c:v>
                </c:pt>
                <c:pt idx="693">
                  <c:v>43483</c:v>
                </c:pt>
                <c:pt idx="694">
                  <c:v>43486</c:v>
                </c:pt>
                <c:pt idx="695">
                  <c:v>43487</c:v>
                </c:pt>
                <c:pt idx="696">
                  <c:v>43488</c:v>
                </c:pt>
                <c:pt idx="697">
                  <c:v>43489</c:v>
                </c:pt>
                <c:pt idx="698">
                  <c:v>43490</c:v>
                </c:pt>
                <c:pt idx="699">
                  <c:v>43493</c:v>
                </c:pt>
                <c:pt idx="700">
                  <c:v>43494</c:v>
                </c:pt>
                <c:pt idx="701">
                  <c:v>43495</c:v>
                </c:pt>
                <c:pt idx="702">
                  <c:v>43496</c:v>
                </c:pt>
                <c:pt idx="703">
                  <c:v>43497</c:v>
                </c:pt>
                <c:pt idx="704">
                  <c:v>43507</c:v>
                </c:pt>
                <c:pt idx="705">
                  <c:v>43508</c:v>
                </c:pt>
                <c:pt idx="706">
                  <c:v>43509</c:v>
                </c:pt>
                <c:pt idx="707">
                  <c:v>43510</c:v>
                </c:pt>
                <c:pt idx="708">
                  <c:v>43511</c:v>
                </c:pt>
                <c:pt idx="709">
                  <c:v>43514</c:v>
                </c:pt>
                <c:pt idx="710">
                  <c:v>43515</c:v>
                </c:pt>
                <c:pt idx="711">
                  <c:v>43516</c:v>
                </c:pt>
                <c:pt idx="712">
                  <c:v>43517</c:v>
                </c:pt>
                <c:pt idx="713">
                  <c:v>43518</c:v>
                </c:pt>
                <c:pt idx="714">
                  <c:v>43521</c:v>
                </c:pt>
                <c:pt idx="715">
                  <c:v>43522</c:v>
                </c:pt>
                <c:pt idx="716">
                  <c:v>43523</c:v>
                </c:pt>
                <c:pt idx="717">
                  <c:v>43524</c:v>
                </c:pt>
                <c:pt idx="718">
                  <c:v>43525</c:v>
                </c:pt>
                <c:pt idx="719">
                  <c:v>43528</c:v>
                </c:pt>
                <c:pt idx="720">
                  <c:v>43529</c:v>
                </c:pt>
                <c:pt idx="721">
                  <c:v>43530</c:v>
                </c:pt>
                <c:pt idx="722">
                  <c:v>43531</c:v>
                </c:pt>
                <c:pt idx="723">
                  <c:v>43532</c:v>
                </c:pt>
                <c:pt idx="724">
                  <c:v>43535</c:v>
                </c:pt>
                <c:pt idx="725">
                  <c:v>43536</c:v>
                </c:pt>
                <c:pt idx="726">
                  <c:v>43537</c:v>
                </c:pt>
                <c:pt idx="727">
                  <c:v>43538</c:v>
                </c:pt>
                <c:pt idx="728">
                  <c:v>43539</c:v>
                </c:pt>
                <c:pt idx="729">
                  <c:v>43542</c:v>
                </c:pt>
                <c:pt idx="730">
                  <c:v>43543</c:v>
                </c:pt>
                <c:pt idx="731">
                  <c:v>43544</c:v>
                </c:pt>
                <c:pt idx="732">
                  <c:v>43545</c:v>
                </c:pt>
                <c:pt idx="733">
                  <c:v>43546</c:v>
                </c:pt>
                <c:pt idx="734">
                  <c:v>43549</c:v>
                </c:pt>
                <c:pt idx="735">
                  <c:v>43550</c:v>
                </c:pt>
                <c:pt idx="736">
                  <c:v>43551</c:v>
                </c:pt>
                <c:pt idx="737">
                  <c:v>43552</c:v>
                </c:pt>
                <c:pt idx="738">
                  <c:v>43553</c:v>
                </c:pt>
                <c:pt idx="739">
                  <c:v>43556</c:v>
                </c:pt>
                <c:pt idx="740">
                  <c:v>43557</c:v>
                </c:pt>
                <c:pt idx="741">
                  <c:v>43558</c:v>
                </c:pt>
                <c:pt idx="742">
                  <c:v>43559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43574</c:v>
                </c:pt>
                <c:pt idx="753">
                  <c:v>43577</c:v>
                </c:pt>
                <c:pt idx="754">
                  <c:v>43578</c:v>
                </c:pt>
                <c:pt idx="755">
                  <c:v>43579</c:v>
                </c:pt>
                <c:pt idx="756">
                  <c:v>43580</c:v>
                </c:pt>
                <c:pt idx="757">
                  <c:v>43581</c:v>
                </c:pt>
                <c:pt idx="758">
                  <c:v>43584</c:v>
                </c:pt>
                <c:pt idx="759">
                  <c:v>43585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43626</c:v>
                </c:pt>
                <c:pt idx="785">
                  <c:v>43627</c:v>
                </c:pt>
                <c:pt idx="786">
                  <c:v>43628</c:v>
                </c:pt>
                <c:pt idx="787">
                  <c:v>43629</c:v>
                </c:pt>
                <c:pt idx="788">
                  <c:v>43630</c:v>
                </c:pt>
                <c:pt idx="789">
                  <c:v>43633</c:v>
                </c:pt>
                <c:pt idx="790">
                  <c:v>43634</c:v>
                </c:pt>
                <c:pt idx="791">
                  <c:v>43635</c:v>
                </c:pt>
                <c:pt idx="792">
                  <c:v>43636</c:v>
                </c:pt>
                <c:pt idx="793">
                  <c:v>43637</c:v>
                </c:pt>
                <c:pt idx="794">
                  <c:v>43640</c:v>
                </c:pt>
                <c:pt idx="795">
                  <c:v>43641</c:v>
                </c:pt>
                <c:pt idx="796">
                  <c:v>43642</c:v>
                </c:pt>
                <c:pt idx="797">
                  <c:v>43643</c:v>
                </c:pt>
                <c:pt idx="798">
                  <c:v>43644</c:v>
                </c:pt>
                <c:pt idx="799">
                  <c:v>43647</c:v>
                </c:pt>
                <c:pt idx="800">
                  <c:v>43648</c:v>
                </c:pt>
                <c:pt idx="801">
                  <c:v>43649</c:v>
                </c:pt>
                <c:pt idx="802">
                  <c:v>43650</c:v>
                </c:pt>
                <c:pt idx="803">
                  <c:v>43651</c:v>
                </c:pt>
                <c:pt idx="804">
                  <c:v>43654</c:v>
                </c:pt>
                <c:pt idx="805">
                  <c:v>43655</c:v>
                </c:pt>
                <c:pt idx="806">
                  <c:v>43656</c:v>
                </c:pt>
                <c:pt idx="807">
                  <c:v>43657</c:v>
                </c:pt>
                <c:pt idx="808">
                  <c:v>43658</c:v>
                </c:pt>
                <c:pt idx="809">
                  <c:v>43661</c:v>
                </c:pt>
                <c:pt idx="810">
                  <c:v>43662</c:v>
                </c:pt>
                <c:pt idx="811">
                  <c:v>43663</c:v>
                </c:pt>
                <c:pt idx="812">
                  <c:v>43664</c:v>
                </c:pt>
                <c:pt idx="813">
                  <c:v>43665</c:v>
                </c:pt>
                <c:pt idx="814">
                  <c:v>43668</c:v>
                </c:pt>
                <c:pt idx="815">
                  <c:v>43669</c:v>
                </c:pt>
                <c:pt idx="816">
                  <c:v>43670</c:v>
                </c:pt>
                <c:pt idx="817">
                  <c:v>43671</c:v>
                </c:pt>
                <c:pt idx="818">
                  <c:v>43672</c:v>
                </c:pt>
                <c:pt idx="819">
                  <c:v>43675</c:v>
                </c:pt>
                <c:pt idx="820">
                  <c:v>43676</c:v>
                </c:pt>
                <c:pt idx="821">
                  <c:v>43677</c:v>
                </c:pt>
                <c:pt idx="822">
                  <c:v>43678</c:v>
                </c:pt>
                <c:pt idx="823">
                  <c:v>43679</c:v>
                </c:pt>
                <c:pt idx="824">
                  <c:v>43682</c:v>
                </c:pt>
                <c:pt idx="825">
                  <c:v>43683</c:v>
                </c:pt>
                <c:pt idx="826">
                  <c:v>43684</c:v>
                </c:pt>
                <c:pt idx="827">
                  <c:v>43685</c:v>
                </c:pt>
                <c:pt idx="828">
                  <c:v>43686</c:v>
                </c:pt>
                <c:pt idx="829">
                  <c:v>43689</c:v>
                </c:pt>
                <c:pt idx="830">
                  <c:v>43690</c:v>
                </c:pt>
                <c:pt idx="831">
                  <c:v>43691</c:v>
                </c:pt>
                <c:pt idx="832">
                  <c:v>43692</c:v>
                </c:pt>
                <c:pt idx="833">
                  <c:v>43693</c:v>
                </c:pt>
                <c:pt idx="834">
                  <c:v>43696</c:v>
                </c:pt>
                <c:pt idx="835">
                  <c:v>43697</c:v>
                </c:pt>
                <c:pt idx="836">
                  <c:v>43698</c:v>
                </c:pt>
                <c:pt idx="837">
                  <c:v>43699</c:v>
                </c:pt>
                <c:pt idx="838">
                  <c:v>43700</c:v>
                </c:pt>
                <c:pt idx="839">
                  <c:v>43703</c:v>
                </c:pt>
                <c:pt idx="840">
                  <c:v>43704</c:v>
                </c:pt>
                <c:pt idx="841">
                  <c:v>43705</c:v>
                </c:pt>
                <c:pt idx="842">
                  <c:v>43706</c:v>
                </c:pt>
                <c:pt idx="843">
                  <c:v>43707</c:v>
                </c:pt>
                <c:pt idx="844">
                  <c:v>43710</c:v>
                </c:pt>
                <c:pt idx="845">
                  <c:v>43711</c:v>
                </c:pt>
                <c:pt idx="846">
                  <c:v>43712</c:v>
                </c:pt>
                <c:pt idx="847">
                  <c:v>43713</c:v>
                </c:pt>
                <c:pt idx="848">
                  <c:v>43714</c:v>
                </c:pt>
                <c:pt idx="849">
                  <c:v>43717</c:v>
                </c:pt>
                <c:pt idx="850">
                  <c:v>43718</c:v>
                </c:pt>
                <c:pt idx="851">
                  <c:v>43719</c:v>
                </c:pt>
                <c:pt idx="852">
                  <c:v>43720</c:v>
                </c:pt>
                <c:pt idx="853">
                  <c:v>43724</c:v>
                </c:pt>
                <c:pt idx="854">
                  <c:v>43725</c:v>
                </c:pt>
                <c:pt idx="855">
                  <c:v>43726</c:v>
                </c:pt>
                <c:pt idx="856">
                  <c:v>43727</c:v>
                </c:pt>
                <c:pt idx="857">
                  <c:v>43728</c:v>
                </c:pt>
                <c:pt idx="858">
                  <c:v>43731</c:v>
                </c:pt>
                <c:pt idx="859">
                  <c:v>43732</c:v>
                </c:pt>
                <c:pt idx="860">
                  <c:v>43733</c:v>
                </c:pt>
                <c:pt idx="861">
                  <c:v>43734</c:v>
                </c:pt>
                <c:pt idx="862">
                  <c:v>43735</c:v>
                </c:pt>
                <c:pt idx="863">
                  <c:v>43738</c:v>
                </c:pt>
                <c:pt idx="864">
                  <c:v>43746</c:v>
                </c:pt>
                <c:pt idx="865">
                  <c:v>43747</c:v>
                </c:pt>
                <c:pt idx="866">
                  <c:v>43748</c:v>
                </c:pt>
                <c:pt idx="867">
                  <c:v>43749</c:v>
                </c:pt>
                <c:pt idx="868">
                  <c:v>43752</c:v>
                </c:pt>
                <c:pt idx="869">
                  <c:v>43753</c:v>
                </c:pt>
                <c:pt idx="870">
                  <c:v>43754</c:v>
                </c:pt>
                <c:pt idx="871">
                  <c:v>43755</c:v>
                </c:pt>
                <c:pt idx="872">
                  <c:v>43756</c:v>
                </c:pt>
                <c:pt idx="873">
                  <c:v>43759</c:v>
                </c:pt>
                <c:pt idx="874">
                  <c:v>43760</c:v>
                </c:pt>
                <c:pt idx="875">
                  <c:v>43761</c:v>
                </c:pt>
                <c:pt idx="876">
                  <c:v>43762</c:v>
                </c:pt>
                <c:pt idx="877">
                  <c:v>43763</c:v>
                </c:pt>
                <c:pt idx="878">
                  <c:v>43766</c:v>
                </c:pt>
                <c:pt idx="879">
                  <c:v>43767</c:v>
                </c:pt>
                <c:pt idx="880">
                  <c:v>43768</c:v>
                </c:pt>
                <c:pt idx="881">
                  <c:v>43769</c:v>
                </c:pt>
                <c:pt idx="882">
                  <c:v>43770</c:v>
                </c:pt>
                <c:pt idx="883">
                  <c:v>43773</c:v>
                </c:pt>
                <c:pt idx="884">
                  <c:v>43774</c:v>
                </c:pt>
                <c:pt idx="885">
                  <c:v>43775</c:v>
                </c:pt>
                <c:pt idx="886">
                  <c:v>43776</c:v>
                </c:pt>
                <c:pt idx="887">
                  <c:v>43777</c:v>
                </c:pt>
                <c:pt idx="888">
                  <c:v>43780</c:v>
                </c:pt>
                <c:pt idx="889">
                  <c:v>43781</c:v>
                </c:pt>
                <c:pt idx="890">
                  <c:v>43782</c:v>
                </c:pt>
                <c:pt idx="891">
                  <c:v>43783</c:v>
                </c:pt>
                <c:pt idx="892">
                  <c:v>43784</c:v>
                </c:pt>
                <c:pt idx="893">
                  <c:v>43787</c:v>
                </c:pt>
                <c:pt idx="894">
                  <c:v>43788</c:v>
                </c:pt>
                <c:pt idx="895">
                  <c:v>43789</c:v>
                </c:pt>
                <c:pt idx="896">
                  <c:v>43790</c:v>
                </c:pt>
                <c:pt idx="897">
                  <c:v>43791</c:v>
                </c:pt>
                <c:pt idx="898">
                  <c:v>43794</c:v>
                </c:pt>
                <c:pt idx="899">
                  <c:v>43795</c:v>
                </c:pt>
                <c:pt idx="900">
                  <c:v>43796</c:v>
                </c:pt>
                <c:pt idx="901">
                  <c:v>43797</c:v>
                </c:pt>
                <c:pt idx="902">
                  <c:v>43798</c:v>
                </c:pt>
                <c:pt idx="903">
                  <c:v>43801</c:v>
                </c:pt>
                <c:pt idx="904">
                  <c:v>43802</c:v>
                </c:pt>
                <c:pt idx="905">
                  <c:v>43803</c:v>
                </c:pt>
                <c:pt idx="906">
                  <c:v>43804</c:v>
                </c:pt>
                <c:pt idx="907">
                  <c:v>43805</c:v>
                </c:pt>
                <c:pt idx="908">
                  <c:v>43808</c:v>
                </c:pt>
                <c:pt idx="909">
                  <c:v>43809</c:v>
                </c:pt>
                <c:pt idx="910">
                  <c:v>43810</c:v>
                </c:pt>
                <c:pt idx="911">
                  <c:v>43811</c:v>
                </c:pt>
                <c:pt idx="912">
                  <c:v>43812</c:v>
                </c:pt>
                <c:pt idx="913">
                  <c:v>43815</c:v>
                </c:pt>
                <c:pt idx="914">
                  <c:v>43816</c:v>
                </c:pt>
                <c:pt idx="915">
                  <c:v>43817</c:v>
                </c:pt>
                <c:pt idx="916">
                  <c:v>43818</c:v>
                </c:pt>
                <c:pt idx="917">
                  <c:v>43819</c:v>
                </c:pt>
                <c:pt idx="918">
                  <c:v>43822</c:v>
                </c:pt>
                <c:pt idx="919">
                  <c:v>43823</c:v>
                </c:pt>
                <c:pt idx="920">
                  <c:v>43824</c:v>
                </c:pt>
                <c:pt idx="921">
                  <c:v>43825</c:v>
                </c:pt>
                <c:pt idx="922">
                  <c:v>43826</c:v>
                </c:pt>
                <c:pt idx="923">
                  <c:v>43829</c:v>
                </c:pt>
                <c:pt idx="924">
                  <c:v>43830</c:v>
                </c:pt>
                <c:pt idx="925">
                  <c:v>43832</c:v>
                </c:pt>
                <c:pt idx="926">
                  <c:v>43833</c:v>
                </c:pt>
                <c:pt idx="927">
                  <c:v>43836</c:v>
                </c:pt>
                <c:pt idx="928">
                  <c:v>43837</c:v>
                </c:pt>
                <c:pt idx="929">
                  <c:v>43838</c:v>
                </c:pt>
                <c:pt idx="930">
                  <c:v>43839</c:v>
                </c:pt>
                <c:pt idx="931">
                  <c:v>43840</c:v>
                </c:pt>
                <c:pt idx="932">
                  <c:v>43843</c:v>
                </c:pt>
                <c:pt idx="933">
                  <c:v>43844</c:v>
                </c:pt>
                <c:pt idx="934">
                  <c:v>43845</c:v>
                </c:pt>
                <c:pt idx="935">
                  <c:v>43846</c:v>
                </c:pt>
                <c:pt idx="936">
                  <c:v>43847</c:v>
                </c:pt>
                <c:pt idx="937">
                  <c:v>43850</c:v>
                </c:pt>
                <c:pt idx="938">
                  <c:v>43851</c:v>
                </c:pt>
                <c:pt idx="939">
                  <c:v>43852</c:v>
                </c:pt>
                <c:pt idx="940">
                  <c:v>43853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43928</c:v>
                </c:pt>
                <c:pt idx="986">
                  <c:v>43929</c:v>
                </c:pt>
                <c:pt idx="987">
                  <c:v>43930</c:v>
                </c:pt>
                <c:pt idx="988">
                  <c:v>43931</c:v>
                </c:pt>
                <c:pt idx="989">
                  <c:v>43934</c:v>
                </c:pt>
                <c:pt idx="990">
                  <c:v>43935</c:v>
                </c:pt>
                <c:pt idx="991">
                  <c:v>43936</c:v>
                </c:pt>
                <c:pt idx="992">
                  <c:v>43937</c:v>
                </c:pt>
                <c:pt idx="993">
                  <c:v>43938</c:v>
                </c:pt>
                <c:pt idx="994">
                  <c:v>43941</c:v>
                </c:pt>
                <c:pt idx="995">
                  <c:v>43942</c:v>
                </c:pt>
                <c:pt idx="996">
                  <c:v>43943</c:v>
                </c:pt>
                <c:pt idx="997">
                  <c:v>43944</c:v>
                </c:pt>
                <c:pt idx="998">
                  <c:v>43945</c:v>
                </c:pt>
                <c:pt idx="999">
                  <c:v>43948</c:v>
                </c:pt>
                <c:pt idx="1000">
                  <c:v>43949</c:v>
                </c:pt>
                <c:pt idx="1001">
                  <c:v>43950</c:v>
                </c:pt>
                <c:pt idx="1002">
                  <c:v>43951</c:v>
                </c:pt>
                <c:pt idx="1003">
                  <c:v>43957</c:v>
                </c:pt>
                <c:pt idx="1004">
                  <c:v>43958</c:v>
                </c:pt>
                <c:pt idx="1005">
                  <c:v>43959</c:v>
                </c:pt>
                <c:pt idx="1006">
                  <c:v>43962</c:v>
                </c:pt>
                <c:pt idx="1007">
                  <c:v>43963</c:v>
                </c:pt>
                <c:pt idx="1008">
                  <c:v>43964</c:v>
                </c:pt>
                <c:pt idx="1009">
                  <c:v>43965</c:v>
                </c:pt>
                <c:pt idx="1010">
                  <c:v>43966</c:v>
                </c:pt>
                <c:pt idx="1011">
                  <c:v>43969</c:v>
                </c:pt>
                <c:pt idx="1012">
                  <c:v>43970</c:v>
                </c:pt>
                <c:pt idx="1013">
                  <c:v>43971</c:v>
                </c:pt>
                <c:pt idx="1014">
                  <c:v>43972</c:v>
                </c:pt>
                <c:pt idx="1015">
                  <c:v>43973</c:v>
                </c:pt>
                <c:pt idx="1016">
                  <c:v>43976</c:v>
                </c:pt>
                <c:pt idx="1017">
                  <c:v>43977</c:v>
                </c:pt>
                <c:pt idx="1018">
                  <c:v>43978</c:v>
                </c:pt>
                <c:pt idx="1019">
                  <c:v>43979</c:v>
                </c:pt>
                <c:pt idx="1020">
                  <c:v>43980</c:v>
                </c:pt>
                <c:pt idx="1021">
                  <c:v>43983</c:v>
                </c:pt>
                <c:pt idx="1022">
                  <c:v>43984</c:v>
                </c:pt>
                <c:pt idx="1023">
                  <c:v>43985</c:v>
                </c:pt>
                <c:pt idx="1024">
                  <c:v>43986</c:v>
                </c:pt>
                <c:pt idx="1025">
                  <c:v>43987</c:v>
                </c:pt>
                <c:pt idx="1026">
                  <c:v>43990</c:v>
                </c:pt>
                <c:pt idx="1027">
                  <c:v>43991</c:v>
                </c:pt>
                <c:pt idx="1028">
                  <c:v>43992</c:v>
                </c:pt>
                <c:pt idx="1029">
                  <c:v>43993</c:v>
                </c:pt>
                <c:pt idx="1030">
                  <c:v>43994</c:v>
                </c:pt>
                <c:pt idx="1031">
                  <c:v>43997</c:v>
                </c:pt>
                <c:pt idx="1032">
                  <c:v>43998</c:v>
                </c:pt>
                <c:pt idx="1033">
                  <c:v>43999</c:v>
                </c:pt>
                <c:pt idx="1034">
                  <c:v>44000</c:v>
                </c:pt>
                <c:pt idx="1035">
                  <c:v>44001</c:v>
                </c:pt>
                <c:pt idx="1036">
                  <c:v>44004</c:v>
                </c:pt>
                <c:pt idx="1037">
                  <c:v>44005</c:v>
                </c:pt>
                <c:pt idx="1038">
                  <c:v>44006</c:v>
                </c:pt>
                <c:pt idx="1039">
                  <c:v>44011</c:v>
                </c:pt>
                <c:pt idx="1040">
                  <c:v>44012</c:v>
                </c:pt>
                <c:pt idx="1041">
                  <c:v>44013</c:v>
                </c:pt>
                <c:pt idx="1042">
                  <c:v>44014</c:v>
                </c:pt>
                <c:pt idx="1043">
                  <c:v>44015</c:v>
                </c:pt>
                <c:pt idx="1044">
                  <c:v>44018</c:v>
                </c:pt>
                <c:pt idx="1045">
                  <c:v>44019</c:v>
                </c:pt>
                <c:pt idx="1046">
                  <c:v>44020</c:v>
                </c:pt>
                <c:pt idx="1047">
                  <c:v>44021</c:v>
                </c:pt>
                <c:pt idx="1048">
                  <c:v>44022</c:v>
                </c:pt>
                <c:pt idx="1049">
                  <c:v>44025</c:v>
                </c:pt>
                <c:pt idx="1050">
                  <c:v>44026</c:v>
                </c:pt>
                <c:pt idx="1051">
                  <c:v>44027</c:v>
                </c:pt>
                <c:pt idx="1052">
                  <c:v>44028</c:v>
                </c:pt>
                <c:pt idx="1053">
                  <c:v>44029</c:v>
                </c:pt>
                <c:pt idx="1054">
                  <c:v>44032</c:v>
                </c:pt>
                <c:pt idx="1055">
                  <c:v>44033</c:v>
                </c:pt>
                <c:pt idx="1056">
                  <c:v>44034</c:v>
                </c:pt>
                <c:pt idx="1057">
                  <c:v>44035</c:v>
                </c:pt>
                <c:pt idx="1058">
                  <c:v>44036</c:v>
                </c:pt>
                <c:pt idx="1059">
                  <c:v>44039</c:v>
                </c:pt>
                <c:pt idx="1060">
                  <c:v>44040</c:v>
                </c:pt>
                <c:pt idx="1061">
                  <c:v>44041</c:v>
                </c:pt>
                <c:pt idx="1062">
                  <c:v>44042</c:v>
                </c:pt>
                <c:pt idx="1063">
                  <c:v>44043</c:v>
                </c:pt>
                <c:pt idx="1064">
                  <c:v>44046</c:v>
                </c:pt>
                <c:pt idx="1065">
                  <c:v>44047</c:v>
                </c:pt>
                <c:pt idx="1066">
                  <c:v>44048</c:v>
                </c:pt>
                <c:pt idx="1067">
                  <c:v>44049</c:v>
                </c:pt>
                <c:pt idx="1068">
                  <c:v>44050</c:v>
                </c:pt>
                <c:pt idx="1069">
                  <c:v>44053</c:v>
                </c:pt>
                <c:pt idx="1070">
                  <c:v>44054</c:v>
                </c:pt>
                <c:pt idx="1071">
                  <c:v>44055</c:v>
                </c:pt>
                <c:pt idx="1072">
                  <c:v>44056</c:v>
                </c:pt>
                <c:pt idx="1073">
                  <c:v>44057</c:v>
                </c:pt>
                <c:pt idx="1074">
                  <c:v>44060</c:v>
                </c:pt>
                <c:pt idx="1075">
                  <c:v>44061</c:v>
                </c:pt>
                <c:pt idx="1076">
                  <c:v>44062</c:v>
                </c:pt>
                <c:pt idx="1077">
                  <c:v>44063</c:v>
                </c:pt>
                <c:pt idx="1078">
                  <c:v>44064</c:v>
                </c:pt>
                <c:pt idx="1079">
                  <c:v>44067</c:v>
                </c:pt>
                <c:pt idx="1080">
                  <c:v>44068</c:v>
                </c:pt>
                <c:pt idx="1081">
                  <c:v>44069</c:v>
                </c:pt>
                <c:pt idx="1082">
                  <c:v>44070</c:v>
                </c:pt>
                <c:pt idx="1083">
                  <c:v>44071</c:v>
                </c:pt>
                <c:pt idx="1084">
                  <c:v>44074</c:v>
                </c:pt>
                <c:pt idx="1085">
                  <c:v>44075</c:v>
                </c:pt>
                <c:pt idx="1086">
                  <c:v>44076</c:v>
                </c:pt>
                <c:pt idx="1087">
                  <c:v>44077</c:v>
                </c:pt>
                <c:pt idx="1088">
                  <c:v>44078</c:v>
                </c:pt>
                <c:pt idx="1089">
                  <c:v>44081</c:v>
                </c:pt>
                <c:pt idx="1090">
                  <c:v>44082</c:v>
                </c:pt>
                <c:pt idx="1091">
                  <c:v>44083</c:v>
                </c:pt>
                <c:pt idx="1092">
                  <c:v>44084</c:v>
                </c:pt>
                <c:pt idx="1093">
                  <c:v>44085</c:v>
                </c:pt>
                <c:pt idx="1094">
                  <c:v>44088</c:v>
                </c:pt>
                <c:pt idx="1095">
                  <c:v>44089</c:v>
                </c:pt>
                <c:pt idx="1096">
                  <c:v>44090</c:v>
                </c:pt>
                <c:pt idx="1097">
                  <c:v>44091</c:v>
                </c:pt>
                <c:pt idx="1098">
                  <c:v>44092</c:v>
                </c:pt>
                <c:pt idx="1099">
                  <c:v>44095</c:v>
                </c:pt>
                <c:pt idx="1100">
                  <c:v>44096</c:v>
                </c:pt>
                <c:pt idx="1101">
                  <c:v>44097</c:v>
                </c:pt>
                <c:pt idx="1102">
                  <c:v>44098</c:v>
                </c:pt>
                <c:pt idx="1103">
                  <c:v>44099</c:v>
                </c:pt>
                <c:pt idx="1104">
                  <c:v>44102</c:v>
                </c:pt>
                <c:pt idx="1105">
                  <c:v>44103</c:v>
                </c:pt>
                <c:pt idx="1106">
                  <c:v>44104</c:v>
                </c:pt>
                <c:pt idx="1107">
                  <c:v>44113</c:v>
                </c:pt>
                <c:pt idx="1108">
                  <c:v>44116</c:v>
                </c:pt>
                <c:pt idx="1109">
                  <c:v>44117</c:v>
                </c:pt>
                <c:pt idx="1110">
                  <c:v>44118</c:v>
                </c:pt>
                <c:pt idx="1111">
                  <c:v>44119</c:v>
                </c:pt>
                <c:pt idx="1112">
                  <c:v>44120</c:v>
                </c:pt>
                <c:pt idx="1113">
                  <c:v>44123</c:v>
                </c:pt>
                <c:pt idx="1114">
                  <c:v>44124</c:v>
                </c:pt>
                <c:pt idx="1115">
                  <c:v>44125</c:v>
                </c:pt>
                <c:pt idx="1116">
                  <c:v>44126</c:v>
                </c:pt>
                <c:pt idx="1117">
                  <c:v>44127</c:v>
                </c:pt>
                <c:pt idx="1118">
                  <c:v>44130</c:v>
                </c:pt>
                <c:pt idx="1119">
                  <c:v>44131</c:v>
                </c:pt>
                <c:pt idx="1120">
                  <c:v>44132</c:v>
                </c:pt>
                <c:pt idx="1121">
                  <c:v>44133</c:v>
                </c:pt>
                <c:pt idx="1122">
                  <c:v>44134</c:v>
                </c:pt>
                <c:pt idx="1123">
                  <c:v>44137</c:v>
                </c:pt>
                <c:pt idx="1124">
                  <c:v>44138</c:v>
                </c:pt>
                <c:pt idx="1125">
                  <c:v>44139</c:v>
                </c:pt>
                <c:pt idx="1126">
                  <c:v>44140</c:v>
                </c:pt>
              </c:numCache>
            </c:numRef>
          </c:cat>
          <c:val>
            <c:numRef>
              <c:f>vix!$B$2:$B$1128</c:f>
              <c:numCache>
                <c:formatCode>General</c:formatCode>
                <c:ptCount val="1127"/>
                <c:pt idx="0">
                  <c:v>31.623688251502621</c:v>
                </c:pt>
                <c:pt idx="1">
                  <c:v>33.109723464132493</c:v>
                </c:pt>
                <c:pt idx="2">
                  <c:v>33.510247036645893</c:v>
                </c:pt>
                <c:pt idx="3">
                  <c:v>31.78476022569475</c:v>
                </c:pt>
                <c:pt idx="4">
                  <c:v>29.333649849464901</c:v>
                </c:pt>
                <c:pt idx="5">
                  <c:v>27.955452660453009</c:v>
                </c:pt>
                <c:pt idx="6">
                  <c:v>28.080941833613579</c:v>
                </c:pt>
                <c:pt idx="7">
                  <c:v>27.443079078309911</c:v>
                </c:pt>
                <c:pt idx="8">
                  <c:v>27.780653625453699</c:v>
                </c:pt>
                <c:pt idx="9">
                  <c:v>27.2884412296665</c:v>
                </c:pt>
                <c:pt idx="10">
                  <c:v>26.841245563903492</c:v>
                </c:pt>
                <c:pt idx="11">
                  <c:v>26.816994047880751</c:v>
                </c:pt>
                <c:pt idx="12">
                  <c:v>25.62536652433111</c:v>
                </c:pt>
                <c:pt idx="13">
                  <c:v>24.530404634603471</c:v>
                </c:pt>
                <c:pt idx="14">
                  <c:v>24.220405707429361</c:v>
                </c:pt>
                <c:pt idx="15">
                  <c:v>23.49560565089368</c:v>
                </c:pt>
                <c:pt idx="16">
                  <c:v>23.364200461883879</c:v>
                </c:pt>
                <c:pt idx="17">
                  <c:v>22.819188266364911</c:v>
                </c:pt>
                <c:pt idx="18">
                  <c:v>22.84552001734486</c:v>
                </c:pt>
                <c:pt idx="19">
                  <c:v>23.051981009197782</c:v>
                </c:pt>
                <c:pt idx="20">
                  <c:v>22.388121041411491</c:v>
                </c:pt>
                <c:pt idx="21">
                  <c:v>24.29937538603161</c:v>
                </c:pt>
                <c:pt idx="22">
                  <c:v>23.402681223472889</c:v>
                </c:pt>
                <c:pt idx="23">
                  <c:v>22.59346843618497</c:v>
                </c:pt>
                <c:pt idx="24">
                  <c:v>22.071992961762291</c:v>
                </c:pt>
                <c:pt idx="25">
                  <c:v>22.460905529243171</c:v>
                </c:pt>
                <c:pt idx="26">
                  <c:v>22.431232317090341</c:v>
                </c:pt>
                <c:pt idx="27">
                  <c:v>21.428763354314881</c:v>
                </c:pt>
                <c:pt idx="28">
                  <c:v>20.630430518495949</c:v>
                </c:pt>
                <c:pt idx="29">
                  <c:v>20.582450478348111</c:v>
                </c:pt>
                <c:pt idx="30">
                  <c:v>20.040708122573069</c:v>
                </c:pt>
                <c:pt idx="31">
                  <c:v>19.73443165260306</c:v>
                </c:pt>
                <c:pt idx="32">
                  <c:v>20.445680510281601</c:v>
                </c:pt>
                <c:pt idx="33">
                  <c:v>23.11204323399858</c:v>
                </c:pt>
                <c:pt idx="34">
                  <c:v>21.971525502906641</c:v>
                </c:pt>
                <c:pt idx="35">
                  <c:v>20.60664804675255</c:v>
                </c:pt>
                <c:pt idx="36">
                  <c:v>20.678806893052919</c:v>
                </c:pt>
                <c:pt idx="37">
                  <c:v>20.019540973663901</c:v>
                </c:pt>
                <c:pt idx="38">
                  <c:v>19.7380069608501</c:v>
                </c:pt>
                <c:pt idx="39">
                  <c:v>19.292472371535681</c:v>
                </c:pt>
                <c:pt idx="40">
                  <c:v>20.947435897076961</c:v>
                </c:pt>
                <c:pt idx="41">
                  <c:v>19.811012639517099</c:v>
                </c:pt>
                <c:pt idx="42">
                  <c:v>18.698322543574559</c:v>
                </c:pt>
                <c:pt idx="43">
                  <c:v>17.053589797010641</c:v>
                </c:pt>
                <c:pt idx="44">
                  <c:v>16.833812728349208</c:v>
                </c:pt>
                <c:pt idx="45">
                  <c:v>17.51608987987753</c:v>
                </c:pt>
                <c:pt idx="46">
                  <c:v>16.050723053952719</c:v>
                </c:pt>
                <c:pt idx="47">
                  <c:v>15.5058365507911</c:v>
                </c:pt>
                <c:pt idx="48">
                  <c:v>15.83562089815149</c:v>
                </c:pt>
                <c:pt idx="49">
                  <c:v>18.25174528434292</c:v>
                </c:pt>
                <c:pt idx="50">
                  <c:v>18.15116013809811</c:v>
                </c:pt>
                <c:pt idx="51">
                  <c:v>17.8864494320866</c:v>
                </c:pt>
                <c:pt idx="52">
                  <c:v>17.987945577103979</c:v>
                </c:pt>
                <c:pt idx="53">
                  <c:v>18.139799958651381</c:v>
                </c:pt>
                <c:pt idx="54">
                  <c:v>17.964467503425841</c:v>
                </c:pt>
                <c:pt idx="55">
                  <c:v>18.245864938483731</c:v>
                </c:pt>
                <c:pt idx="56">
                  <c:v>19.501890698243081</c:v>
                </c:pt>
                <c:pt idx="57">
                  <c:v>18.972669200637831</c:v>
                </c:pt>
                <c:pt idx="58">
                  <c:v>19.782844662736242</c:v>
                </c:pt>
                <c:pt idx="59">
                  <c:v>19.27874394841816</c:v>
                </c:pt>
                <c:pt idx="60">
                  <c:v>18.3344564517264</c:v>
                </c:pt>
                <c:pt idx="61">
                  <c:v>18.496889788465371</c:v>
                </c:pt>
                <c:pt idx="62">
                  <c:v>18.114867639738371</c:v>
                </c:pt>
                <c:pt idx="63">
                  <c:v>18.423324175745481</c:v>
                </c:pt>
                <c:pt idx="64">
                  <c:v>18.62731026240127</c:v>
                </c:pt>
                <c:pt idx="65">
                  <c:v>18.728969942529861</c:v>
                </c:pt>
                <c:pt idx="66">
                  <c:v>17.47262437293104</c:v>
                </c:pt>
                <c:pt idx="67">
                  <c:v>16.64059485655843</c:v>
                </c:pt>
                <c:pt idx="68">
                  <c:v>16.109888746990318</c:v>
                </c:pt>
                <c:pt idx="69">
                  <c:v>15.72323067453836</c:v>
                </c:pt>
                <c:pt idx="70">
                  <c:v>15.44046184299336</c:v>
                </c:pt>
                <c:pt idx="71">
                  <c:v>15.342167261636691</c:v>
                </c:pt>
                <c:pt idx="72">
                  <c:v>15.857699024188589</c:v>
                </c:pt>
                <c:pt idx="73">
                  <c:v>15.833725360643371</c:v>
                </c:pt>
                <c:pt idx="74">
                  <c:v>16.464794071060641</c:v>
                </c:pt>
                <c:pt idx="75">
                  <c:v>16.44275392765195</c:v>
                </c:pt>
                <c:pt idx="76">
                  <c:v>16.221531940136678</c:v>
                </c:pt>
                <c:pt idx="77">
                  <c:v>15.8881279022856</c:v>
                </c:pt>
                <c:pt idx="78">
                  <c:v>17.001678326585239</c:v>
                </c:pt>
                <c:pt idx="79">
                  <c:v>16.763917748524619</c:v>
                </c:pt>
                <c:pt idx="80">
                  <c:v>16.879965927005081</c:v>
                </c:pt>
                <c:pt idx="81">
                  <c:v>17.597651619419711</c:v>
                </c:pt>
                <c:pt idx="82">
                  <c:v>17.541079481218841</c:v>
                </c:pt>
                <c:pt idx="83">
                  <c:v>18.954268897964202</c:v>
                </c:pt>
                <c:pt idx="84">
                  <c:v>18.730076617253641</c:v>
                </c:pt>
                <c:pt idx="85">
                  <c:v>18.186072676438119</c:v>
                </c:pt>
                <c:pt idx="86">
                  <c:v>17.10778076798907</c:v>
                </c:pt>
                <c:pt idx="87">
                  <c:v>16.578842772931939</c:v>
                </c:pt>
                <c:pt idx="88">
                  <c:v>17.275345326610989</c:v>
                </c:pt>
                <c:pt idx="89">
                  <c:v>16.154126797131031</c:v>
                </c:pt>
                <c:pt idx="90">
                  <c:v>16.04122830209981</c:v>
                </c:pt>
                <c:pt idx="91">
                  <c:v>16.10232325063598</c:v>
                </c:pt>
                <c:pt idx="92">
                  <c:v>15.60780260420964</c:v>
                </c:pt>
                <c:pt idx="93">
                  <c:v>15.213523025808049</c:v>
                </c:pt>
                <c:pt idx="94">
                  <c:v>14.850997577499321</c:v>
                </c:pt>
                <c:pt idx="95">
                  <c:v>14.58507296276073</c:v>
                </c:pt>
                <c:pt idx="96">
                  <c:v>14.488808487921631</c:v>
                </c:pt>
                <c:pt idx="97">
                  <c:v>14.053761034550311</c:v>
                </c:pt>
                <c:pt idx="98">
                  <c:v>14.090482447578619</c:v>
                </c:pt>
                <c:pt idx="99">
                  <c:v>14.22185475098518</c:v>
                </c:pt>
                <c:pt idx="100">
                  <c:v>14.24598829799428</c:v>
                </c:pt>
                <c:pt idx="101">
                  <c:v>16.428515778207011</c:v>
                </c:pt>
                <c:pt idx="102">
                  <c:v>16.629019853433441</c:v>
                </c:pt>
                <c:pt idx="103">
                  <c:v>19.738204949013159</c:v>
                </c:pt>
                <c:pt idx="104">
                  <c:v>19.855271527116859</c:v>
                </c:pt>
                <c:pt idx="105">
                  <c:v>19.747382241039929</c:v>
                </c:pt>
                <c:pt idx="106">
                  <c:v>19.19922923796123</c:v>
                </c:pt>
                <c:pt idx="107">
                  <c:v>18.583419329665379</c:v>
                </c:pt>
                <c:pt idx="108">
                  <c:v>18.369171461318778</c:v>
                </c:pt>
                <c:pt idx="109">
                  <c:v>18.218793165055359</c:v>
                </c:pt>
                <c:pt idx="110">
                  <c:v>17.90549375644019</c:v>
                </c:pt>
                <c:pt idx="111">
                  <c:v>17.511861990697589</c:v>
                </c:pt>
                <c:pt idx="112">
                  <c:v>17.426785585963142</c:v>
                </c:pt>
                <c:pt idx="113">
                  <c:v>17.715405539586861</c:v>
                </c:pt>
                <c:pt idx="114">
                  <c:v>17.71071328818088</c:v>
                </c:pt>
                <c:pt idx="115">
                  <c:v>17.670692759799021</c:v>
                </c:pt>
                <c:pt idx="116">
                  <c:v>17.56063278890651</c:v>
                </c:pt>
                <c:pt idx="117">
                  <c:v>17.35976984666668</c:v>
                </c:pt>
                <c:pt idx="118">
                  <c:v>17.389006804970482</c:v>
                </c:pt>
                <c:pt idx="119">
                  <c:v>16.955970506412541</c:v>
                </c:pt>
                <c:pt idx="120">
                  <c:v>15.9185427058393</c:v>
                </c:pt>
                <c:pt idx="121">
                  <c:v>16.138974685704369</c:v>
                </c:pt>
                <c:pt idx="122">
                  <c:v>14.931419157158039</c:v>
                </c:pt>
                <c:pt idx="123">
                  <c:v>14.918202647453681</c:v>
                </c:pt>
                <c:pt idx="124">
                  <c:v>14.762930254922839</c:v>
                </c:pt>
                <c:pt idx="125">
                  <c:v>14.36821709075668</c:v>
                </c:pt>
                <c:pt idx="126">
                  <c:v>15.644030479141261</c:v>
                </c:pt>
                <c:pt idx="127">
                  <c:v>14.49700921853943</c:v>
                </c:pt>
                <c:pt idx="128">
                  <c:v>13.94282839225839</c:v>
                </c:pt>
                <c:pt idx="129">
                  <c:v>13.497211049487211</c:v>
                </c:pt>
                <c:pt idx="130">
                  <c:v>13.75179148252683</c:v>
                </c:pt>
                <c:pt idx="131">
                  <c:v>13.86117112050859</c:v>
                </c:pt>
                <c:pt idx="132">
                  <c:v>12.55642340711438</c:v>
                </c:pt>
                <c:pt idx="133">
                  <c:v>13.634877360184881</c:v>
                </c:pt>
                <c:pt idx="134">
                  <c:v>14.0997668449454</c:v>
                </c:pt>
                <c:pt idx="135">
                  <c:v>13.45009819535314</c:v>
                </c:pt>
                <c:pt idx="136">
                  <c:v>13.455222374107001</c:v>
                </c:pt>
                <c:pt idx="137">
                  <c:v>13.163347106071839</c:v>
                </c:pt>
                <c:pt idx="138">
                  <c:v>12.59093455625869</c:v>
                </c:pt>
                <c:pt idx="139">
                  <c:v>12.37596193907024</c:v>
                </c:pt>
                <c:pt idx="140">
                  <c:v>12.46340364231707</c:v>
                </c:pt>
                <c:pt idx="141">
                  <c:v>13.96268328597499</c:v>
                </c:pt>
                <c:pt idx="142">
                  <c:v>13.34949198447122</c:v>
                </c:pt>
                <c:pt idx="143">
                  <c:v>13.11933483452251</c:v>
                </c:pt>
                <c:pt idx="144">
                  <c:v>13.24907148406561</c:v>
                </c:pt>
                <c:pt idx="145">
                  <c:v>13.523408260026541</c:v>
                </c:pt>
                <c:pt idx="146">
                  <c:v>13.79409704649377</c:v>
                </c:pt>
                <c:pt idx="147">
                  <c:v>13.474756249796391</c:v>
                </c:pt>
                <c:pt idx="148">
                  <c:v>13.58615639962024</c:v>
                </c:pt>
                <c:pt idx="149">
                  <c:v>13.62596303773525</c:v>
                </c:pt>
                <c:pt idx="150">
                  <c:v>13.803680575864989</c:v>
                </c:pt>
                <c:pt idx="151">
                  <c:v>14.20785333823701</c:v>
                </c:pt>
                <c:pt idx="152">
                  <c:v>15.06754635743777</c:v>
                </c:pt>
                <c:pt idx="153">
                  <c:v>15.169559275507151</c:v>
                </c:pt>
                <c:pt idx="154">
                  <c:v>16.297894497429709</c:v>
                </c:pt>
                <c:pt idx="155">
                  <c:v>16.036861316297841</c:v>
                </c:pt>
                <c:pt idx="156">
                  <c:v>15.635209011395929</c:v>
                </c:pt>
                <c:pt idx="157">
                  <c:v>14.199984885662969</c:v>
                </c:pt>
                <c:pt idx="158">
                  <c:v>13.83848499235024</c:v>
                </c:pt>
                <c:pt idx="159">
                  <c:v>14.451414498816799</c:v>
                </c:pt>
                <c:pt idx="160">
                  <c:v>14.42347721939783</c:v>
                </c:pt>
                <c:pt idx="161">
                  <c:v>16.616977150197521</c:v>
                </c:pt>
                <c:pt idx="162">
                  <c:v>16.079395943459911</c:v>
                </c:pt>
                <c:pt idx="163">
                  <c:v>15.69943719838095</c:v>
                </c:pt>
                <c:pt idx="164">
                  <c:v>14.582351082490931</c:v>
                </c:pt>
                <c:pt idx="165">
                  <c:v>15.201093706449219</c:v>
                </c:pt>
                <c:pt idx="166">
                  <c:v>15.171928866614749</c:v>
                </c:pt>
                <c:pt idx="167">
                  <c:v>14.63649373143531</c:v>
                </c:pt>
                <c:pt idx="168">
                  <c:v>14.33570482457049</c:v>
                </c:pt>
                <c:pt idx="169">
                  <c:v>15.636347820573929</c:v>
                </c:pt>
                <c:pt idx="170">
                  <c:v>14.892137601306519</c:v>
                </c:pt>
                <c:pt idx="171">
                  <c:v>16.407224469304101</c:v>
                </c:pt>
                <c:pt idx="172">
                  <c:v>15.83525946149155</c:v>
                </c:pt>
                <c:pt idx="173">
                  <c:v>16.193050606248519</c:v>
                </c:pt>
                <c:pt idx="174">
                  <c:v>16.331891599146541</c:v>
                </c:pt>
                <c:pt idx="175">
                  <c:v>15.67643835672612</c:v>
                </c:pt>
                <c:pt idx="176">
                  <c:v>15.137879990648109</c:v>
                </c:pt>
                <c:pt idx="177">
                  <c:v>14.13064003886206</c:v>
                </c:pt>
                <c:pt idx="178">
                  <c:v>14.55246313832513</c:v>
                </c:pt>
                <c:pt idx="179">
                  <c:v>15.42049943194008</c:v>
                </c:pt>
                <c:pt idx="180">
                  <c:v>15.4354862150157</c:v>
                </c:pt>
                <c:pt idx="181">
                  <c:v>15.858116696586601</c:v>
                </c:pt>
                <c:pt idx="182">
                  <c:v>17.178869624688179</c:v>
                </c:pt>
                <c:pt idx="183">
                  <c:v>16.461067647478639</c:v>
                </c:pt>
                <c:pt idx="184">
                  <c:v>16.589610696144099</c:v>
                </c:pt>
                <c:pt idx="185">
                  <c:v>17.726608490695511</c:v>
                </c:pt>
                <c:pt idx="186">
                  <c:v>18.305800639389592</c:v>
                </c:pt>
                <c:pt idx="187">
                  <c:v>18.36699368874056</c:v>
                </c:pt>
                <c:pt idx="188">
                  <c:v>17.677256653196221</c:v>
                </c:pt>
                <c:pt idx="189">
                  <c:v>17.33412128472969</c:v>
                </c:pt>
                <c:pt idx="190">
                  <c:v>18.02901354727139</c:v>
                </c:pt>
                <c:pt idx="191">
                  <c:v>17.895475386005359</c:v>
                </c:pt>
                <c:pt idx="192">
                  <c:v>16.97853809554708</c:v>
                </c:pt>
                <c:pt idx="193">
                  <c:v>16.86438639808669</c:v>
                </c:pt>
                <c:pt idx="194">
                  <c:v>15.87418225378409</c:v>
                </c:pt>
                <c:pt idx="195">
                  <c:v>14.75034768428756</c:v>
                </c:pt>
                <c:pt idx="196">
                  <c:v>14.7391674277369</c:v>
                </c:pt>
                <c:pt idx="197">
                  <c:v>14.4765760036163</c:v>
                </c:pt>
                <c:pt idx="198">
                  <c:v>14.14138757087451</c:v>
                </c:pt>
                <c:pt idx="199">
                  <c:v>13.829717403769941</c:v>
                </c:pt>
                <c:pt idx="200">
                  <c:v>13.768315332198449</c:v>
                </c:pt>
                <c:pt idx="201">
                  <c:v>13.56887382326151</c:v>
                </c:pt>
                <c:pt idx="202">
                  <c:v>13.294660693053411</c:v>
                </c:pt>
                <c:pt idx="203">
                  <c:v>13.32489204145041</c:v>
                </c:pt>
                <c:pt idx="204">
                  <c:v>12.31574559073319</c:v>
                </c:pt>
                <c:pt idx="205">
                  <c:v>13.12169372144397</c:v>
                </c:pt>
                <c:pt idx="206">
                  <c:v>12.85892444775347</c:v>
                </c:pt>
                <c:pt idx="207">
                  <c:v>12.277738728104129</c:v>
                </c:pt>
                <c:pt idx="208">
                  <c:v>11.664391585413791</c:v>
                </c:pt>
                <c:pt idx="209">
                  <c:v>11.636713660183799</c:v>
                </c:pt>
                <c:pt idx="210">
                  <c:v>11.43827919959177</c:v>
                </c:pt>
                <c:pt idx="211">
                  <c:v>11.32427967085302</c:v>
                </c:pt>
                <c:pt idx="212">
                  <c:v>12.43487523198786</c:v>
                </c:pt>
                <c:pt idx="213">
                  <c:v>12.52273574674413</c:v>
                </c:pt>
                <c:pt idx="214">
                  <c:v>11.92470872837098</c:v>
                </c:pt>
                <c:pt idx="215">
                  <c:v>12.785552255587749</c:v>
                </c:pt>
                <c:pt idx="216">
                  <c:v>12.617635450570949</c:v>
                </c:pt>
                <c:pt idx="217">
                  <c:v>12.446372925639951</c:v>
                </c:pt>
                <c:pt idx="218">
                  <c:v>12.07005674000929</c:v>
                </c:pt>
                <c:pt idx="219">
                  <c:v>11.375833654723021</c:v>
                </c:pt>
                <c:pt idx="220">
                  <c:v>11.94092878753251</c:v>
                </c:pt>
                <c:pt idx="221">
                  <c:v>11.91046190918153</c:v>
                </c:pt>
                <c:pt idx="222">
                  <c:v>12.220626695627439</c:v>
                </c:pt>
                <c:pt idx="223">
                  <c:v>12.084440001575169</c:v>
                </c:pt>
                <c:pt idx="224">
                  <c:v>12.298376370152591</c:v>
                </c:pt>
                <c:pt idx="225">
                  <c:v>11.89446229892439</c:v>
                </c:pt>
                <c:pt idx="226">
                  <c:v>11.056038900900489</c:v>
                </c:pt>
                <c:pt idx="227">
                  <c:v>11.2159209276523</c:v>
                </c:pt>
                <c:pt idx="228">
                  <c:v>11.992309903717469</c:v>
                </c:pt>
                <c:pt idx="229">
                  <c:v>11.941096737068269</c:v>
                </c:pt>
                <c:pt idx="230">
                  <c:v>11.71435174937954</c:v>
                </c:pt>
                <c:pt idx="231">
                  <c:v>12.033117036021</c:v>
                </c:pt>
                <c:pt idx="232">
                  <c:v>11.228573197366501</c:v>
                </c:pt>
                <c:pt idx="233">
                  <c:v>11.686121238638741</c:v>
                </c:pt>
                <c:pt idx="234">
                  <c:v>11.60488198289303</c:v>
                </c:pt>
                <c:pt idx="235">
                  <c:v>10.801592896326071</c:v>
                </c:pt>
                <c:pt idx="236">
                  <c:v>10.45551941560468</c:v>
                </c:pt>
                <c:pt idx="237">
                  <c:v>10.202641830166289</c:v>
                </c:pt>
                <c:pt idx="238">
                  <c:v>10.63911497975025</c:v>
                </c:pt>
                <c:pt idx="239">
                  <c:v>10.716091860494</c:v>
                </c:pt>
                <c:pt idx="240">
                  <c:v>13.102313948207231</c:v>
                </c:pt>
                <c:pt idx="241">
                  <c:v>12.09506885024587</c:v>
                </c:pt>
                <c:pt idx="242">
                  <c:v>11.602636595833779</c:v>
                </c:pt>
                <c:pt idx="243">
                  <c:v>11.163145560159339</c:v>
                </c:pt>
                <c:pt idx="244">
                  <c:v>11.07539992288063</c:v>
                </c:pt>
                <c:pt idx="245">
                  <c:v>10.848373654313271</c:v>
                </c:pt>
                <c:pt idx="246">
                  <c:v>10.012598071261991</c:v>
                </c:pt>
                <c:pt idx="247">
                  <c:v>9.8934650691040371</c:v>
                </c:pt>
                <c:pt idx="248">
                  <c:v>10.25771135868764</c:v>
                </c:pt>
                <c:pt idx="249">
                  <c:v>10.351078448884911</c:v>
                </c:pt>
                <c:pt idx="250">
                  <c:v>10.03904773911875</c:v>
                </c:pt>
                <c:pt idx="251">
                  <c:v>9.9061381156062023</c:v>
                </c:pt>
                <c:pt idx="252">
                  <c:v>9.6546870549313386</c:v>
                </c:pt>
                <c:pt idx="253">
                  <c:v>10.073461338745391</c:v>
                </c:pt>
                <c:pt idx="254">
                  <c:v>10.09320360489334</c:v>
                </c:pt>
                <c:pt idx="255">
                  <c:v>10.05595525801729</c:v>
                </c:pt>
                <c:pt idx="256">
                  <c:v>10.12526896852447</c:v>
                </c:pt>
                <c:pt idx="257">
                  <c:v>9.9812646521542163</c:v>
                </c:pt>
                <c:pt idx="258">
                  <c:v>9.9934992483600489</c:v>
                </c:pt>
                <c:pt idx="259">
                  <c:v>9.9889169534773909</c:v>
                </c:pt>
                <c:pt idx="260">
                  <c:v>10.4221912825689</c:v>
                </c:pt>
                <c:pt idx="261">
                  <c:v>10.252236772940851</c:v>
                </c:pt>
                <c:pt idx="262">
                  <c:v>10.260013580454901</c:v>
                </c:pt>
                <c:pt idx="263">
                  <c:v>11.282070144428261</c:v>
                </c:pt>
                <c:pt idx="264">
                  <c:v>10.85072144388444</c:v>
                </c:pt>
                <c:pt idx="265">
                  <c:v>10.193799251208111</c:v>
                </c:pt>
                <c:pt idx="266">
                  <c:v>10.078099390201031</c:v>
                </c:pt>
                <c:pt idx="267">
                  <c:v>9.6693574740410728</c:v>
                </c:pt>
                <c:pt idx="268">
                  <c:v>9.2938984549308792</c:v>
                </c:pt>
                <c:pt idx="269">
                  <c:v>9.0999381428499539</c:v>
                </c:pt>
                <c:pt idx="270">
                  <c:v>9.1333424962565779</c:v>
                </c:pt>
                <c:pt idx="271">
                  <c:v>9.0985515063978557</c:v>
                </c:pt>
                <c:pt idx="272">
                  <c:v>9.0691141317031647</c:v>
                </c:pt>
                <c:pt idx="273">
                  <c:v>9.015974808563973</c:v>
                </c:pt>
                <c:pt idx="274">
                  <c:v>9.3061443793011893</c:v>
                </c:pt>
                <c:pt idx="275">
                  <c:v>9.2596523648081757</c:v>
                </c:pt>
                <c:pt idx="276">
                  <c:v>8.8550888964331911</c:v>
                </c:pt>
                <c:pt idx="277">
                  <c:v>8.37953600845103</c:v>
                </c:pt>
                <c:pt idx="278">
                  <c:v>8.3181070547652745</c:v>
                </c:pt>
                <c:pt idx="279">
                  <c:v>8.7299775488917284</c:v>
                </c:pt>
                <c:pt idx="280">
                  <c:v>8.8699672317829137</c:v>
                </c:pt>
                <c:pt idx="281">
                  <c:v>8.6673045629419718</c:v>
                </c:pt>
                <c:pt idx="282">
                  <c:v>9.9199659694098177</c:v>
                </c:pt>
                <c:pt idx="283">
                  <c:v>9.9094154419148062</c:v>
                </c:pt>
                <c:pt idx="284">
                  <c:v>10.03583534615662</c:v>
                </c:pt>
                <c:pt idx="285">
                  <c:v>9.4044908174481243</c:v>
                </c:pt>
                <c:pt idx="286">
                  <c:v>9.4019907767168185</c:v>
                </c:pt>
                <c:pt idx="287">
                  <c:v>9.3718947723786119</c:v>
                </c:pt>
                <c:pt idx="288">
                  <c:v>13.1335342891383</c:v>
                </c:pt>
                <c:pt idx="289">
                  <c:v>11.37150121139625</c:v>
                </c:pt>
                <c:pt idx="290">
                  <c:v>12.02143428558554</c:v>
                </c:pt>
                <c:pt idx="291">
                  <c:v>12.12280821839172</c:v>
                </c:pt>
                <c:pt idx="292">
                  <c:v>12.6228572184767</c:v>
                </c:pt>
                <c:pt idx="293">
                  <c:v>11.83721309498763</c:v>
                </c:pt>
                <c:pt idx="294">
                  <c:v>12.388610227338511</c:v>
                </c:pt>
                <c:pt idx="295">
                  <c:v>13.524383717242671</c:v>
                </c:pt>
                <c:pt idx="296">
                  <c:v>14.18423254284024</c:v>
                </c:pt>
                <c:pt idx="297">
                  <c:v>14.95243881400709</c:v>
                </c:pt>
                <c:pt idx="298">
                  <c:v>15.399513299982489</c:v>
                </c:pt>
                <c:pt idx="299">
                  <c:v>15.03984202363489</c:v>
                </c:pt>
                <c:pt idx="300">
                  <c:v>14.257857976395981</c:v>
                </c:pt>
                <c:pt idx="301">
                  <c:v>13.76972552025426</c:v>
                </c:pt>
                <c:pt idx="302">
                  <c:v>13.202928934687129</c:v>
                </c:pt>
                <c:pt idx="303">
                  <c:v>13.71607741722619</c:v>
                </c:pt>
                <c:pt idx="304">
                  <c:v>13.8833257524937</c:v>
                </c:pt>
                <c:pt idx="305">
                  <c:v>14.316070978727501</c:v>
                </c:pt>
                <c:pt idx="306">
                  <c:v>14.50144370869323</c:v>
                </c:pt>
                <c:pt idx="307">
                  <c:v>14.59119617946844</c:v>
                </c:pt>
                <c:pt idx="308">
                  <c:v>15.3855108430129</c:v>
                </c:pt>
                <c:pt idx="309">
                  <c:v>14.86314224536266</c:v>
                </c:pt>
                <c:pt idx="310">
                  <c:v>15.04977079141141</c:v>
                </c:pt>
                <c:pt idx="311">
                  <c:v>14.473910541955661</c:v>
                </c:pt>
                <c:pt idx="312">
                  <c:v>14.409003845190981</c:v>
                </c:pt>
                <c:pt idx="313">
                  <c:v>13.94141752802048</c:v>
                </c:pt>
                <c:pt idx="314">
                  <c:v>13.124499189891109</c:v>
                </c:pt>
                <c:pt idx="315">
                  <c:v>14.23705336411278</c:v>
                </c:pt>
                <c:pt idx="316">
                  <c:v>13.828502046775579</c:v>
                </c:pt>
                <c:pt idx="317">
                  <c:v>13.88124187835199</c:v>
                </c:pt>
                <c:pt idx="318">
                  <c:v>13.90428207965245</c:v>
                </c:pt>
                <c:pt idx="319">
                  <c:v>13.734527115930369</c:v>
                </c:pt>
                <c:pt idx="320">
                  <c:v>14.78084159351334</c:v>
                </c:pt>
                <c:pt idx="321">
                  <c:v>14.791152785770549</c:v>
                </c:pt>
                <c:pt idx="322">
                  <c:v>15.77438433670096</c:v>
                </c:pt>
                <c:pt idx="323">
                  <c:v>17.354942806262709</c:v>
                </c:pt>
                <c:pt idx="324">
                  <c:v>16.930518337044479</c:v>
                </c:pt>
                <c:pt idx="325">
                  <c:v>17.245708260786959</c:v>
                </c:pt>
                <c:pt idx="326">
                  <c:v>18.320908641345909</c:v>
                </c:pt>
                <c:pt idx="327">
                  <c:v>16.95183496306997</c:v>
                </c:pt>
                <c:pt idx="328">
                  <c:v>15.71826505417914</c:v>
                </c:pt>
                <c:pt idx="329">
                  <c:v>15.39140548230824</c:v>
                </c:pt>
                <c:pt idx="330">
                  <c:v>15.94952716816282</c:v>
                </c:pt>
                <c:pt idx="331">
                  <c:v>15.88858720110729</c:v>
                </c:pt>
                <c:pt idx="332">
                  <c:v>15.57472042405543</c:v>
                </c:pt>
                <c:pt idx="333">
                  <c:v>15.75842769624567</c:v>
                </c:pt>
                <c:pt idx="334">
                  <c:v>15.071414759615489</c:v>
                </c:pt>
                <c:pt idx="335">
                  <c:v>14.83629875483051</c:v>
                </c:pt>
                <c:pt idx="336">
                  <c:v>15.276733936663829</c:v>
                </c:pt>
                <c:pt idx="337">
                  <c:v>14.952700230169111</c:v>
                </c:pt>
                <c:pt idx="338">
                  <c:v>15.37735300835778</c:v>
                </c:pt>
                <c:pt idx="339">
                  <c:v>15.016042608018131</c:v>
                </c:pt>
                <c:pt idx="340">
                  <c:v>14.262314886144891</c:v>
                </c:pt>
                <c:pt idx="341">
                  <c:v>13.69574297654961</c:v>
                </c:pt>
                <c:pt idx="342">
                  <c:v>14.612302844405949</c:v>
                </c:pt>
                <c:pt idx="343">
                  <c:v>14.26767533053305</c:v>
                </c:pt>
                <c:pt idx="344">
                  <c:v>14.011074166841571</c:v>
                </c:pt>
                <c:pt idx="345">
                  <c:v>16.30507008875167</c:v>
                </c:pt>
                <c:pt idx="346">
                  <c:v>16.016218645201789</c:v>
                </c:pt>
                <c:pt idx="347">
                  <c:v>15.55089359764338</c:v>
                </c:pt>
                <c:pt idx="348">
                  <c:v>14.55124763276544</c:v>
                </c:pt>
                <c:pt idx="349">
                  <c:v>13.678296887987891</c:v>
                </c:pt>
                <c:pt idx="350">
                  <c:v>14.17726159854573</c:v>
                </c:pt>
                <c:pt idx="351">
                  <c:v>13.61314312311068</c:v>
                </c:pt>
                <c:pt idx="352">
                  <c:v>14.51298522770697</c:v>
                </c:pt>
                <c:pt idx="353">
                  <c:v>14.333271880305951</c:v>
                </c:pt>
                <c:pt idx="354">
                  <c:v>14.94741594962912</c:v>
                </c:pt>
                <c:pt idx="355">
                  <c:v>14.674779488211041</c:v>
                </c:pt>
                <c:pt idx="356">
                  <c:v>14.6018732066489</c:v>
                </c:pt>
                <c:pt idx="357">
                  <c:v>14.515363143792159</c:v>
                </c:pt>
                <c:pt idx="358">
                  <c:v>15.01886253660553</c:v>
                </c:pt>
                <c:pt idx="359">
                  <c:v>15.00880919770445</c:v>
                </c:pt>
                <c:pt idx="360">
                  <c:v>15.23699243583914</c:v>
                </c:pt>
                <c:pt idx="361">
                  <c:v>14.715286979593101</c:v>
                </c:pt>
                <c:pt idx="362">
                  <c:v>14.46853201430546</c:v>
                </c:pt>
                <c:pt idx="363">
                  <c:v>15.118778107566261</c:v>
                </c:pt>
                <c:pt idx="364">
                  <c:v>15.186128589846071</c:v>
                </c:pt>
                <c:pt idx="365">
                  <c:v>15.31460969473398</c:v>
                </c:pt>
                <c:pt idx="366">
                  <c:v>14.074962517045639</c:v>
                </c:pt>
                <c:pt idx="367">
                  <c:v>13.62557067215859</c:v>
                </c:pt>
                <c:pt idx="368">
                  <c:v>13.713636165193771</c:v>
                </c:pt>
                <c:pt idx="369">
                  <c:v>12.954142969640509</c:v>
                </c:pt>
                <c:pt idx="370">
                  <c:v>13.77376034376344</c:v>
                </c:pt>
                <c:pt idx="371">
                  <c:v>13.58537120505189</c:v>
                </c:pt>
                <c:pt idx="372">
                  <c:v>13.210718190737181</c:v>
                </c:pt>
                <c:pt idx="373">
                  <c:v>12.83274463164115</c:v>
                </c:pt>
                <c:pt idx="374">
                  <c:v>12.73177834914406</c:v>
                </c:pt>
                <c:pt idx="375">
                  <c:v>12.319727421213431</c:v>
                </c:pt>
                <c:pt idx="376">
                  <c:v>10.5379434539787</c:v>
                </c:pt>
                <c:pt idx="377">
                  <c:v>10.94404806094858</c:v>
                </c:pt>
                <c:pt idx="378">
                  <c:v>11.595945301334091</c:v>
                </c:pt>
                <c:pt idx="379">
                  <c:v>11.65024761701852</c:v>
                </c:pt>
                <c:pt idx="380">
                  <c:v>11.065421117293649</c:v>
                </c:pt>
                <c:pt idx="381">
                  <c:v>10.688480723897371</c:v>
                </c:pt>
                <c:pt idx="382">
                  <c:v>10.67229908945697</c:v>
                </c:pt>
                <c:pt idx="383">
                  <c:v>10.55918007977262</c:v>
                </c:pt>
                <c:pt idx="384">
                  <c:v>10.65718867280488</c:v>
                </c:pt>
                <c:pt idx="385">
                  <c:v>11.068147862460661</c:v>
                </c:pt>
                <c:pt idx="386">
                  <c:v>11.11188038939366</c:v>
                </c:pt>
                <c:pt idx="387">
                  <c:v>10.973182377604511</c:v>
                </c:pt>
                <c:pt idx="388">
                  <c:v>10.332192103328801</c:v>
                </c:pt>
                <c:pt idx="389">
                  <c:v>11.59062189525544</c:v>
                </c:pt>
                <c:pt idx="390">
                  <c:v>11.35987768210275</c:v>
                </c:pt>
                <c:pt idx="391">
                  <c:v>11.166169944383491</c:v>
                </c:pt>
                <c:pt idx="392">
                  <c:v>10.723671434705491</c:v>
                </c:pt>
                <c:pt idx="393">
                  <c:v>11.59986299255762</c:v>
                </c:pt>
                <c:pt idx="394">
                  <c:v>10.94882738741879</c:v>
                </c:pt>
                <c:pt idx="395">
                  <c:v>10.63930204799825</c:v>
                </c:pt>
                <c:pt idx="396">
                  <c:v>10.577392779453721</c:v>
                </c:pt>
                <c:pt idx="397">
                  <c:v>10.41753193915253</c:v>
                </c:pt>
                <c:pt idx="398">
                  <c:v>10.692022527062351</c:v>
                </c:pt>
                <c:pt idx="399">
                  <c:v>10.419072344206061</c:v>
                </c:pt>
                <c:pt idx="400">
                  <c:v>10.762597011547751</c:v>
                </c:pt>
                <c:pt idx="401">
                  <c:v>10.871533191888419</c:v>
                </c:pt>
                <c:pt idx="402">
                  <c:v>11.43970161956536</c:v>
                </c:pt>
                <c:pt idx="403">
                  <c:v>11.5329734083675</c:v>
                </c:pt>
                <c:pt idx="404">
                  <c:v>12.22961303945444</c:v>
                </c:pt>
                <c:pt idx="405">
                  <c:v>14.5785860523051</c:v>
                </c:pt>
                <c:pt idx="406">
                  <c:v>14.08349461405629</c:v>
                </c:pt>
                <c:pt idx="407">
                  <c:v>14.614407687366841</c:v>
                </c:pt>
                <c:pt idx="408">
                  <c:v>16.202636221515331</c:v>
                </c:pt>
                <c:pt idx="409">
                  <c:v>15.965757141484969</c:v>
                </c:pt>
                <c:pt idx="410">
                  <c:v>16.602157588636128</c:v>
                </c:pt>
                <c:pt idx="411">
                  <c:v>17.162949713612079</c:v>
                </c:pt>
                <c:pt idx="412">
                  <c:v>17.761532890788349</c:v>
                </c:pt>
                <c:pt idx="413">
                  <c:v>18.053514959359209</c:v>
                </c:pt>
                <c:pt idx="414">
                  <c:v>17.762268685619521</c:v>
                </c:pt>
                <c:pt idx="415">
                  <c:v>18.281554966952552</c:v>
                </c:pt>
                <c:pt idx="416">
                  <c:v>19.056763548511341</c:v>
                </c:pt>
                <c:pt idx="417">
                  <c:v>20.174754895268212</c:v>
                </c:pt>
                <c:pt idx="418">
                  <c:v>17.92168051317805</c:v>
                </c:pt>
                <c:pt idx="419">
                  <c:v>17.240906347720891</c:v>
                </c:pt>
                <c:pt idx="420">
                  <c:v>17.693960300892542</c:v>
                </c:pt>
                <c:pt idx="421">
                  <c:v>16.623884932549299</c:v>
                </c:pt>
                <c:pt idx="422">
                  <c:v>16.195217601441851</c:v>
                </c:pt>
                <c:pt idx="423">
                  <c:v>16.170753556915209</c:v>
                </c:pt>
                <c:pt idx="424">
                  <c:v>16.20435112061126</c:v>
                </c:pt>
                <c:pt idx="425">
                  <c:v>15.958274614814361</c:v>
                </c:pt>
                <c:pt idx="426">
                  <c:v>15.85777005226806</c:v>
                </c:pt>
                <c:pt idx="427">
                  <c:v>15.31685397154361</c:v>
                </c:pt>
                <c:pt idx="428">
                  <c:v>16.00785559122199</c:v>
                </c:pt>
                <c:pt idx="429">
                  <c:v>15.79014921625817</c:v>
                </c:pt>
                <c:pt idx="430">
                  <c:v>17.177358719691359</c:v>
                </c:pt>
                <c:pt idx="431">
                  <c:v>17.060065235539341</c:v>
                </c:pt>
                <c:pt idx="432">
                  <c:v>16.901140500904059</c:v>
                </c:pt>
                <c:pt idx="433">
                  <c:v>16.147900698136951</c:v>
                </c:pt>
                <c:pt idx="434">
                  <c:v>16.620391110267221</c:v>
                </c:pt>
                <c:pt idx="435">
                  <c:v>17.988431763238221</c:v>
                </c:pt>
                <c:pt idx="436">
                  <c:v>15.940134136412979</c:v>
                </c:pt>
                <c:pt idx="437">
                  <c:v>14.53533992853913</c:v>
                </c:pt>
                <c:pt idx="438">
                  <c:v>14.861205539285811</c:v>
                </c:pt>
                <c:pt idx="439">
                  <c:v>14.5176662993611</c:v>
                </c:pt>
                <c:pt idx="440">
                  <c:v>14.31564019524698</c:v>
                </c:pt>
                <c:pt idx="441">
                  <c:v>14.063709152501669</c:v>
                </c:pt>
                <c:pt idx="442">
                  <c:v>14.7379821345185</c:v>
                </c:pt>
                <c:pt idx="443">
                  <c:v>13.991930109946001</c:v>
                </c:pt>
                <c:pt idx="444">
                  <c:v>14.2103510602517</c:v>
                </c:pt>
                <c:pt idx="445">
                  <c:v>14.55818758875335</c:v>
                </c:pt>
                <c:pt idx="446">
                  <c:v>14.28123949930484</c:v>
                </c:pt>
                <c:pt idx="447">
                  <c:v>15.52952284098459</c:v>
                </c:pt>
                <c:pt idx="448">
                  <c:v>16.07758444912238</c:v>
                </c:pt>
                <c:pt idx="449">
                  <c:v>19.742317336498228</c:v>
                </c:pt>
                <c:pt idx="450">
                  <c:v>22.093193970352608</c:v>
                </c:pt>
                <c:pt idx="451">
                  <c:v>21.8176992402827</c:v>
                </c:pt>
                <c:pt idx="452">
                  <c:v>20.97584419194305</c:v>
                </c:pt>
                <c:pt idx="453">
                  <c:v>21.138696394999371</c:v>
                </c:pt>
                <c:pt idx="454">
                  <c:v>22.742225347850219</c:v>
                </c:pt>
                <c:pt idx="455">
                  <c:v>20.00155679019603</c:v>
                </c:pt>
                <c:pt idx="456">
                  <c:v>17.961445145899742</c:v>
                </c:pt>
                <c:pt idx="457">
                  <c:v>18.501230015576549</c:v>
                </c:pt>
                <c:pt idx="458">
                  <c:v>16.10278725580233</c:v>
                </c:pt>
                <c:pt idx="459">
                  <c:v>17.169027360149428</c:v>
                </c:pt>
                <c:pt idx="460">
                  <c:v>16.783801700618611</c:v>
                </c:pt>
                <c:pt idx="461">
                  <c:v>17.041038680986858</c:v>
                </c:pt>
                <c:pt idx="462">
                  <c:v>18.57349466611193</c:v>
                </c:pt>
                <c:pt idx="463">
                  <c:v>22.280661241804211</c:v>
                </c:pt>
                <c:pt idx="464">
                  <c:v>24.275213012407232</c:v>
                </c:pt>
                <c:pt idx="465">
                  <c:v>25.922689014796301</c:v>
                </c:pt>
                <c:pt idx="466">
                  <c:v>34.845078446398539</c:v>
                </c:pt>
                <c:pt idx="467">
                  <c:v>29.401617210012969</c:v>
                </c:pt>
                <c:pt idx="468">
                  <c:v>28.458678428643069</c:v>
                </c:pt>
                <c:pt idx="469">
                  <c:v>28.08259783543302</c:v>
                </c:pt>
                <c:pt idx="470">
                  <c:v>28.017950941372479</c:v>
                </c:pt>
                <c:pt idx="471">
                  <c:v>25.007601129732421</c:v>
                </c:pt>
                <c:pt idx="472">
                  <c:v>24.48491953505933</c:v>
                </c:pt>
                <c:pt idx="473">
                  <c:v>25.731960766550639</c:v>
                </c:pt>
                <c:pt idx="474">
                  <c:v>26.120661356434841</c:v>
                </c:pt>
                <c:pt idx="475">
                  <c:v>23.93014053920891</c:v>
                </c:pt>
                <c:pt idx="476">
                  <c:v>23.745408477085579</c:v>
                </c:pt>
                <c:pt idx="477">
                  <c:v>22.328663447526409</c:v>
                </c:pt>
                <c:pt idx="478">
                  <c:v>21.066097735623991</c:v>
                </c:pt>
                <c:pt idx="479">
                  <c:v>22.00346628612083</c:v>
                </c:pt>
                <c:pt idx="480">
                  <c:v>21.07560112733843</c:v>
                </c:pt>
                <c:pt idx="481">
                  <c:v>20.52726556854407</c:v>
                </c:pt>
                <c:pt idx="482">
                  <c:v>21.410888202437171</c:v>
                </c:pt>
                <c:pt idx="483">
                  <c:v>21.83677500555596</c:v>
                </c:pt>
                <c:pt idx="484">
                  <c:v>21.074527903323819</c:v>
                </c:pt>
                <c:pt idx="485">
                  <c:v>20.510422892467719</c:v>
                </c:pt>
                <c:pt idx="486">
                  <c:v>20.849276263359769</c:v>
                </c:pt>
                <c:pt idx="487">
                  <c:v>21.031106926870649</c:v>
                </c:pt>
                <c:pt idx="488">
                  <c:v>20.896938644252948</c:v>
                </c:pt>
                <c:pt idx="489">
                  <c:v>22.91003716295403</c:v>
                </c:pt>
                <c:pt idx="490">
                  <c:v>22.373814341066609</c:v>
                </c:pt>
                <c:pt idx="491">
                  <c:v>26.2851991845986</c:v>
                </c:pt>
                <c:pt idx="492">
                  <c:v>24.771113926559099</c:v>
                </c:pt>
                <c:pt idx="493">
                  <c:v>23.739740882870048</c:v>
                </c:pt>
                <c:pt idx="494">
                  <c:v>24.902760686277929</c:v>
                </c:pt>
                <c:pt idx="495">
                  <c:v>25.072136206657191</c:v>
                </c:pt>
                <c:pt idx="496">
                  <c:v>25.022035525022311</c:v>
                </c:pt>
                <c:pt idx="497">
                  <c:v>24.79158884524907</c:v>
                </c:pt>
                <c:pt idx="498">
                  <c:v>24.704489461786341</c:v>
                </c:pt>
                <c:pt idx="499">
                  <c:v>24.450181016809399</c:v>
                </c:pt>
                <c:pt idx="500">
                  <c:v>24.98360859563639</c:v>
                </c:pt>
                <c:pt idx="501">
                  <c:v>23.456439354097238</c:v>
                </c:pt>
                <c:pt idx="502">
                  <c:v>23.95139795197743</c:v>
                </c:pt>
                <c:pt idx="503">
                  <c:v>24.38064792591938</c:v>
                </c:pt>
                <c:pt idx="504">
                  <c:v>24.66410802138336</c:v>
                </c:pt>
                <c:pt idx="505">
                  <c:v>25.543102490269771</c:v>
                </c:pt>
                <c:pt idx="506">
                  <c:v>25.64556520987831</c:v>
                </c:pt>
                <c:pt idx="507">
                  <c:v>27.10908849261601</c:v>
                </c:pt>
                <c:pt idx="508">
                  <c:v>25.18917569185831</c:v>
                </c:pt>
                <c:pt idx="509">
                  <c:v>23.984443460652869</c:v>
                </c:pt>
                <c:pt idx="510">
                  <c:v>22.853532269590261</c:v>
                </c:pt>
                <c:pt idx="511">
                  <c:v>23.100679765753171</c:v>
                </c:pt>
                <c:pt idx="512">
                  <c:v>22.78435069107832</c:v>
                </c:pt>
                <c:pt idx="513">
                  <c:v>22.95406360274411</c:v>
                </c:pt>
                <c:pt idx="514">
                  <c:v>23.759194353394172</c:v>
                </c:pt>
                <c:pt idx="515">
                  <c:v>25.421391346865569</c:v>
                </c:pt>
                <c:pt idx="516">
                  <c:v>25.629974454605279</c:v>
                </c:pt>
                <c:pt idx="517">
                  <c:v>25.953814936560729</c:v>
                </c:pt>
                <c:pt idx="518">
                  <c:v>25.645915012670709</c:v>
                </c:pt>
                <c:pt idx="519">
                  <c:v>24.5942207589441</c:v>
                </c:pt>
                <c:pt idx="520">
                  <c:v>24.066229113927839</c:v>
                </c:pt>
                <c:pt idx="521">
                  <c:v>22.678012734522799</c:v>
                </c:pt>
                <c:pt idx="522">
                  <c:v>22.236563252081169</c:v>
                </c:pt>
                <c:pt idx="523">
                  <c:v>20.88804752081748</c:v>
                </c:pt>
                <c:pt idx="524">
                  <c:v>19.945380001735831</c:v>
                </c:pt>
                <c:pt idx="525">
                  <c:v>24.060384043014739</c:v>
                </c:pt>
                <c:pt idx="526">
                  <c:v>22.184060399943402</c:v>
                </c:pt>
                <c:pt idx="527">
                  <c:v>21.313832594561571</c:v>
                </c:pt>
                <c:pt idx="528">
                  <c:v>20.167683630813059</c:v>
                </c:pt>
                <c:pt idx="529">
                  <c:v>19.68722670917969</c:v>
                </c:pt>
                <c:pt idx="530">
                  <c:v>20.042892055803989</c:v>
                </c:pt>
                <c:pt idx="531">
                  <c:v>19.015749150638051</c:v>
                </c:pt>
                <c:pt idx="532">
                  <c:v>18.74744169018317</c:v>
                </c:pt>
                <c:pt idx="533">
                  <c:v>18.14845427976331</c:v>
                </c:pt>
                <c:pt idx="534">
                  <c:v>18.59127055369078</c:v>
                </c:pt>
                <c:pt idx="535">
                  <c:v>21.514089979809739</c:v>
                </c:pt>
                <c:pt idx="536">
                  <c:v>20.298078518267339</c:v>
                </c:pt>
                <c:pt idx="537">
                  <c:v>20.42194488855813</c:v>
                </c:pt>
                <c:pt idx="538">
                  <c:v>19.394963588497351</c:v>
                </c:pt>
                <c:pt idx="539">
                  <c:v>19.126682771540061</c:v>
                </c:pt>
                <c:pt idx="540">
                  <c:v>18.769692262468471</c:v>
                </c:pt>
                <c:pt idx="541">
                  <c:v>18.17222855321695</c:v>
                </c:pt>
                <c:pt idx="542">
                  <c:v>19.452766954248489</c:v>
                </c:pt>
                <c:pt idx="543">
                  <c:v>20.124709439551989</c:v>
                </c:pt>
                <c:pt idx="544">
                  <c:v>19.028764187967418</c:v>
                </c:pt>
                <c:pt idx="545">
                  <c:v>19.38254100236983</c:v>
                </c:pt>
                <c:pt idx="546">
                  <c:v>19.786324662768031</c:v>
                </c:pt>
                <c:pt idx="547">
                  <c:v>20.238685461007741</c:v>
                </c:pt>
                <c:pt idx="548">
                  <c:v>23.939748797785018</c:v>
                </c:pt>
                <c:pt idx="549">
                  <c:v>22.95502163149072</c:v>
                </c:pt>
                <c:pt idx="550">
                  <c:v>21.402423909775031</c:v>
                </c:pt>
                <c:pt idx="551">
                  <c:v>20.735313342695019</c:v>
                </c:pt>
                <c:pt idx="552">
                  <c:v>20.884043122674051</c:v>
                </c:pt>
                <c:pt idx="553">
                  <c:v>21.32861100969285</c:v>
                </c:pt>
                <c:pt idx="554">
                  <c:v>23.028558790746029</c:v>
                </c:pt>
                <c:pt idx="555">
                  <c:v>23.559196070007431</c:v>
                </c:pt>
                <c:pt idx="556">
                  <c:v>21.8300846834601</c:v>
                </c:pt>
                <c:pt idx="557">
                  <c:v>25.54623233776903</c:v>
                </c:pt>
                <c:pt idx="558">
                  <c:v>26.332324353386539</c:v>
                </c:pt>
                <c:pt idx="559">
                  <c:v>26.9387926483092</c:v>
                </c:pt>
                <c:pt idx="560">
                  <c:v>27.262367505933248</c:v>
                </c:pt>
                <c:pt idx="561">
                  <c:v>26.230877843690401</c:v>
                </c:pt>
                <c:pt idx="562">
                  <c:v>23.623927111734321</c:v>
                </c:pt>
                <c:pt idx="563">
                  <c:v>23.53737389727516</c:v>
                </c:pt>
                <c:pt idx="564">
                  <c:v>25.61048975449571</c:v>
                </c:pt>
                <c:pt idx="565">
                  <c:v>24.063683017223919</c:v>
                </c:pt>
                <c:pt idx="566">
                  <c:v>23.841866505437078</c:v>
                </c:pt>
                <c:pt idx="567">
                  <c:v>23.672684863151069</c:v>
                </c:pt>
                <c:pt idx="568">
                  <c:v>23.220916767770468</c:v>
                </c:pt>
                <c:pt idx="569">
                  <c:v>24.046105328011269</c:v>
                </c:pt>
                <c:pt idx="570">
                  <c:v>22.854777315274099</c:v>
                </c:pt>
                <c:pt idx="571">
                  <c:v>22.347153338505539</c:v>
                </c:pt>
                <c:pt idx="572">
                  <c:v>22.509940851704339</c:v>
                </c:pt>
                <c:pt idx="573">
                  <c:v>23.78042751970586</c:v>
                </c:pt>
                <c:pt idx="574">
                  <c:v>24.01816739421848</c:v>
                </c:pt>
                <c:pt idx="575">
                  <c:v>23.190566750319149</c:v>
                </c:pt>
                <c:pt idx="576">
                  <c:v>22.13449009182337</c:v>
                </c:pt>
                <c:pt idx="577">
                  <c:v>22.507189802271672</c:v>
                </c:pt>
                <c:pt idx="578">
                  <c:v>22.41623088306007</c:v>
                </c:pt>
                <c:pt idx="579">
                  <c:v>24.180695326151451</c:v>
                </c:pt>
                <c:pt idx="580">
                  <c:v>25.170203278876041</c:v>
                </c:pt>
                <c:pt idx="581">
                  <c:v>25.252498224677002</c:v>
                </c:pt>
                <c:pt idx="582">
                  <c:v>26.056341423972579</c:v>
                </c:pt>
                <c:pt idx="583">
                  <c:v>25.564188842668589</c:v>
                </c:pt>
                <c:pt idx="584">
                  <c:v>25.80063189108898</c:v>
                </c:pt>
                <c:pt idx="585">
                  <c:v>25.724723742728539</c:v>
                </c:pt>
                <c:pt idx="586">
                  <c:v>24.954692804880491</c:v>
                </c:pt>
                <c:pt idx="587">
                  <c:v>25.6984787885809</c:v>
                </c:pt>
                <c:pt idx="588">
                  <c:v>25.577205245762801</c:v>
                </c:pt>
                <c:pt idx="589">
                  <c:v>30.587319505797591</c:v>
                </c:pt>
                <c:pt idx="590">
                  <c:v>30.548826956183749</c:v>
                </c:pt>
                <c:pt idx="591">
                  <c:v>30.317564369040561</c:v>
                </c:pt>
                <c:pt idx="592">
                  <c:v>29.674909063083</c:v>
                </c:pt>
                <c:pt idx="593">
                  <c:v>26.667837593803331</c:v>
                </c:pt>
                <c:pt idx="594">
                  <c:v>25.22642302919515</c:v>
                </c:pt>
                <c:pt idx="595">
                  <c:v>23.773195862199501</c:v>
                </c:pt>
                <c:pt idx="596">
                  <c:v>23.288492243753641</c:v>
                </c:pt>
                <c:pt idx="597">
                  <c:v>22.361424264217501</c:v>
                </c:pt>
                <c:pt idx="598">
                  <c:v>22.422462229293011</c:v>
                </c:pt>
                <c:pt idx="599">
                  <c:v>22.777775270897571</c:v>
                </c:pt>
                <c:pt idx="600">
                  <c:v>22.965912766873512</c:v>
                </c:pt>
                <c:pt idx="601">
                  <c:v>22.75247895477904</c:v>
                </c:pt>
                <c:pt idx="602">
                  <c:v>23.309717293848902</c:v>
                </c:pt>
                <c:pt idx="603">
                  <c:v>22.518173802494299</c:v>
                </c:pt>
                <c:pt idx="604">
                  <c:v>23.746022356425069</c:v>
                </c:pt>
                <c:pt idx="605">
                  <c:v>24.007406146594619</c:v>
                </c:pt>
                <c:pt idx="606">
                  <c:v>23.887618300554159</c:v>
                </c:pt>
                <c:pt idx="607">
                  <c:v>24.764769134683149</c:v>
                </c:pt>
                <c:pt idx="608">
                  <c:v>24.293322574521561</c:v>
                </c:pt>
                <c:pt idx="609">
                  <c:v>24.221223696720489</c:v>
                </c:pt>
                <c:pt idx="610">
                  <c:v>23.420081432069299</c:v>
                </c:pt>
                <c:pt idx="611">
                  <c:v>21.942189047269771</c:v>
                </c:pt>
                <c:pt idx="612">
                  <c:v>21.283104481465781</c:v>
                </c:pt>
                <c:pt idx="613">
                  <c:v>20.681099870092279</c:v>
                </c:pt>
                <c:pt idx="614">
                  <c:v>21.0474728373202</c:v>
                </c:pt>
                <c:pt idx="615">
                  <c:v>19.897500203164249</c:v>
                </c:pt>
                <c:pt idx="616">
                  <c:v>20.317029805528549</c:v>
                </c:pt>
                <c:pt idx="617">
                  <c:v>20.808916989232191</c:v>
                </c:pt>
                <c:pt idx="618">
                  <c:v>21.541045815077059</c:v>
                </c:pt>
                <c:pt idx="619">
                  <c:v>20.854092283696229</c:v>
                </c:pt>
                <c:pt idx="620">
                  <c:v>21.187025068787019</c:v>
                </c:pt>
                <c:pt idx="621">
                  <c:v>23.327739554898859</c:v>
                </c:pt>
                <c:pt idx="622">
                  <c:v>23.431713012277921</c:v>
                </c:pt>
                <c:pt idx="623">
                  <c:v>23.403974264971339</c:v>
                </c:pt>
                <c:pt idx="624">
                  <c:v>25.794422790096569</c:v>
                </c:pt>
                <c:pt idx="625">
                  <c:v>26.191303089562791</c:v>
                </c:pt>
                <c:pt idx="626">
                  <c:v>27.231954457868579</c:v>
                </c:pt>
                <c:pt idx="627">
                  <c:v>26.815893964778049</c:v>
                </c:pt>
                <c:pt idx="628">
                  <c:v>31.117603291163629</c:v>
                </c:pt>
                <c:pt idx="629">
                  <c:v>32.657225371281058</c:v>
                </c:pt>
                <c:pt idx="630">
                  <c:v>30.675598347345179</c:v>
                </c:pt>
                <c:pt idx="631">
                  <c:v>29.46566622083208</c:v>
                </c:pt>
                <c:pt idx="632">
                  <c:v>30.72100888267115</c:v>
                </c:pt>
                <c:pt idx="633">
                  <c:v>30.314570198978458</c:v>
                </c:pt>
                <c:pt idx="634">
                  <c:v>31.040699206918219</c:v>
                </c:pt>
                <c:pt idx="635">
                  <c:v>31.529506005392449</c:v>
                </c:pt>
                <c:pt idx="636">
                  <c:v>31.994770138331539</c:v>
                </c:pt>
                <c:pt idx="637">
                  <c:v>32.106083307160141</c:v>
                </c:pt>
                <c:pt idx="638">
                  <c:v>31.397480421733629</c:v>
                </c:pt>
                <c:pt idx="639">
                  <c:v>30.340136522929019</c:v>
                </c:pt>
                <c:pt idx="640">
                  <c:v>28.770628755906131</c:v>
                </c:pt>
                <c:pt idx="641">
                  <c:v>30.553858994994769</c:v>
                </c:pt>
                <c:pt idx="642">
                  <c:v>31.293740177076721</c:v>
                </c:pt>
                <c:pt idx="643">
                  <c:v>31.327076734229799</c:v>
                </c:pt>
                <c:pt idx="644">
                  <c:v>30.814538857137489</c:v>
                </c:pt>
                <c:pt idx="645">
                  <c:v>31.129915219927572</c:v>
                </c:pt>
                <c:pt idx="646">
                  <c:v>31.812305629036199</c:v>
                </c:pt>
                <c:pt idx="647">
                  <c:v>31.027218731547318</c:v>
                </c:pt>
                <c:pt idx="648">
                  <c:v>30.508956477468011</c:v>
                </c:pt>
                <c:pt idx="649">
                  <c:v>29.798738988266969</c:v>
                </c:pt>
                <c:pt idx="650">
                  <c:v>29.11534891953719</c:v>
                </c:pt>
                <c:pt idx="651">
                  <c:v>28.503186176339739</c:v>
                </c:pt>
                <c:pt idx="652">
                  <c:v>27.674891646362418</c:v>
                </c:pt>
                <c:pt idx="653">
                  <c:v>29.53725953466536</c:v>
                </c:pt>
                <c:pt idx="654">
                  <c:v>28.38488325338983</c:v>
                </c:pt>
                <c:pt idx="655">
                  <c:v>27.197470664654691</c:v>
                </c:pt>
                <c:pt idx="656">
                  <c:v>26.15388096544266</c:v>
                </c:pt>
                <c:pt idx="657">
                  <c:v>25.137632569091679</c:v>
                </c:pt>
                <c:pt idx="658">
                  <c:v>24.238379664765159</c:v>
                </c:pt>
                <c:pt idx="659">
                  <c:v>24.112378944716191</c:v>
                </c:pt>
                <c:pt idx="660">
                  <c:v>25.024584026457521</c:v>
                </c:pt>
                <c:pt idx="661">
                  <c:v>22.710209842769959</c:v>
                </c:pt>
                <c:pt idx="662">
                  <c:v>21.007159458089291</c:v>
                </c:pt>
                <c:pt idx="663">
                  <c:v>21.03267926919942</c:v>
                </c:pt>
                <c:pt idx="664">
                  <c:v>20.959933128928331</c:v>
                </c:pt>
                <c:pt idx="665">
                  <c:v>19.671787371721312</c:v>
                </c:pt>
                <c:pt idx="666">
                  <c:v>20.445611118251271</c:v>
                </c:pt>
                <c:pt idx="667">
                  <c:v>20.31672883798818</c:v>
                </c:pt>
                <c:pt idx="668">
                  <c:v>19.9567833129022</c:v>
                </c:pt>
                <c:pt idx="669">
                  <c:v>19.483612952244151</c:v>
                </c:pt>
                <c:pt idx="670">
                  <c:v>19.22849373960322</c:v>
                </c:pt>
                <c:pt idx="671">
                  <c:v>20.141776017139399</c:v>
                </c:pt>
                <c:pt idx="672">
                  <c:v>20.809419472750879</c:v>
                </c:pt>
                <c:pt idx="673">
                  <c:v>22.292468968362101</c:v>
                </c:pt>
                <c:pt idx="674">
                  <c:v>24.36270909453831</c:v>
                </c:pt>
                <c:pt idx="675">
                  <c:v>25.276576553980352</c:v>
                </c:pt>
                <c:pt idx="676">
                  <c:v>23.292619455215139</c:v>
                </c:pt>
                <c:pt idx="677">
                  <c:v>24.25933826477284</c:v>
                </c:pt>
                <c:pt idx="678">
                  <c:v>23.354601567692839</c:v>
                </c:pt>
                <c:pt idx="679">
                  <c:v>22.962593016430262</c:v>
                </c:pt>
                <c:pt idx="680">
                  <c:v>22.71143567902417</c:v>
                </c:pt>
                <c:pt idx="681">
                  <c:v>22.489782737068591</c:v>
                </c:pt>
                <c:pt idx="682">
                  <c:v>22.183181204044381</c:v>
                </c:pt>
                <c:pt idx="683">
                  <c:v>21.459107364607611</c:v>
                </c:pt>
                <c:pt idx="684">
                  <c:v>21.87839919657733</c:v>
                </c:pt>
                <c:pt idx="685">
                  <c:v>20.909635981716729</c:v>
                </c:pt>
                <c:pt idx="686">
                  <c:v>19.150140554573049</c:v>
                </c:pt>
                <c:pt idx="687">
                  <c:v>18.930312589980879</c:v>
                </c:pt>
                <c:pt idx="688">
                  <c:v>18.309981294267509</c:v>
                </c:pt>
                <c:pt idx="689">
                  <c:v>18.728139104960839</c:v>
                </c:pt>
                <c:pt idx="690">
                  <c:v>17.905542450833089</c:v>
                </c:pt>
                <c:pt idx="691">
                  <c:v>19.613730850569659</c:v>
                </c:pt>
                <c:pt idx="692">
                  <c:v>20.191103797870198</c:v>
                </c:pt>
                <c:pt idx="693">
                  <c:v>20.5056819759265</c:v>
                </c:pt>
                <c:pt idx="694">
                  <c:v>21.279348748563621</c:v>
                </c:pt>
                <c:pt idx="695">
                  <c:v>19.366860953417191</c:v>
                </c:pt>
                <c:pt idx="696">
                  <c:v>18.52025352737855</c:v>
                </c:pt>
                <c:pt idx="697">
                  <c:v>16.58613760237672</c:v>
                </c:pt>
                <c:pt idx="698">
                  <c:v>16.02074423105746</c:v>
                </c:pt>
                <c:pt idx="699">
                  <c:v>16.782977846395749</c:v>
                </c:pt>
                <c:pt idx="700">
                  <c:v>18.130443015977409</c:v>
                </c:pt>
                <c:pt idx="701">
                  <c:v>18.753245542625699</c:v>
                </c:pt>
                <c:pt idx="702">
                  <c:v>18.563115492897701</c:v>
                </c:pt>
                <c:pt idx="703">
                  <c:v>18.976205234160791</c:v>
                </c:pt>
                <c:pt idx="704">
                  <c:v>19.366827136843479</c:v>
                </c:pt>
                <c:pt idx="705">
                  <c:v>18.937783424814519</c:v>
                </c:pt>
                <c:pt idx="706">
                  <c:v>20.29252622478726</c:v>
                </c:pt>
                <c:pt idx="707">
                  <c:v>21.445352942750809</c:v>
                </c:pt>
                <c:pt idx="708">
                  <c:v>20.84255269536613</c:v>
                </c:pt>
                <c:pt idx="709">
                  <c:v>21.815422687979321</c:v>
                </c:pt>
                <c:pt idx="710">
                  <c:v>22.88913028644258</c:v>
                </c:pt>
                <c:pt idx="711">
                  <c:v>25.08985798432445</c:v>
                </c:pt>
                <c:pt idx="712">
                  <c:v>24.30809014852883</c:v>
                </c:pt>
                <c:pt idx="713">
                  <c:v>23.289600903402381</c:v>
                </c:pt>
                <c:pt idx="714">
                  <c:v>25.261186152854481</c:v>
                </c:pt>
                <c:pt idx="715">
                  <c:v>31.02340282169283</c:v>
                </c:pt>
                <c:pt idx="716">
                  <c:v>30.944777081020518</c:v>
                </c:pt>
                <c:pt idx="717">
                  <c:v>28.625924135738291</c:v>
                </c:pt>
                <c:pt idx="718">
                  <c:v>27.495178012892659</c:v>
                </c:pt>
                <c:pt idx="719">
                  <c:v>29.788762157768019</c:v>
                </c:pt>
                <c:pt idx="720">
                  <c:v>30.611598688960989</c:v>
                </c:pt>
                <c:pt idx="721">
                  <c:v>31.609122943284579</c:v>
                </c:pt>
                <c:pt idx="722">
                  <c:v>32.845386619322177</c:v>
                </c:pt>
                <c:pt idx="723">
                  <c:v>33.12570555325928</c:v>
                </c:pt>
                <c:pt idx="724">
                  <c:v>30.36865260968661</c:v>
                </c:pt>
                <c:pt idx="725">
                  <c:v>30.380847315954661</c:v>
                </c:pt>
                <c:pt idx="726">
                  <c:v>30.318702710281809</c:v>
                </c:pt>
                <c:pt idx="727">
                  <c:v>29.124976400476591</c:v>
                </c:pt>
                <c:pt idx="728">
                  <c:v>27.382673431552881</c:v>
                </c:pt>
                <c:pt idx="729">
                  <c:v>28.209251985985851</c:v>
                </c:pt>
                <c:pt idx="730">
                  <c:v>28.89716582336014</c:v>
                </c:pt>
                <c:pt idx="731">
                  <c:v>31.083076595504689</c:v>
                </c:pt>
                <c:pt idx="732">
                  <c:v>31.583097979824021</c:v>
                </c:pt>
                <c:pt idx="733">
                  <c:v>30.738924544097141</c:v>
                </c:pt>
                <c:pt idx="734">
                  <c:v>27.451609528407548</c:v>
                </c:pt>
                <c:pt idx="735">
                  <c:v>25.840598881774941</c:v>
                </c:pt>
                <c:pt idx="736">
                  <c:v>24.91989980792577</c:v>
                </c:pt>
                <c:pt idx="737">
                  <c:v>23.588198195849671</c:v>
                </c:pt>
                <c:pt idx="738">
                  <c:v>24.612871172990818</c:v>
                </c:pt>
                <c:pt idx="739">
                  <c:v>26.571415548589659</c:v>
                </c:pt>
                <c:pt idx="740">
                  <c:v>28.973229868272121</c:v>
                </c:pt>
                <c:pt idx="741">
                  <c:v>28.428855690831941</c:v>
                </c:pt>
                <c:pt idx="742">
                  <c:v>30.155555132720149</c:v>
                </c:pt>
                <c:pt idx="743">
                  <c:v>32.230984089718568</c:v>
                </c:pt>
                <c:pt idx="744">
                  <c:v>30.400608987638041</c:v>
                </c:pt>
                <c:pt idx="745">
                  <c:v>30.599384516962822</c:v>
                </c:pt>
                <c:pt idx="746">
                  <c:v>30.514397006857649</c:v>
                </c:pt>
                <c:pt idx="747">
                  <c:v>27.942686174482329</c:v>
                </c:pt>
                <c:pt idx="748">
                  <c:v>28.02957842765478</c:v>
                </c:pt>
                <c:pt idx="749">
                  <c:v>27.84780773472</c:v>
                </c:pt>
                <c:pt idx="750">
                  <c:v>31.11165376061145</c:v>
                </c:pt>
                <c:pt idx="751">
                  <c:v>30.6054237287481</c:v>
                </c:pt>
                <c:pt idx="752">
                  <c:v>29.695061199404542</c:v>
                </c:pt>
                <c:pt idx="753">
                  <c:v>29.67198966131669</c:v>
                </c:pt>
                <c:pt idx="754">
                  <c:v>27.77377510047609</c:v>
                </c:pt>
                <c:pt idx="755">
                  <c:v>27.222484790065131</c:v>
                </c:pt>
                <c:pt idx="756">
                  <c:v>26.937357259256348</c:v>
                </c:pt>
                <c:pt idx="757">
                  <c:v>26.156676192995459</c:v>
                </c:pt>
                <c:pt idx="758">
                  <c:v>25.622136880090761</c:v>
                </c:pt>
                <c:pt idx="759">
                  <c:v>25.80808577914275</c:v>
                </c:pt>
                <c:pt idx="760">
                  <c:v>29.53882535616059</c:v>
                </c:pt>
                <c:pt idx="761">
                  <c:v>26.490795363200601</c:v>
                </c:pt>
                <c:pt idx="762">
                  <c:v>27.432174364942721</c:v>
                </c:pt>
                <c:pt idx="763">
                  <c:v>29.19291760046324</c:v>
                </c:pt>
                <c:pt idx="764">
                  <c:v>29.135627305469061</c:v>
                </c:pt>
                <c:pt idx="765">
                  <c:v>27.932570387355661</c:v>
                </c:pt>
                <c:pt idx="766">
                  <c:v>26.969698554475841</c:v>
                </c:pt>
                <c:pt idx="767">
                  <c:v>29.86314187728928</c:v>
                </c:pt>
                <c:pt idx="768">
                  <c:v>28.12954874801969</c:v>
                </c:pt>
                <c:pt idx="769">
                  <c:v>27.539131009113419</c:v>
                </c:pt>
                <c:pt idx="770">
                  <c:v>26.09413334010388</c:v>
                </c:pt>
                <c:pt idx="771">
                  <c:v>24.72373639649086</c:v>
                </c:pt>
                <c:pt idx="772">
                  <c:v>23.544352455537091</c:v>
                </c:pt>
                <c:pt idx="773">
                  <c:v>23.31565860192752</c:v>
                </c:pt>
                <c:pt idx="774">
                  <c:v>23.366462311283641</c:v>
                </c:pt>
                <c:pt idx="775">
                  <c:v>23.490113483216369</c:v>
                </c:pt>
                <c:pt idx="776">
                  <c:v>22.339335212612522</c:v>
                </c:pt>
                <c:pt idx="777">
                  <c:v>21.69216970894858</c:v>
                </c:pt>
                <c:pt idx="778">
                  <c:v>21.576679386342981</c:v>
                </c:pt>
                <c:pt idx="779">
                  <c:v>22.268959072959479</c:v>
                </c:pt>
                <c:pt idx="780">
                  <c:v>22.65468238472009</c:v>
                </c:pt>
                <c:pt idx="781">
                  <c:v>23.24181332975196</c:v>
                </c:pt>
                <c:pt idx="782">
                  <c:v>22.88407217992722</c:v>
                </c:pt>
                <c:pt idx="783">
                  <c:v>22.907080641447969</c:v>
                </c:pt>
                <c:pt idx="784">
                  <c:v>21.690828088610122</c:v>
                </c:pt>
                <c:pt idx="785">
                  <c:v>20.729414985200549</c:v>
                </c:pt>
                <c:pt idx="786">
                  <c:v>21.167444976449879</c:v>
                </c:pt>
                <c:pt idx="787">
                  <c:v>20.62492184230927</c:v>
                </c:pt>
                <c:pt idx="788">
                  <c:v>20.603319693249869</c:v>
                </c:pt>
                <c:pt idx="789">
                  <c:v>20.64651702096193</c:v>
                </c:pt>
                <c:pt idx="790">
                  <c:v>19.938062366121809</c:v>
                </c:pt>
                <c:pt idx="791">
                  <c:v>20.285057802368119</c:v>
                </c:pt>
                <c:pt idx="792">
                  <c:v>23.924807113289049</c:v>
                </c:pt>
                <c:pt idx="793">
                  <c:v>26.305915417675902</c:v>
                </c:pt>
                <c:pt idx="794">
                  <c:v>26.20478505102836</c:v>
                </c:pt>
                <c:pt idx="795">
                  <c:v>26.293267398981939</c:v>
                </c:pt>
                <c:pt idx="796">
                  <c:v>26.288360678179391</c:v>
                </c:pt>
                <c:pt idx="797">
                  <c:v>26.50793919294923</c:v>
                </c:pt>
                <c:pt idx="798">
                  <c:v>27.516896059272369</c:v>
                </c:pt>
                <c:pt idx="799">
                  <c:v>25.195892776910259</c:v>
                </c:pt>
                <c:pt idx="800">
                  <c:v>24.675237846654159</c:v>
                </c:pt>
                <c:pt idx="801">
                  <c:v>23.68849124641623</c:v>
                </c:pt>
                <c:pt idx="802">
                  <c:v>23.222661315165318</c:v>
                </c:pt>
                <c:pt idx="803">
                  <c:v>23.952911483702419</c:v>
                </c:pt>
                <c:pt idx="804">
                  <c:v>23.100822738688638</c:v>
                </c:pt>
                <c:pt idx="805">
                  <c:v>22.08807825298771</c:v>
                </c:pt>
                <c:pt idx="806">
                  <c:v>22.122239856633669</c:v>
                </c:pt>
                <c:pt idx="807">
                  <c:v>22.449806873626351</c:v>
                </c:pt>
                <c:pt idx="808">
                  <c:v>22.361556985816861</c:v>
                </c:pt>
                <c:pt idx="809">
                  <c:v>22.51989273512514</c:v>
                </c:pt>
                <c:pt idx="810">
                  <c:v>22.792934278639631</c:v>
                </c:pt>
                <c:pt idx="811">
                  <c:v>26.164579338959769</c:v>
                </c:pt>
                <c:pt idx="812">
                  <c:v>25.745001487312429</c:v>
                </c:pt>
                <c:pt idx="813">
                  <c:v>26.523655343021229</c:v>
                </c:pt>
                <c:pt idx="814">
                  <c:v>24.236330492698141</c:v>
                </c:pt>
                <c:pt idx="815">
                  <c:v>22.696259169383492</c:v>
                </c:pt>
                <c:pt idx="816">
                  <c:v>21.394200428912651</c:v>
                </c:pt>
                <c:pt idx="817">
                  <c:v>19.942957990286502</c:v>
                </c:pt>
                <c:pt idx="818">
                  <c:v>19.859294395608401</c:v>
                </c:pt>
                <c:pt idx="819">
                  <c:v>19.601571878523629</c:v>
                </c:pt>
                <c:pt idx="820">
                  <c:v>19.78084736830511</c:v>
                </c:pt>
                <c:pt idx="821">
                  <c:v>20.195873127657119</c:v>
                </c:pt>
                <c:pt idx="822">
                  <c:v>18.127972926000179</c:v>
                </c:pt>
                <c:pt idx="823">
                  <c:v>18.692735038656831</c:v>
                </c:pt>
                <c:pt idx="824">
                  <c:v>20.59804371253453</c:v>
                </c:pt>
                <c:pt idx="825">
                  <c:v>22.213843145463571</c:v>
                </c:pt>
                <c:pt idx="826">
                  <c:v>21.42030658925685</c:v>
                </c:pt>
                <c:pt idx="827">
                  <c:v>20.92802781858498</c:v>
                </c:pt>
                <c:pt idx="828">
                  <c:v>20.31620923108996</c:v>
                </c:pt>
                <c:pt idx="829">
                  <c:v>20.7346579531008</c:v>
                </c:pt>
                <c:pt idx="830">
                  <c:v>20.644550637712872</c:v>
                </c:pt>
                <c:pt idx="831">
                  <c:v>19.967196786245129</c:v>
                </c:pt>
                <c:pt idx="832">
                  <c:v>20.59974395616895</c:v>
                </c:pt>
                <c:pt idx="833">
                  <c:v>20.521061095229321</c:v>
                </c:pt>
                <c:pt idx="834">
                  <c:v>21.153732477347098</c:v>
                </c:pt>
                <c:pt idx="835">
                  <c:v>20.99972130905558</c:v>
                </c:pt>
                <c:pt idx="836">
                  <c:v>21.74150311752874</c:v>
                </c:pt>
                <c:pt idx="837">
                  <c:v>21.227433328996511</c:v>
                </c:pt>
                <c:pt idx="838">
                  <c:v>21.235277589320031</c:v>
                </c:pt>
                <c:pt idx="839">
                  <c:v>21.46517174272363</c:v>
                </c:pt>
                <c:pt idx="840">
                  <c:v>20.36775610627933</c:v>
                </c:pt>
                <c:pt idx="841">
                  <c:v>20.140850163070379</c:v>
                </c:pt>
                <c:pt idx="842">
                  <c:v>19.22373522014647</c:v>
                </c:pt>
                <c:pt idx="843">
                  <c:v>19.324580971110279</c:v>
                </c:pt>
                <c:pt idx="844">
                  <c:v>18.588132023963801</c:v>
                </c:pt>
                <c:pt idx="845">
                  <c:v>18.586194935713959</c:v>
                </c:pt>
                <c:pt idx="846">
                  <c:v>18.055134379828299</c:v>
                </c:pt>
                <c:pt idx="847">
                  <c:v>18.884966770578739</c:v>
                </c:pt>
                <c:pt idx="848">
                  <c:v>19.465134966873642</c:v>
                </c:pt>
                <c:pt idx="849">
                  <c:v>20.487973269973981</c:v>
                </c:pt>
                <c:pt idx="850">
                  <c:v>20.033233104098091</c:v>
                </c:pt>
                <c:pt idx="851">
                  <c:v>19.944069259533219</c:v>
                </c:pt>
                <c:pt idx="852">
                  <c:v>19.272366112099849</c:v>
                </c:pt>
                <c:pt idx="853">
                  <c:v>18.957195662440188</c:v>
                </c:pt>
                <c:pt idx="854">
                  <c:v>18.387011389911109</c:v>
                </c:pt>
                <c:pt idx="855">
                  <c:v>19.400562786974689</c:v>
                </c:pt>
                <c:pt idx="856">
                  <c:v>19.028765007557279</c:v>
                </c:pt>
                <c:pt idx="857">
                  <c:v>18.076369523021668</c:v>
                </c:pt>
                <c:pt idx="858">
                  <c:v>17.159517923158528</c:v>
                </c:pt>
                <c:pt idx="859">
                  <c:v>16.86027404815934</c:v>
                </c:pt>
                <c:pt idx="860">
                  <c:v>17.080650302267561</c:v>
                </c:pt>
                <c:pt idx="861">
                  <c:v>17.096581884422051</c:v>
                </c:pt>
                <c:pt idx="862">
                  <c:v>17.542618607664082</c:v>
                </c:pt>
                <c:pt idx="863">
                  <c:v>17.747530083061701</c:v>
                </c:pt>
                <c:pt idx="864">
                  <c:v>16.371420481042829</c:v>
                </c:pt>
                <c:pt idx="865">
                  <c:v>15.61691474694639</c:v>
                </c:pt>
                <c:pt idx="866">
                  <c:v>15.804338446214359</c:v>
                </c:pt>
                <c:pt idx="867">
                  <c:v>16.13181207418792</c:v>
                </c:pt>
                <c:pt idx="868">
                  <c:v>15.091759059765719</c:v>
                </c:pt>
                <c:pt idx="869">
                  <c:v>14.6045629869362</c:v>
                </c:pt>
                <c:pt idx="870">
                  <c:v>17.07269329103389</c:v>
                </c:pt>
                <c:pt idx="871">
                  <c:v>17.332826182811029</c:v>
                </c:pt>
                <c:pt idx="872">
                  <c:v>17.5388032455357</c:v>
                </c:pt>
                <c:pt idx="873">
                  <c:v>16.274750941152831</c:v>
                </c:pt>
                <c:pt idx="874">
                  <c:v>15.774279197520951</c:v>
                </c:pt>
                <c:pt idx="875">
                  <c:v>15.78742916286439</c:v>
                </c:pt>
                <c:pt idx="876">
                  <c:v>15.18265494690238</c:v>
                </c:pt>
                <c:pt idx="877">
                  <c:v>14.605892896068131</c:v>
                </c:pt>
                <c:pt idx="878">
                  <c:v>14.072003157104639</c:v>
                </c:pt>
                <c:pt idx="879">
                  <c:v>14.30641814640302</c:v>
                </c:pt>
                <c:pt idx="880">
                  <c:v>14.58149366870852</c:v>
                </c:pt>
                <c:pt idx="881">
                  <c:v>14.762283480105291</c:v>
                </c:pt>
                <c:pt idx="882">
                  <c:v>14.023121654520599</c:v>
                </c:pt>
                <c:pt idx="883">
                  <c:v>14.08183393467211</c:v>
                </c:pt>
                <c:pt idx="884">
                  <c:v>14.31719763117184</c:v>
                </c:pt>
                <c:pt idx="885">
                  <c:v>14.12029669487865</c:v>
                </c:pt>
                <c:pt idx="886">
                  <c:v>14.34227628930425</c:v>
                </c:pt>
                <c:pt idx="887">
                  <c:v>14.624391935506271</c:v>
                </c:pt>
                <c:pt idx="888">
                  <c:v>15.53727785784972</c:v>
                </c:pt>
                <c:pt idx="889">
                  <c:v>15.03212690549851</c:v>
                </c:pt>
                <c:pt idx="890">
                  <c:v>15.27542529724056</c:v>
                </c:pt>
                <c:pt idx="891">
                  <c:v>15.56191763694182</c:v>
                </c:pt>
                <c:pt idx="892">
                  <c:v>15.533951898054809</c:v>
                </c:pt>
                <c:pt idx="893">
                  <c:v>14.693557534420989</c:v>
                </c:pt>
                <c:pt idx="894">
                  <c:v>13.88884688562559</c:v>
                </c:pt>
                <c:pt idx="895">
                  <c:v>15.012552643632169</c:v>
                </c:pt>
                <c:pt idx="896">
                  <c:v>14.968630491676629</c:v>
                </c:pt>
                <c:pt idx="897">
                  <c:v>15.3304053485887</c:v>
                </c:pt>
                <c:pt idx="898">
                  <c:v>14.60465799910491</c:v>
                </c:pt>
                <c:pt idx="899">
                  <c:v>14.61047439228402</c:v>
                </c:pt>
                <c:pt idx="900">
                  <c:v>14.296862251948999</c:v>
                </c:pt>
                <c:pt idx="901">
                  <c:v>13.64521926837268</c:v>
                </c:pt>
                <c:pt idx="902">
                  <c:v>14.1681366241821</c:v>
                </c:pt>
                <c:pt idx="903">
                  <c:v>13.61882318312877</c:v>
                </c:pt>
                <c:pt idx="904">
                  <c:v>13.3804637200135</c:v>
                </c:pt>
                <c:pt idx="905">
                  <c:v>13.40997198741937</c:v>
                </c:pt>
                <c:pt idx="906">
                  <c:v>12.777790623829871</c:v>
                </c:pt>
                <c:pt idx="907">
                  <c:v>12.217338236978719</c:v>
                </c:pt>
                <c:pt idx="908">
                  <c:v>12.402768819654341</c:v>
                </c:pt>
                <c:pt idx="909">
                  <c:v>12.26618119177877</c:v>
                </c:pt>
                <c:pt idx="910">
                  <c:v>12.505773166467881</c:v>
                </c:pt>
                <c:pt idx="911">
                  <c:v>12.167795947014319</c:v>
                </c:pt>
                <c:pt idx="912">
                  <c:v>14.15757713009708</c:v>
                </c:pt>
                <c:pt idx="913">
                  <c:v>13.48336021982267</c:v>
                </c:pt>
                <c:pt idx="914">
                  <c:v>14.23941476487264</c:v>
                </c:pt>
                <c:pt idx="915">
                  <c:v>15.73318082973651</c:v>
                </c:pt>
                <c:pt idx="916">
                  <c:v>16.175164566097909</c:v>
                </c:pt>
                <c:pt idx="917">
                  <c:v>15.619812466311791</c:v>
                </c:pt>
                <c:pt idx="918">
                  <c:v>13.98576249074315</c:v>
                </c:pt>
                <c:pt idx="919">
                  <c:v>13.690710982138549</c:v>
                </c:pt>
                <c:pt idx="920">
                  <c:v>13.309050056262491</c:v>
                </c:pt>
                <c:pt idx="921">
                  <c:v>13.467690069846901</c:v>
                </c:pt>
                <c:pt idx="922">
                  <c:v>13.787716894155441</c:v>
                </c:pt>
                <c:pt idx="923">
                  <c:v>14.779218177020629</c:v>
                </c:pt>
                <c:pt idx="924">
                  <c:v>15.28676204437097</c:v>
                </c:pt>
                <c:pt idx="925">
                  <c:v>15.713852159121579</c:v>
                </c:pt>
                <c:pt idx="926">
                  <c:v>15.213415176279691</c:v>
                </c:pt>
                <c:pt idx="927">
                  <c:v>15.87353552905201</c:v>
                </c:pt>
                <c:pt idx="928">
                  <c:v>16.084274915658689</c:v>
                </c:pt>
                <c:pt idx="929">
                  <c:v>16.29081756985893</c:v>
                </c:pt>
                <c:pt idx="930">
                  <c:v>15.553686627238401</c:v>
                </c:pt>
                <c:pt idx="931">
                  <c:v>15.1168980041178</c:v>
                </c:pt>
                <c:pt idx="932">
                  <c:v>15.26930166106464</c:v>
                </c:pt>
                <c:pt idx="933">
                  <c:v>14.39783809084752</c:v>
                </c:pt>
                <c:pt idx="934">
                  <c:v>17.093681824126811</c:v>
                </c:pt>
                <c:pt idx="935">
                  <c:v>16.228204597503851</c:v>
                </c:pt>
                <c:pt idx="936">
                  <c:v>15.42851178688583</c:v>
                </c:pt>
                <c:pt idx="937">
                  <c:v>15.383152152124209</c:v>
                </c:pt>
                <c:pt idx="938">
                  <c:v>17.47705095287283</c:v>
                </c:pt>
                <c:pt idx="939">
                  <c:v>16.444064013127988</c:v>
                </c:pt>
                <c:pt idx="940">
                  <c:v>18.12231996360584</c:v>
                </c:pt>
                <c:pt idx="941">
                  <c:v>23.46748708613433</c:v>
                </c:pt>
                <c:pt idx="942">
                  <c:v>20.81913497331513</c:v>
                </c:pt>
                <c:pt idx="943">
                  <c:v>20.96325435529312</c:v>
                </c:pt>
                <c:pt idx="944">
                  <c:v>22.28626674953928</c:v>
                </c:pt>
                <c:pt idx="945">
                  <c:v>21.89125379989882</c:v>
                </c:pt>
                <c:pt idx="946">
                  <c:v>20.12140385764803</c:v>
                </c:pt>
                <c:pt idx="947">
                  <c:v>19.293128572162619</c:v>
                </c:pt>
                <c:pt idx="948">
                  <c:v>19.759909819560999</c:v>
                </c:pt>
                <c:pt idx="949">
                  <c:v>18.84811417105167</c:v>
                </c:pt>
                <c:pt idx="950">
                  <c:v>18.969655936014689</c:v>
                </c:pt>
                <c:pt idx="951">
                  <c:v>19.147464533817619</c:v>
                </c:pt>
                <c:pt idx="952">
                  <c:v>21.053787376580988</c:v>
                </c:pt>
                <c:pt idx="953">
                  <c:v>20.934443355448568</c:v>
                </c:pt>
                <c:pt idx="954">
                  <c:v>21.879523799480928</c:v>
                </c:pt>
                <c:pt idx="955">
                  <c:v>22.84136271331236</c:v>
                </c:pt>
                <c:pt idx="956">
                  <c:v>23.2367796093944</c:v>
                </c:pt>
                <c:pt idx="957">
                  <c:v>23.911178932705958</c:v>
                </c:pt>
                <c:pt idx="958">
                  <c:v>20.500689451399712</c:v>
                </c:pt>
                <c:pt idx="959">
                  <c:v>23.723325696142709</c:v>
                </c:pt>
                <c:pt idx="960">
                  <c:v>21.19368619871813</c:v>
                </c:pt>
                <c:pt idx="961">
                  <c:v>20.82013503437928</c:v>
                </c:pt>
                <c:pt idx="962">
                  <c:v>20.847063653629441</c:v>
                </c:pt>
                <c:pt idx="963">
                  <c:v>21.566603613130908</c:v>
                </c:pt>
                <c:pt idx="964">
                  <c:v>22.904970907702261</c:v>
                </c:pt>
                <c:pt idx="965">
                  <c:v>28.050362107108551</c:v>
                </c:pt>
                <c:pt idx="966">
                  <c:v>27.54934920616417</c:v>
                </c:pt>
                <c:pt idx="967">
                  <c:v>27.42370110329237</c:v>
                </c:pt>
                <c:pt idx="968">
                  <c:v>29.842855363813332</c:v>
                </c:pt>
                <c:pt idx="969">
                  <c:v>34.890097345295253</c:v>
                </c:pt>
                <c:pt idx="970">
                  <c:v>34.657275621113612</c:v>
                </c:pt>
                <c:pt idx="971">
                  <c:v>37.890422740133907</c:v>
                </c:pt>
                <c:pt idx="972">
                  <c:v>33.4228421529454</c:v>
                </c:pt>
                <c:pt idx="973">
                  <c:v>36.815106652815707</c:v>
                </c:pt>
                <c:pt idx="974">
                  <c:v>34.45232808284203</c:v>
                </c:pt>
                <c:pt idx="975">
                  <c:v>35.999581491625108</c:v>
                </c:pt>
                <c:pt idx="976">
                  <c:v>34.331021646380101</c:v>
                </c:pt>
                <c:pt idx="977">
                  <c:v>33.639737489314278</c:v>
                </c:pt>
                <c:pt idx="978">
                  <c:v>32.535653350054467</c:v>
                </c:pt>
                <c:pt idx="979">
                  <c:v>32.66489034274769</c:v>
                </c:pt>
                <c:pt idx="980">
                  <c:v>31.592197597708179</c:v>
                </c:pt>
                <c:pt idx="981">
                  <c:v>29.358995963210621</c:v>
                </c:pt>
                <c:pt idx="982">
                  <c:v>27.628247341225102</c:v>
                </c:pt>
                <c:pt idx="983">
                  <c:v>26.453036773998839</c:v>
                </c:pt>
                <c:pt idx="984">
                  <c:v>27.35363249138128</c:v>
                </c:pt>
                <c:pt idx="985">
                  <c:v>25.04955589099826</c:v>
                </c:pt>
                <c:pt idx="986">
                  <c:v>23.846321948034529</c:v>
                </c:pt>
                <c:pt idx="987">
                  <c:v>22.693537760810418</c:v>
                </c:pt>
                <c:pt idx="988">
                  <c:v>21.92953792233558</c:v>
                </c:pt>
                <c:pt idx="989">
                  <c:v>20.456070341696751</c:v>
                </c:pt>
                <c:pt idx="990">
                  <c:v>19.705062881310418</c:v>
                </c:pt>
                <c:pt idx="991">
                  <c:v>23.88126764209013</c:v>
                </c:pt>
                <c:pt idx="992">
                  <c:v>23.265976882041539</c:v>
                </c:pt>
                <c:pt idx="993">
                  <c:v>22.977299965565471</c:v>
                </c:pt>
                <c:pt idx="994">
                  <c:v>22.65881803910392</c:v>
                </c:pt>
                <c:pt idx="995">
                  <c:v>22.341385140423</c:v>
                </c:pt>
                <c:pt idx="996">
                  <c:v>21.711836293870739</c:v>
                </c:pt>
                <c:pt idx="997">
                  <c:v>20.629095086001389</c:v>
                </c:pt>
                <c:pt idx="998">
                  <c:v>19.957000196329961</c:v>
                </c:pt>
                <c:pt idx="999">
                  <c:v>18.427004454576299</c:v>
                </c:pt>
                <c:pt idx="1000">
                  <c:v>18.49277438382941</c:v>
                </c:pt>
                <c:pt idx="1001">
                  <c:v>19.320800739443719</c:v>
                </c:pt>
                <c:pt idx="1002">
                  <c:v>21.412309155716859</c:v>
                </c:pt>
                <c:pt idx="1003">
                  <c:v>20.61595387727569</c:v>
                </c:pt>
                <c:pt idx="1004">
                  <c:v>19.542764711700048</c:v>
                </c:pt>
                <c:pt idx="1005">
                  <c:v>18.635906559774138</c:v>
                </c:pt>
                <c:pt idx="1006">
                  <c:v>18.96421893750453</c:v>
                </c:pt>
                <c:pt idx="1007">
                  <c:v>19.14020156701325</c:v>
                </c:pt>
                <c:pt idx="1008">
                  <c:v>18.960344231355801</c:v>
                </c:pt>
                <c:pt idx="1009">
                  <c:v>19.089858638760951</c:v>
                </c:pt>
                <c:pt idx="1010">
                  <c:v>18.55812948342723</c:v>
                </c:pt>
                <c:pt idx="1011">
                  <c:v>18.224408774927031</c:v>
                </c:pt>
                <c:pt idx="1012">
                  <c:v>17.408808746136149</c:v>
                </c:pt>
                <c:pt idx="1013">
                  <c:v>18.889600502137359</c:v>
                </c:pt>
                <c:pt idx="1014">
                  <c:v>19.74201202079507</c:v>
                </c:pt>
                <c:pt idx="1015">
                  <c:v>22.673923582816052</c:v>
                </c:pt>
                <c:pt idx="1016">
                  <c:v>19.239370494174331</c:v>
                </c:pt>
                <c:pt idx="1017">
                  <c:v>18.588411759069619</c:v>
                </c:pt>
                <c:pt idx="1018">
                  <c:v>19.509392275931251</c:v>
                </c:pt>
                <c:pt idx="1019">
                  <c:v>19.149000811980251</c:v>
                </c:pt>
                <c:pt idx="1020">
                  <c:v>19.408546262760989</c:v>
                </c:pt>
                <c:pt idx="1021">
                  <c:v>17.265230200435791</c:v>
                </c:pt>
                <c:pt idx="1022">
                  <c:v>17.357714047713142</c:v>
                </c:pt>
                <c:pt idx="1023">
                  <c:v>17.928852217298651</c:v>
                </c:pt>
                <c:pt idx="1024">
                  <c:v>18.110168256284311</c:v>
                </c:pt>
                <c:pt idx="1025">
                  <c:v>17.35594902982006</c:v>
                </c:pt>
                <c:pt idx="1026">
                  <c:v>17.351620997381911</c:v>
                </c:pt>
                <c:pt idx="1027">
                  <c:v>17.599597508964202</c:v>
                </c:pt>
                <c:pt idx="1028">
                  <c:v>17.812012828074071</c:v>
                </c:pt>
                <c:pt idx="1029">
                  <c:v>18.34121906360992</c:v>
                </c:pt>
                <c:pt idx="1030">
                  <c:v>17.907873791639659</c:v>
                </c:pt>
                <c:pt idx="1031">
                  <c:v>19.262135770343569</c:v>
                </c:pt>
                <c:pt idx="1032">
                  <c:v>17.50502484068738</c:v>
                </c:pt>
                <c:pt idx="1033">
                  <c:v>19.241955128093871</c:v>
                </c:pt>
                <c:pt idx="1034">
                  <c:v>19.24333046000438</c:v>
                </c:pt>
                <c:pt idx="1035">
                  <c:v>19.367343412350639</c:v>
                </c:pt>
                <c:pt idx="1036">
                  <c:v>19.74235500738687</c:v>
                </c:pt>
                <c:pt idx="1037">
                  <c:v>20.12905335597582</c:v>
                </c:pt>
                <c:pt idx="1038">
                  <c:v>19.821433866219749</c:v>
                </c:pt>
                <c:pt idx="1039">
                  <c:v>18.406287869083499</c:v>
                </c:pt>
                <c:pt idx="1040">
                  <c:v>17.53660410449486</c:v>
                </c:pt>
                <c:pt idx="1041">
                  <c:v>18.492339084293381</c:v>
                </c:pt>
                <c:pt idx="1042">
                  <c:v>22.216094066840309</c:v>
                </c:pt>
                <c:pt idx="1043">
                  <c:v>24.20248777916127</c:v>
                </c:pt>
                <c:pt idx="1044">
                  <c:v>32.575674321626579</c:v>
                </c:pt>
                <c:pt idx="1045">
                  <c:v>31.955067069885839</c:v>
                </c:pt>
                <c:pt idx="1046">
                  <c:v>33.007560651660199</c:v>
                </c:pt>
                <c:pt idx="1047">
                  <c:v>33.067158790329763</c:v>
                </c:pt>
                <c:pt idx="1048">
                  <c:v>32.054063608065299</c:v>
                </c:pt>
                <c:pt idx="1049">
                  <c:v>29.100192613700742</c:v>
                </c:pt>
                <c:pt idx="1050">
                  <c:v>29.19495068695473</c:v>
                </c:pt>
                <c:pt idx="1051">
                  <c:v>34.675337518912229</c:v>
                </c:pt>
                <c:pt idx="1052">
                  <c:v>36.874447139525479</c:v>
                </c:pt>
                <c:pt idx="1053">
                  <c:v>31.950037661262741</c:v>
                </c:pt>
                <c:pt idx="1054">
                  <c:v>31.208939328693539</c:v>
                </c:pt>
                <c:pt idx="1055">
                  <c:v>29.36115938758487</c:v>
                </c:pt>
                <c:pt idx="1056">
                  <c:v>28.707710923336379</c:v>
                </c:pt>
                <c:pt idx="1057">
                  <c:v>29.32573161365378</c:v>
                </c:pt>
                <c:pt idx="1058">
                  <c:v>32.026558018148549</c:v>
                </c:pt>
                <c:pt idx="1059">
                  <c:v>29.217757537932371</c:v>
                </c:pt>
                <c:pt idx="1060">
                  <c:v>28.67054452424669</c:v>
                </c:pt>
                <c:pt idx="1061">
                  <c:v>29.207883938511021</c:v>
                </c:pt>
                <c:pt idx="1062">
                  <c:v>29.39743408605262</c:v>
                </c:pt>
                <c:pt idx="1063">
                  <c:v>30.44637243115816</c:v>
                </c:pt>
                <c:pt idx="1064">
                  <c:v>31.361535639641509</c:v>
                </c:pt>
                <c:pt idx="1065">
                  <c:v>30.930921061166899</c:v>
                </c:pt>
                <c:pt idx="1066">
                  <c:v>31.027813237001929</c:v>
                </c:pt>
                <c:pt idx="1067">
                  <c:v>31.153387734884351</c:v>
                </c:pt>
                <c:pt idx="1068">
                  <c:v>30.321429448787381</c:v>
                </c:pt>
                <c:pt idx="1069">
                  <c:v>30.31127959436693</c:v>
                </c:pt>
                <c:pt idx="1070">
                  <c:v>29.357079437008409</c:v>
                </c:pt>
                <c:pt idx="1071">
                  <c:v>28.993471655073009</c:v>
                </c:pt>
                <c:pt idx="1072">
                  <c:v>28.524625856667789</c:v>
                </c:pt>
                <c:pt idx="1073">
                  <c:v>27.903451340814541</c:v>
                </c:pt>
                <c:pt idx="1074">
                  <c:v>30.740652026772249</c:v>
                </c:pt>
                <c:pt idx="1075">
                  <c:v>30.451447740425781</c:v>
                </c:pt>
                <c:pt idx="1076">
                  <c:v>31.78520312720358</c:v>
                </c:pt>
                <c:pt idx="1077">
                  <c:v>30.70781367897154</c:v>
                </c:pt>
                <c:pt idx="1078">
                  <c:v>30.120294152285538</c:v>
                </c:pt>
                <c:pt idx="1079">
                  <c:v>27.900487215006571</c:v>
                </c:pt>
                <c:pt idx="1080">
                  <c:v>27.27812816770416</c:v>
                </c:pt>
                <c:pt idx="1081">
                  <c:v>28.27729594331225</c:v>
                </c:pt>
                <c:pt idx="1082">
                  <c:v>26.13749480178636</c:v>
                </c:pt>
                <c:pt idx="1083">
                  <c:v>26.58042458279774</c:v>
                </c:pt>
                <c:pt idx="1084">
                  <c:v>26.286731019330119</c:v>
                </c:pt>
                <c:pt idx="1085">
                  <c:v>26.179275826559891</c:v>
                </c:pt>
                <c:pt idx="1086">
                  <c:v>26.616189754321528</c:v>
                </c:pt>
                <c:pt idx="1087">
                  <c:v>26.708026147688742</c:v>
                </c:pt>
                <c:pt idx="1088">
                  <c:v>26.571577977295512</c:v>
                </c:pt>
                <c:pt idx="1089">
                  <c:v>26.90666241482057</c:v>
                </c:pt>
                <c:pt idx="1090">
                  <c:v>26.27400425823518</c:v>
                </c:pt>
                <c:pt idx="1091">
                  <c:v>27.04889536677468</c:v>
                </c:pt>
                <c:pt idx="1092">
                  <c:v>25.34117721449897</c:v>
                </c:pt>
                <c:pt idx="1093">
                  <c:v>24.159201561548631</c:v>
                </c:pt>
                <c:pt idx="1094">
                  <c:v>22.87442436281346</c:v>
                </c:pt>
                <c:pt idx="1095">
                  <c:v>22.40037266147694</c:v>
                </c:pt>
                <c:pt idx="1096">
                  <c:v>25.611960430009329</c:v>
                </c:pt>
                <c:pt idx="1097">
                  <c:v>25.36010735824307</c:v>
                </c:pt>
                <c:pt idx="1098">
                  <c:v>26.51253328673835</c:v>
                </c:pt>
                <c:pt idx="1099">
                  <c:v>25.968085523333521</c:v>
                </c:pt>
                <c:pt idx="1100">
                  <c:v>25.88212199978793</c:v>
                </c:pt>
                <c:pt idx="1101">
                  <c:v>24.85117731728953</c:v>
                </c:pt>
                <c:pt idx="1102">
                  <c:v>25.7302305642189</c:v>
                </c:pt>
                <c:pt idx="1103">
                  <c:v>25.72538699344161</c:v>
                </c:pt>
                <c:pt idx="1104">
                  <c:v>25.80557416762425</c:v>
                </c:pt>
                <c:pt idx="1105">
                  <c:v>26.955455258500638</c:v>
                </c:pt>
                <c:pt idx="1106">
                  <c:v>27.50452734421696</c:v>
                </c:pt>
                <c:pt idx="1107">
                  <c:v>22.448810530326</c:v>
                </c:pt>
                <c:pt idx="1108">
                  <c:v>24.223265402418519</c:v>
                </c:pt>
                <c:pt idx="1109">
                  <c:v>24.08230760813775</c:v>
                </c:pt>
                <c:pt idx="1110">
                  <c:v>23.343479712151211</c:v>
                </c:pt>
                <c:pt idx="1111">
                  <c:v>23.836209258322121</c:v>
                </c:pt>
                <c:pt idx="1112">
                  <c:v>23.67294744296585</c:v>
                </c:pt>
                <c:pt idx="1113">
                  <c:v>22.843606726403909</c:v>
                </c:pt>
                <c:pt idx="1114">
                  <c:v>22.211776073212281</c:v>
                </c:pt>
                <c:pt idx="1115">
                  <c:v>24.20937019084268</c:v>
                </c:pt>
                <c:pt idx="1116">
                  <c:v>24.042301747667508</c:v>
                </c:pt>
                <c:pt idx="1117">
                  <c:v>24.115991682105282</c:v>
                </c:pt>
                <c:pt idx="1118">
                  <c:v>23.010969337976078</c:v>
                </c:pt>
                <c:pt idx="1119">
                  <c:v>23.23959377255013</c:v>
                </c:pt>
                <c:pt idx="1120">
                  <c:v>22.816553803467599</c:v>
                </c:pt>
                <c:pt idx="1121">
                  <c:v>22.59913727981569</c:v>
                </c:pt>
                <c:pt idx="1122">
                  <c:v>23.491191956302512</c:v>
                </c:pt>
                <c:pt idx="1123">
                  <c:v>24.294368086822821</c:v>
                </c:pt>
                <c:pt idx="1124">
                  <c:v>24.24986783805851</c:v>
                </c:pt>
                <c:pt idx="1125">
                  <c:v>22.69653896811424</c:v>
                </c:pt>
                <c:pt idx="1126">
                  <c:v>22.143404903181811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4D-42DF-89AE-B2AC05E3C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3967"/>
        <c:axId val="14084623"/>
      </c:lineChart>
      <c:dateAx>
        <c:axId val="14083967"/>
        <c:scaling>
          <c:orientation val="minMax"/>
          <c:min val="43831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84623"/>
        <c:crosses val="autoZero"/>
        <c:auto val="0"/>
        <c:lblOffset val="100"/>
        <c:baseTimeUnit val="days"/>
      </c:dateAx>
      <c:valAx>
        <c:axId val="1408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8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baseline="0">
                <a:effectLst/>
              </a:rPr>
              <a:t>波动率指数 </a:t>
            </a:r>
            <a:r>
              <a:rPr lang="en-US" altLang="zh-CN" sz="1400" b="0" i="0" u="none" strike="noStrike" baseline="0">
                <a:effectLst/>
              </a:rPr>
              <a:t>Vix </a:t>
            </a:r>
            <a:r>
              <a:rPr lang="zh-CN" altLang="en-US" sz="1400" b="0" i="0" u="none" strike="noStrike" baseline="0">
                <a:effectLst/>
              </a:rPr>
              <a:t>（</a:t>
            </a:r>
            <a:r>
              <a:rPr lang="en-US" altLang="zh-CN" sz="1400" b="0" i="0" u="none" strike="noStrike" baseline="0">
                <a:effectLst/>
              </a:rPr>
              <a:t>7</a:t>
            </a:r>
            <a:r>
              <a:rPr lang="zh-CN" altLang="en-US" sz="1400" b="0" i="0" u="none" strike="noStrike" baseline="0">
                <a:effectLst/>
              </a:rPr>
              <a:t>月</a:t>
            </a:r>
            <a:r>
              <a:rPr lang="en-US" altLang="zh-CN" sz="1400" b="0" i="0" u="none" strike="noStrike" baseline="0">
                <a:effectLst/>
              </a:rPr>
              <a:t>-10</a:t>
            </a:r>
            <a:r>
              <a:rPr lang="zh-CN" altLang="en-US" sz="1400" b="0" i="0" u="none" strike="noStrike" baseline="0">
                <a:effectLst/>
              </a:rPr>
              <a:t>月）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numRef>
              <c:f>vix!$A$1044:$A$1123</c:f>
              <c:numCache>
                <c:formatCode>yyyy\-mm\-dd\ hh:mm:ss</c:formatCode>
                <c:ptCount val="80"/>
                <c:pt idx="0">
                  <c:v>44014</c:v>
                </c:pt>
                <c:pt idx="1">
                  <c:v>44015</c:v>
                </c:pt>
                <c:pt idx="2">
                  <c:v>44018</c:v>
                </c:pt>
                <c:pt idx="3">
                  <c:v>44019</c:v>
                </c:pt>
                <c:pt idx="4">
                  <c:v>44020</c:v>
                </c:pt>
                <c:pt idx="5">
                  <c:v>44021</c:v>
                </c:pt>
                <c:pt idx="6">
                  <c:v>44022</c:v>
                </c:pt>
                <c:pt idx="7">
                  <c:v>44025</c:v>
                </c:pt>
                <c:pt idx="8">
                  <c:v>44026</c:v>
                </c:pt>
                <c:pt idx="9">
                  <c:v>44027</c:v>
                </c:pt>
                <c:pt idx="10">
                  <c:v>44028</c:v>
                </c:pt>
                <c:pt idx="11">
                  <c:v>44029</c:v>
                </c:pt>
                <c:pt idx="12">
                  <c:v>44032</c:v>
                </c:pt>
                <c:pt idx="13">
                  <c:v>44033</c:v>
                </c:pt>
                <c:pt idx="14">
                  <c:v>44034</c:v>
                </c:pt>
                <c:pt idx="15">
                  <c:v>44035</c:v>
                </c:pt>
                <c:pt idx="16">
                  <c:v>44036</c:v>
                </c:pt>
                <c:pt idx="17">
                  <c:v>44039</c:v>
                </c:pt>
                <c:pt idx="18">
                  <c:v>44040</c:v>
                </c:pt>
                <c:pt idx="19">
                  <c:v>44041</c:v>
                </c:pt>
                <c:pt idx="20">
                  <c:v>44042</c:v>
                </c:pt>
                <c:pt idx="21">
                  <c:v>44043</c:v>
                </c:pt>
                <c:pt idx="22">
                  <c:v>44046</c:v>
                </c:pt>
                <c:pt idx="23">
                  <c:v>44047</c:v>
                </c:pt>
                <c:pt idx="24">
                  <c:v>44048</c:v>
                </c:pt>
                <c:pt idx="25">
                  <c:v>44049</c:v>
                </c:pt>
                <c:pt idx="26">
                  <c:v>44050</c:v>
                </c:pt>
                <c:pt idx="27">
                  <c:v>44053</c:v>
                </c:pt>
                <c:pt idx="28">
                  <c:v>44054</c:v>
                </c:pt>
                <c:pt idx="29">
                  <c:v>44055</c:v>
                </c:pt>
                <c:pt idx="30">
                  <c:v>44056</c:v>
                </c:pt>
                <c:pt idx="31">
                  <c:v>44057</c:v>
                </c:pt>
                <c:pt idx="32">
                  <c:v>44060</c:v>
                </c:pt>
                <c:pt idx="33">
                  <c:v>44061</c:v>
                </c:pt>
                <c:pt idx="34">
                  <c:v>44062</c:v>
                </c:pt>
                <c:pt idx="35">
                  <c:v>44063</c:v>
                </c:pt>
                <c:pt idx="36">
                  <c:v>44064</c:v>
                </c:pt>
                <c:pt idx="37">
                  <c:v>44067</c:v>
                </c:pt>
                <c:pt idx="38">
                  <c:v>44068</c:v>
                </c:pt>
                <c:pt idx="39">
                  <c:v>44069</c:v>
                </c:pt>
                <c:pt idx="40">
                  <c:v>44070</c:v>
                </c:pt>
                <c:pt idx="41">
                  <c:v>44071</c:v>
                </c:pt>
                <c:pt idx="42">
                  <c:v>44074</c:v>
                </c:pt>
                <c:pt idx="43">
                  <c:v>44075</c:v>
                </c:pt>
                <c:pt idx="44">
                  <c:v>44076</c:v>
                </c:pt>
                <c:pt idx="45">
                  <c:v>44077</c:v>
                </c:pt>
                <c:pt idx="46">
                  <c:v>44078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44113</c:v>
                </c:pt>
                <c:pt idx="66">
                  <c:v>44116</c:v>
                </c:pt>
                <c:pt idx="67">
                  <c:v>44117</c:v>
                </c:pt>
                <c:pt idx="68">
                  <c:v>44118</c:v>
                </c:pt>
                <c:pt idx="69">
                  <c:v>44119</c:v>
                </c:pt>
                <c:pt idx="70">
                  <c:v>44120</c:v>
                </c:pt>
                <c:pt idx="71">
                  <c:v>44123</c:v>
                </c:pt>
                <c:pt idx="72">
                  <c:v>44124</c:v>
                </c:pt>
                <c:pt idx="73">
                  <c:v>44125</c:v>
                </c:pt>
                <c:pt idx="74">
                  <c:v>44126</c:v>
                </c:pt>
                <c:pt idx="75">
                  <c:v>44127</c:v>
                </c:pt>
                <c:pt idx="76">
                  <c:v>44130</c:v>
                </c:pt>
                <c:pt idx="77">
                  <c:v>44131</c:v>
                </c:pt>
                <c:pt idx="78">
                  <c:v>44132</c:v>
                </c:pt>
                <c:pt idx="79">
                  <c:v>44133</c:v>
                </c:pt>
              </c:numCache>
            </c:numRef>
          </c:cat>
          <c:val>
            <c:numRef>
              <c:f>vix!$B$1044:$B$1123</c:f>
              <c:numCache>
                <c:formatCode>General</c:formatCode>
                <c:ptCount val="80"/>
                <c:pt idx="0">
                  <c:v>22.216094066840309</c:v>
                </c:pt>
                <c:pt idx="1">
                  <c:v>24.20248777916127</c:v>
                </c:pt>
                <c:pt idx="2">
                  <c:v>32.575674321626579</c:v>
                </c:pt>
                <c:pt idx="3">
                  <c:v>31.955067069885839</c:v>
                </c:pt>
                <c:pt idx="4">
                  <c:v>33.007560651660199</c:v>
                </c:pt>
                <c:pt idx="5">
                  <c:v>33.067158790329763</c:v>
                </c:pt>
                <c:pt idx="6">
                  <c:v>32.054063608065299</c:v>
                </c:pt>
                <c:pt idx="7">
                  <c:v>29.100192613700742</c:v>
                </c:pt>
                <c:pt idx="8">
                  <c:v>29.19495068695473</c:v>
                </c:pt>
                <c:pt idx="9">
                  <c:v>34.675337518912229</c:v>
                </c:pt>
                <c:pt idx="10">
                  <c:v>36.874447139525479</c:v>
                </c:pt>
                <c:pt idx="11">
                  <c:v>31.950037661262741</c:v>
                </c:pt>
                <c:pt idx="12">
                  <c:v>31.208939328693539</c:v>
                </c:pt>
                <c:pt idx="13">
                  <c:v>29.36115938758487</c:v>
                </c:pt>
                <c:pt idx="14">
                  <c:v>28.707710923336379</c:v>
                </c:pt>
                <c:pt idx="15">
                  <c:v>29.32573161365378</c:v>
                </c:pt>
                <c:pt idx="16">
                  <c:v>32.026558018148549</c:v>
                </c:pt>
                <c:pt idx="17">
                  <c:v>29.217757537932371</c:v>
                </c:pt>
                <c:pt idx="18">
                  <c:v>28.67054452424669</c:v>
                </c:pt>
                <c:pt idx="19">
                  <c:v>29.207883938511021</c:v>
                </c:pt>
                <c:pt idx="20">
                  <c:v>29.39743408605262</c:v>
                </c:pt>
                <c:pt idx="21">
                  <c:v>30.44637243115816</c:v>
                </c:pt>
                <c:pt idx="22">
                  <c:v>31.361535639641509</c:v>
                </c:pt>
                <c:pt idx="23">
                  <c:v>30.930921061166899</c:v>
                </c:pt>
                <c:pt idx="24">
                  <c:v>31.027813237001929</c:v>
                </c:pt>
                <c:pt idx="25">
                  <c:v>31.153387734884351</c:v>
                </c:pt>
                <c:pt idx="26">
                  <c:v>30.321429448787381</c:v>
                </c:pt>
                <c:pt idx="27">
                  <c:v>30.31127959436693</c:v>
                </c:pt>
                <c:pt idx="28">
                  <c:v>29.357079437008409</c:v>
                </c:pt>
                <c:pt idx="29">
                  <c:v>28.993471655073009</c:v>
                </c:pt>
                <c:pt idx="30">
                  <c:v>28.524625856667789</c:v>
                </c:pt>
                <c:pt idx="31">
                  <c:v>27.903451340814541</c:v>
                </c:pt>
                <c:pt idx="32">
                  <c:v>30.740652026772249</c:v>
                </c:pt>
                <c:pt idx="33">
                  <c:v>30.451447740425781</c:v>
                </c:pt>
                <c:pt idx="34">
                  <c:v>31.78520312720358</c:v>
                </c:pt>
                <c:pt idx="35">
                  <c:v>30.70781367897154</c:v>
                </c:pt>
                <c:pt idx="36">
                  <c:v>30.120294152285538</c:v>
                </c:pt>
                <c:pt idx="37">
                  <c:v>27.900487215006571</c:v>
                </c:pt>
                <c:pt idx="38">
                  <c:v>27.27812816770416</c:v>
                </c:pt>
                <c:pt idx="39">
                  <c:v>28.27729594331225</c:v>
                </c:pt>
                <c:pt idx="40">
                  <c:v>26.13749480178636</c:v>
                </c:pt>
                <c:pt idx="41">
                  <c:v>26.58042458279774</c:v>
                </c:pt>
                <c:pt idx="42">
                  <c:v>26.286731019330119</c:v>
                </c:pt>
                <c:pt idx="43">
                  <c:v>26.179275826559891</c:v>
                </c:pt>
                <c:pt idx="44">
                  <c:v>26.616189754321528</c:v>
                </c:pt>
                <c:pt idx="45">
                  <c:v>26.708026147688742</c:v>
                </c:pt>
                <c:pt idx="46">
                  <c:v>26.571577977295512</c:v>
                </c:pt>
                <c:pt idx="47">
                  <c:v>26.90666241482057</c:v>
                </c:pt>
                <c:pt idx="48">
                  <c:v>26.27400425823518</c:v>
                </c:pt>
                <c:pt idx="49">
                  <c:v>27.04889536677468</c:v>
                </c:pt>
                <c:pt idx="50">
                  <c:v>25.34117721449897</c:v>
                </c:pt>
                <c:pt idx="51">
                  <c:v>24.159201561548631</c:v>
                </c:pt>
                <c:pt idx="52">
                  <c:v>22.87442436281346</c:v>
                </c:pt>
                <c:pt idx="53">
                  <c:v>22.40037266147694</c:v>
                </c:pt>
                <c:pt idx="54">
                  <c:v>25.611960430009329</c:v>
                </c:pt>
                <c:pt idx="55">
                  <c:v>25.36010735824307</c:v>
                </c:pt>
                <c:pt idx="56">
                  <c:v>26.51253328673835</c:v>
                </c:pt>
                <c:pt idx="57">
                  <c:v>25.968085523333521</c:v>
                </c:pt>
                <c:pt idx="58">
                  <c:v>25.88212199978793</c:v>
                </c:pt>
                <c:pt idx="59">
                  <c:v>24.85117731728953</c:v>
                </c:pt>
                <c:pt idx="60">
                  <c:v>25.7302305642189</c:v>
                </c:pt>
                <c:pt idx="61">
                  <c:v>25.72538699344161</c:v>
                </c:pt>
                <c:pt idx="62">
                  <c:v>25.80557416762425</c:v>
                </c:pt>
                <c:pt idx="63">
                  <c:v>26.955455258500638</c:v>
                </c:pt>
                <c:pt idx="64">
                  <c:v>27.50452734421696</c:v>
                </c:pt>
                <c:pt idx="65">
                  <c:v>22.448810530326</c:v>
                </c:pt>
                <c:pt idx="66">
                  <c:v>24.223265402418519</c:v>
                </c:pt>
                <c:pt idx="67">
                  <c:v>24.08230760813775</c:v>
                </c:pt>
                <c:pt idx="68">
                  <c:v>23.343479712151211</c:v>
                </c:pt>
                <c:pt idx="69">
                  <c:v>23.836209258322121</c:v>
                </c:pt>
                <c:pt idx="70">
                  <c:v>23.67294744296585</c:v>
                </c:pt>
                <c:pt idx="71">
                  <c:v>22.843606726403909</c:v>
                </c:pt>
                <c:pt idx="72">
                  <c:v>22.211776073212281</c:v>
                </c:pt>
                <c:pt idx="73">
                  <c:v>24.20937019084268</c:v>
                </c:pt>
                <c:pt idx="74">
                  <c:v>24.042301747667508</c:v>
                </c:pt>
                <c:pt idx="75">
                  <c:v>24.115991682105282</c:v>
                </c:pt>
                <c:pt idx="76">
                  <c:v>23.010969337976078</c:v>
                </c:pt>
                <c:pt idx="77">
                  <c:v>23.23959377255013</c:v>
                </c:pt>
                <c:pt idx="78">
                  <c:v>22.816553803467599</c:v>
                </c:pt>
                <c:pt idx="79">
                  <c:v>22.59913727981569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1D-43FD-AC45-1B22C4CAF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665287"/>
        <c:axId val="271663647"/>
      </c:lineChart>
      <c:dateAx>
        <c:axId val="271665287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1663647"/>
        <c:crosses val="autoZero"/>
        <c:auto val="1"/>
        <c:lblOffset val="100"/>
        <c:baseTimeUnit val="days"/>
      </c:dateAx>
      <c:valAx>
        <c:axId val="27166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1665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200" b="0" i="0" baseline="0">
                <a:effectLst/>
              </a:rPr>
              <a:t>波动率指数 </a:t>
            </a:r>
            <a:r>
              <a:rPr lang="en-US" altLang="zh-CN" sz="1200" b="0" i="0" baseline="0">
                <a:effectLst/>
              </a:rPr>
              <a:t>Vix </a:t>
            </a:r>
            <a:r>
              <a:rPr lang="zh-CN" altLang="zh-CN" sz="1200" b="0" i="0" baseline="0">
                <a:effectLst/>
              </a:rPr>
              <a:t>（</a:t>
            </a:r>
            <a:r>
              <a:rPr lang="en-US" altLang="zh-CN" sz="1200" b="0" i="0" baseline="0">
                <a:effectLst/>
              </a:rPr>
              <a:t>2020.01-2021.07</a:t>
            </a:r>
            <a:r>
              <a:rPr lang="zh-CN" altLang="zh-CN" sz="1200" b="0" i="0" baseline="0">
                <a:effectLst/>
              </a:rPr>
              <a:t>）</a:t>
            </a:r>
            <a:endParaRPr lang="zh-CN" altLang="zh-CN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0769111347218381E-2"/>
          <c:y val="0.10108971862388169"/>
          <c:w val="0.94458517084625049"/>
          <c:h val="0.82952456749357939"/>
        </c:manualLayout>
      </c:layout>
      <c:lineChart>
        <c:grouping val="standard"/>
        <c:varyColors val="0"/>
        <c:ser>
          <c:idx val="0"/>
          <c:order val="0"/>
          <c:tx>
            <c:strRef>
              <c:f>vix!$B$1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</c:f>
              <c:numCache>
                <c:formatCode>yyyy\-mm\-dd\ hh:mm:ss</c:formatCode>
                <c:ptCount val="1307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42457</c:v>
                </c:pt>
                <c:pt idx="6">
                  <c:v>42458</c:v>
                </c:pt>
                <c:pt idx="7">
                  <c:v>42459</c:v>
                </c:pt>
                <c:pt idx="8">
                  <c:v>42460</c:v>
                </c:pt>
                <c:pt idx="9">
                  <c:v>42461</c:v>
                </c:pt>
                <c:pt idx="10">
                  <c:v>42465</c:v>
                </c:pt>
                <c:pt idx="11">
                  <c:v>42466</c:v>
                </c:pt>
                <c:pt idx="12">
                  <c:v>42467</c:v>
                </c:pt>
                <c:pt idx="13">
                  <c:v>42468</c:v>
                </c:pt>
                <c:pt idx="14">
                  <c:v>42471</c:v>
                </c:pt>
                <c:pt idx="15">
                  <c:v>42472</c:v>
                </c:pt>
                <c:pt idx="16">
                  <c:v>42473</c:v>
                </c:pt>
                <c:pt idx="17">
                  <c:v>42474</c:v>
                </c:pt>
                <c:pt idx="18">
                  <c:v>42475</c:v>
                </c:pt>
                <c:pt idx="19">
                  <c:v>42478</c:v>
                </c:pt>
                <c:pt idx="20">
                  <c:v>42479</c:v>
                </c:pt>
                <c:pt idx="21">
                  <c:v>42480</c:v>
                </c:pt>
                <c:pt idx="22">
                  <c:v>42481</c:v>
                </c:pt>
                <c:pt idx="23">
                  <c:v>42482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42493</c:v>
                </c:pt>
                <c:pt idx="30">
                  <c:v>42494</c:v>
                </c:pt>
                <c:pt idx="31">
                  <c:v>42495</c:v>
                </c:pt>
                <c:pt idx="32">
                  <c:v>42496</c:v>
                </c:pt>
                <c:pt idx="33">
                  <c:v>42499</c:v>
                </c:pt>
                <c:pt idx="34">
                  <c:v>42500</c:v>
                </c:pt>
                <c:pt idx="35">
                  <c:v>42501</c:v>
                </c:pt>
                <c:pt idx="36">
                  <c:v>42502</c:v>
                </c:pt>
                <c:pt idx="37">
                  <c:v>42503</c:v>
                </c:pt>
                <c:pt idx="38">
                  <c:v>42506</c:v>
                </c:pt>
                <c:pt idx="39">
                  <c:v>42507</c:v>
                </c:pt>
                <c:pt idx="40">
                  <c:v>42508</c:v>
                </c:pt>
                <c:pt idx="41">
                  <c:v>42509</c:v>
                </c:pt>
                <c:pt idx="42">
                  <c:v>42510</c:v>
                </c:pt>
                <c:pt idx="43">
                  <c:v>42513</c:v>
                </c:pt>
                <c:pt idx="44">
                  <c:v>42514</c:v>
                </c:pt>
                <c:pt idx="45">
                  <c:v>42515</c:v>
                </c:pt>
                <c:pt idx="46">
                  <c:v>42516</c:v>
                </c:pt>
                <c:pt idx="47">
                  <c:v>42517</c:v>
                </c:pt>
                <c:pt idx="48">
                  <c:v>42520</c:v>
                </c:pt>
                <c:pt idx="49">
                  <c:v>42521</c:v>
                </c:pt>
                <c:pt idx="50">
                  <c:v>42522</c:v>
                </c:pt>
                <c:pt idx="51">
                  <c:v>42523</c:v>
                </c:pt>
                <c:pt idx="52">
                  <c:v>42524</c:v>
                </c:pt>
                <c:pt idx="53">
                  <c:v>42527</c:v>
                </c:pt>
                <c:pt idx="54">
                  <c:v>42528</c:v>
                </c:pt>
                <c:pt idx="55">
                  <c:v>42529</c:v>
                </c:pt>
                <c:pt idx="56">
                  <c:v>42534</c:v>
                </c:pt>
                <c:pt idx="57">
                  <c:v>42535</c:v>
                </c:pt>
                <c:pt idx="58">
                  <c:v>42536</c:v>
                </c:pt>
                <c:pt idx="59">
                  <c:v>42537</c:v>
                </c:pt>
                <c:pt idx="60">
                  <c:v>42538</c:v>
                </c:pt>
                <c:pt idx="61">
                  <c:v>42541</c:v>
                </c:pt>
                <c:pt idx="62">
                  <c:v>42542</c:v>
                </c:pt>
                <c:pt idx="63">
                  <c:v>42543</c:v>
                </c:pt>
                <c:pt idx="64">
                  <c:v>42544</c:v>
                </c:pt>
                <c:pt idx="65">
                  <c:v>42545</c:v>
                </c:pt>
                <c:pt idx="66">
                  <c:v>42548</c:v>
                </c:pt>
                <c:pt idx="67">
                  <c:v>42549</c:v>
                </c:pt>
                <c:pt idx="68">
                  <c:v>42550</c:v>
                </c:pt>
                <c:pt idx="69">
                  <c:v>42551</c:v>
                </c:pt>
                <c:pt idx="70">
                  <c:v>42552</c:v>
                </c:pt>
                <c:pt idx="71">
                  <c:v>42555</c:v>
                </c:pt>
                <c:pt idx="72">
                  <c:v>42556</c:v>
                </c:pt>
                <c:pt idx="73">
                  <c:v>42557</c:v>
                </c:pt>
                <c:pt idx="74">
                  <c:v>42558</c:v>
                </c:pt>
                <c:pt idx="75">
                  <c:v>42559</c:v>
                </c:pt>
                <c:pt idx="76">
                  <c:v>42562</c:v>
                </c:pt>
                <c:pt idx="77">
                  <c:v>42563</c:v>
                </c:pt>
                <c:pt idx="78">
                  <c:v>42564</c:v>
                </c:pt>
                <c:pt idx="79">
                  <c:v>42565</c:v>
                </c:pt>
                <c:pt idx="80">
                  <c:v>42566</c:v>
                </c:pt>
                <c:pt idx="81">
                  <c:v>42569</c:v>
                </c:pt>
                <c:pt idx="82">
                  <c:v>42570</c:v>
                </c:pt>
                <c:pt idx="83">
                  <c:v>42571</c:v>
                </c:pt>
                <c:pt idx="84">
                  <c:v>42572</c:v>
                </c:pt>
                <c:pt idx="85">
                  <c:v>42573</c:v>
                </c:pt>
                <c:pt idx="86">
                  <c:v>42576</c:v>
                </c:pt>
                <c:pt idx="87">
                  <c:v>42577</c:v>
                </c:pt>
                <c:pt idx="88">
                  <c:v>42578</c:v>
                </c:pt>
                <c:pt idx="89">
                  <c:v>42579</c:v>
                </c:pt>
                <c:pt idx="90">
                  <c:v>42580</c:v>
                </c:pt>
                <c:pt idx="91">
                  <c:v>42583</c:v>
                </c:pt>
                <c:pt idx="92">
                  <c:v>42584</c:v>
                </c:pt>
                <c:pt idx="93">
                  <c:v>42585</c:v>
                </c:pt>
                <c:pt idx="94">
                  <c:v>42586</c:v>
                </c:pt>
                <c:pt idx="95">
                  <c:v>42587</c:v>
                </c:pt>
                <c:pt idx="96">
                  <c:v>42590</c:v>
                </c:pt>
                <c:pt idx="97">
                  <c:v>42591</c:v>
                </c:pt>
                <c:pt idx="98">
                  <c:v>42592</c:v>
                </c:pt>
                <c:pt idx="99">
                  <c:v>42593</c:v>
                </c:pt>
                <c:pt idx="100">
                  <c:v>42594</c:v>
                </c:pt>
                <c:pt idx="101">
                  <c:v>42597</c:v>
                </c:pt>
                <c:pt idx="102">
                  <c:v>42598</c:v>
                </c:pt>
                <c:pt idx="103">
                  <c:v>42599</c:v>
                </c:pt>
                <c:pt idx="104">
                  <c:v>42600</c:v>
                </c:pt>
                <c:pt idx="105">
                  <c:v>42601</c:v>
                </c:pt>
                <c:pt idx="106">
                  <c:v>42604</c:v>
                </c:pt>
                <c:pt idx="107">
                  <c:v>42605</c:v>
                </c:pt>
                <c:pt idx="108">
                  <c:v>42606</c:v>
                </c:pt>
                <c:pt idx="109">
                  <c:v>42607</c:v>
                </c:pt>
                <c:pt idx="110">
                  <c:v>42608</c:v>
                </c:pt>
                <c:pt idx="111">
                  <c:v>42611</c:v>
                </c:pt>
                <c:pt idx="112">
                  <c:v>42612</c:v>
                </c:pt>
                <c:pt idx="113">
                  <c:v>42613</c:v>
                </c:pt>
                <c:pt idx="114">
                  <c:v>42614</c:v>
                </c:pt>
                <c:pt idx="115">
                  <c:v>42615</c:v>
                </c:pt>
                <c:pt idx="116">
                  <c:v>42618</c:v>
                </c:pt>
                <c:pt idx="117">
                  <c:v>42619</c:v>
                </c:pt>
                <c:pt idx="118">
                  <c:v>42620</c:v>
                </c:pt>
                <c:pt idx="119">
                  <c:v>42621</c:v>
                </c:pt>
                <c:pt idx="120">
                  <c:v>42622</c:v>
                </c:pt>
                <c:pt idx="121">
                  <c:v>42625</c:v>
                </c:pt>
                <c:pt idx="122">
                  <c:v>42626</c:v>
                </c:pt>
                <c:pt idx="123">
                  <c:v>42627</c:v>
                </c:pt>
                <c:pt idx="124">
                  <c:v>42632</c:v>
                </c:pt>
                <c:pt idx="125">
                  <c:v>42633</c:v>
                </c:pt>
                <c:pt idx="126">
                  <c:v>42634</c:v>
                </c:pt>
                <c:pt idx="127">
                  <c:v>42635</c:v>
                </c:pt>
                <c:pt idx="128">
                  <c:v>42636</c:v>
                </c:pt>
                <c:pt idx="129">
                  <c:v>42639</c:v>
                </c:pt>
                <c:pt idx="130">
                  <c:v>42640</c:v>
                </c:pt>
                <c:pt idx="131">
                  <c:v>42641</c:v>
                </c:pt>
                <c:pt idx="132">
                  <c:v>42642</c:v>
                </c:pt>
                <c:pt idx="133">
                  <c:v>42643</c:v>
                </c:pt>
                <c:pt idx="134">
                  <c:v>42653</c:v>
                </c:pt>
                <c:pt idx="135">
                  <c:v>42654</c:v>
                </c:pt>
                <c:pt idx="136">
                  <c:v>42655</c:v>
                </c:pt>
                <c:pt idx="137">
                  <c:v>42656</c:v>
                </c:pt>
                <c:pt idx="138">
                  <c:v>42657</c:v>
                </c:pt>
                <c:pt idx="139">
                  <c:v>42660</c:v>
                </c:pt>
                <c:pt idx="140">
                  <c:v>42661</c:v>
                </c:pt>
                <c:pt idx="141">
                  <c:v>42662</c:v>
                </c:pt>
                <c:pt idx="142">
                  <c:v>42663</c:v>
                </c:pt>
                <c:pt idx="143">
                  <c:v>42664</c:v>
                </c:pt>
                <c:pt idx="144">
                  <c:v>42667</c:v>
                </c:pt>
                <c:pt idx="145">
                  <c:v>42668</c:v>
                </c:pt>
                <c:pt idx="146">
                  <c:v>42669</c:v>
                </c:pt>
                <c:pt idx="147">
                  <c:v>42670</c:v>
                </c:pt>
                <c:pt idx="148">
                  <c:v>42671</c:v>
                </c:pt>
                <c:pt idx="149">
                  <c:v>42674</c:v>
                </c:pt>
                <c:pt idx="150">
                  <c:v>42675</c:v>
                </c:pt>
                <c:pt idx="151">
                  <c:v>42676</c:v>
                </c:pt>
                <c:pt idx="152">
                  <c:v>42677</c:v>
                </c:pt>
                <c:pt idx="153">
                  <c:v>42678</c:v>
                </c:pt>
                <c:pt idx="154">
                  <c:v>42681</c:v>
                </c:pt>
                <c:pt idx="155">
                  <c:v>42682</c:v>
                </c:pt>
                <c:pt idx="156">
                  <c:v>42683</c:v>
                </c:pt>
                <c:pt idx="157">
                  <c:v>42684</c:v>
                </c:pt>
                <c:pt idx="158">
                  <c:v>42685</c:v>
                </c:pt>
                <c:pt idx="159">
                  <c:v>42688</c:v>
                </c:pt>
                <c:pt idx="160">
                  <c:v>42689</c:v>
                </c:pt>
                <c:pt idx="161">
                  <c:v>42690</c:v>
                </c:pt>
                <c:pt idx="162">
                  <c:v>42691</c:v>
                </c:pt>
                <c:pt idx="163">
                  <c:v>42692</c:v>
                </c:pt>
                <c:pt idx="164">
                  <c:v>42695</c:v>
                </c:pt>
                <c:pt idx="165">
                  <c:v>42696</c:v>
                </c:pt>
                <c:pt idx="166">
                  <c:v>42697</c:v>
                </c:pt>
                <c:pt idx="167">
                  <c:v>42698</c:v>
                </c:pt>
                <c:pt idx="168">
                  <c:v>42699</c:v>
                </c:pt>
                <c:pt idx="169">
                  <c:v>42702</c:v>
                </c:pt>
                <c:pt idx="170">
                  <c:v>42703</c:v>
                </c:pt>
                <c:pt idx="171">
                  <c:v>42704</c:v>
                </c:pt>
                <c:pt idx="172">
                  <c:v>42705</c:v>
                </c:pt>
                <c:pt idx="173">
                  <c:v>42706</c:v>
                </c:pt>
                <c:pt idx="174">
                  <c:v>42709</c:v>
                </c:pt>
                <c:pt idx="175">
                  <c:v>42710</c:v>
                </c:pt>
                <c:pt idx="176">
                  <c:v>42711</c:v>
                </c:pt>
                <c:pt idx="177">
                  <c:v>42712</c:v>
                </c:pt>
                <c:pt idx="178">
                  <c:v>42713</c:v>
                </c:pt>
                <c:pt idx="179">
                  <c:v>42716</c:v>
                </c:pt>
                <c:pt idx="180">
                  <c:v>42717</c:v>
                </c:pt>
                <c:pt idx="181">
                  <c:v>42718</c:v>
                </c:pt>
                <c:pt idx="182">
                  <c:v>42719</c:v>
                </c:pt>
                <c:pt idx="183">
                  <c:v>42720</c:v>
                </c:pt>
                <c:pt idx="184">
                  <c:v>42723</c:v>
                </c:pt>
                <c:pt idx="185">
                  <c:v>42724</c:v>
                </c:pt>
                <c:pt idx="186">
                  <c:v>42725</c:v>
                </c:pt>
                <c:pt idx="187">
                  <c:v>42726</c:v>
                </c:pt>
                <c:pt idx="188">
                  <c:v>42727</c:v>
                </c:pt>
                <c:pt idx="189">
                  <c:v>42730</c:v>
                </c:pt>
                <c:pt idx="190">
                  <c:v>42731</c:v>
                </c:pt>
                <c:pt idx="191">
                  <c:v>42732</c:v>
                </c:pt>
                <c:pt idx="192">
                  <c:v>42733</c:v>
                </c:pt>
                <c:pt idx="193">
                  <c:v>42734</c:v>
                </c:pt>
                <c:pt idx="194">
                  <c:v>42738</c:v>
                </c:pt>
                <c:pt idx="195">
                  <c:v>42739</c:v>
                </c:pt>
                <c:pt idx="196">
                  <c:v>42740</c:v>
                </c:pt>
                <c:pt idx="197">
                  <c:v>42741</c:v>
                </c:pt>
                <c:pt idx="198">
                  <c:v>42744</c:v>
                </c:pt>
                <c:pt idx="199">
                  <c:v>42745</c:v>
                </c:pt>
                <c:pt idx="200">
                  <c:v>42746</c:v>
                </c:pt>
                <c:pt idx="201">
                  <c:v>42747</c:v>
                </c:pt>
                <c:pt idx="202">
                  <c:v>42748</c:v>
                </c:pt>
                <c:pt idx="203">
                  <c:v>42751</c:v>
                </c:pt>
                <c:pt idx="204">
                  <c:v>42752</c:v>
                </c:pt>
                <c:pt idx="205">
                  <c:v>42753</c:v>
                </c:pt>
                <c:pt idx="206">
                  <c:v>42754</c:v>
                </c:pt>
                <c:pt idx="207">
                  <c:v>42755</c:v>
                </c:pt>
                <c:pt idx="208">
                  <c:v>42758</c:v>
                </c:pt>
                <c:pt idx="209">
                  <c:v>42759</c:v>
                </c:pt>
                <c:pt idx="210">
                  <c:v>42760</c:v>
                </c:pt>
                <c:pt idx="211">
                  <c:v>42761</c:v>
                </c:pt>
                <c:pt idx="212">
                  <c:v>42769</c:v>
                </c:pt>
                <c:pt idx="213">
                  <c:v>42772</c:v>
                </c:pt>
                <c:pt idx="214">
                  <c:v>42773</c:v>
                </c:pt>
                <c:pt idx="215">
                  <c:v>42774</c:v>
                </c:pt>
                <c:pt idx="216">
                  <c:v>42775</c:v>
                </c:pt>
                <c:pt idx="217">
                  <c:v>42776</c:v>
                </c:pt>
                <c:pt idx="218">
                  <c:v>42779</c:v>
                </c:pt>
                <c:pt idx="219">
                  <c:v>42780</c:v>
                </c:pt>
                <c:pt idx="220">
                  <c:v>42781</c:v>
                </c:pt>
                <c:pt idx="221">
                  <c:v>42782</c:v>
                </c:pt>
                <c:pt idx="222">
                  <c:v>42783</c:v>
                </c:pt>
                <c:pt idx="223">
                  <c:v>42786</c:v>
                </c:pt>
                <c:pt idx="224">
                  <c:v>42787</c:v>
                </c:pt>
                <c:pt idx="225">
                  <c:v>42788</c:v>
                </c:pt>
                <c:pt idx="226">
                  <c:v>42789</c:v>
                </c:pt>
                <c:pt idx="227">
                  <c:v>42790</c:v>
                </c:pt>
                <c:pt idx="228">
                  <c:v>42793</c:v>
                </c:pt>
                <c:pt idx="229">
                  <c:v>42794</c:v>
                </c:pt>
                <c:pt idx="230">
                  <c:v>42795</c:v>
                </c:pt>
                <c:pt idx="231">
                  <c:v>42796</c:v>
                </c:pt>
                <c:pt idx="232">
                  <c:v>42797</c:v>
                </c:pt>
                <c:pt idx="233">
                  <c:v>42800</c:v>
                </c:pt>
                <c:pt idx="234">
                  <c:v>42801</c:v>
                </c:pt>
                <c:pt idx="235">
                  <c:v>42802</c:v>
                </c:pt>
                <c:pt idx="236">
                  <c:v>42803</c:v>
                </c:pt>
                <c:pt idx="237">
                  <c:v>42804</c:v>
                </c:pt>
                <c:pt idx="238">
                  <c:v>42807</c:v>
                </c:pt>
                <c:pt idx="239">
                  <c:v>42808</c:v>
                </c:pt>
                <c:pt idx="240">
                  <c:v>42809</c:v>
                </c:pt>
                <c:pt idx="241">
                  <c:v>42810</c:v>
                </c:pt>
                <c:pt idx="242">
                  <c:v>42811</c:v>
                </c:pt>
                <c:pt idx="243">
                  <c:v>42814</c:v>
                </c:pt>
                <c:pt idx="244">
                  <c:v>42815</c:v>
                </c:pt>
                <c:pt idx="245">
                  <c:v>42816</c:v>
                </c:pt>
                <c:pt idx="246">
                  <c:v>42817</c:v>
                </c:pt>
                <c:pt idx="247">
                  <c:v>42818</c:v>
                </c:pt>
                <c:pt idx="248">
                  <c:v>42821</c:v>
                </c:pt>
                <c:pt idx="249">
                  <c:v>42822</c:v>
                </c:pt>
                <c:pt idx="250">
                  <c:v>42823</c:v>
                </c:pt>
                <c:pt idx="251">
                  <c:v>42824</c:v>
                </c:pt>
                <c:pt idx="252">
                  <c:v>42825</c:v>
                </c:pt>
                <c:pt idx="253">
                  <c:v>42830</c:v>
                </c:pt>
                <c:pt idx="254">
                  <c:v>42831</c:v>
                </c:pt>
                <c:pt idx="255">
                  <c:v>42832</c:v>
                </c:pt>
                <c:pt idx="256">
                  <c:v>42835</c:v>
                </c:pt>
                <c:pt idx="257">
                  <c:v>42836</c:v>
                </c:pt>
                <c:pt idx="258">
                  <c:v>42837</c:v>
                </c:pt>
                <c:pt idx="259">
                  <c:v>42838</c:v>
                </c:pt>
                <c:pt idx="260">
                  <c:v>42839</c:v>
                </c:pt>
                <c:pt idx="261">
                  <c:v>42842</c:v>
                </c:pt>
                <c:pt idx="262">
                  <c:v>42843</c:v>
                </c:pt>
                <c:pt idx="263">
                  <c:v>42844</c:v>
                </c:pt>
                <c:pt idx="264">
                  <c:v>42845</c:v>
                </c:pt>
                <c:pt idx="265">
                  <c:v>42846</c:v>
                </c:pt>
                <c:pt idx="266">
                  <c:v>42849</c:v>
                </c:pt>
                <c:pt idx="267">
                  <c:v>42850</c:v>
                </c:pt>
                <c:pt idx="268">
                  <c:v>42851</c:v>
                </c:pt>
                <c:pt idx="269">
                  <c:v>42852</c:v>
                </c:pt>
                <c:pt idx="270">
                  <c:v>42853</c:v>
                </c:pt>
                <c:pt idx="271">
                  <c:v>42857</c:v>
                </c:pt>
                <c:pt idx="272">
                  <c:v>42858</c:v>
                </c:pt>
                <c:pt idx="273">
                  <c:v>42859</c:v>
                </c:pt>
                <c:pt idx="274">
                  <c:v>42860</c:v>
                </c:pt>
                <c:pt idx="275">
                  <c:v>42863</c:v>
                </c:pt>
                <c:pt idx="276">
                  <c:v>42864</c:v>
                </c:pt>
                <c:pt idx="277">
                  <c:v>42865</c:v>
                </c:pt>
                <c:pt idx="278">
                  <c:v>42866</c:v>
                </c:pt>
                <c:pt idx="279">
                  <c:v>42867</c:v>
                </c:pt>
                <c:pt idx="280">
                  <c:v>42870</c:v>
                </c:pt>
                <c:pt idx="281">
                  <c:v>42871</c:v>
                </c:pt>
                <c:pt idx="282">
                  <c:v>42872</c:v>
                </c:pt>
                <c:pt idx="283">
                  <c:v>42873</c:v>
                </c:pt>
                <c:pt idx="284">
                  <c:v>42874</c:v>
                </c:pt>
                <c:pt idx="285">
                  <c:v>42877</c:v>
                </c:pt>
                <c:pt idx="286">
                  <c:v>42878</c:v>
                </c:pt>
                <c:pt idx="287">
                  <c:v>42879</c:v>
                </c:pt>
                <c:pt idx="288">
                  <c:v>42880</c:v>
                </c:pt>
                <c:pt idx="289">
                  <c:v>42881</c:v>
                </c:pt>
                <c:pt idx="290">
                  <c:v>42886</c:v>
                </c:pt>
                <c:pt idx="291">
                  <c:v>42887</c:v>
                </c:pt>
                <c:pt idx="292">
                  <c:v>42888</c:v>
                </c:pt>
                <c:pt idx="293">
                  <c:v>42891</c:v>
                </c:pt>
                <c:pt idx="294">
                  <c:v>42892</c:v>
                </c:pt>
                <c:pt idx="295">
                  <c:v>42893</c:v>
                </c:pt>
                <c:pt idx="296">
                  <c:v>42894</c:v>
                </c:pt>
                <c:pt idx="297">
                  <c:v>42895</c:v>
                </c:pt>
                <c:pt idx="298">
                  <c:v>42898</c:v>
                </c:pt>
                <c:pt idx="299">
                  <c:v>42899</c:v>
                </c:pt>
                <c:pt idx="300">
                  <c:v>42900</c:v>
                </c:pt>
                <c:pt idx="301">
                  <c:v>42901</c:v>
                </c:pt>
                <c:pt idx="302">
                  <c:v>42902</c:v>
                </c:pt>
                <c:pt idx="303">
                  <c:v>42905</c:v>
                </c:pt>
                <c:pt idx="304">
                  <c:v>42906</c:v>
                </c:pt>
                <c:pt idx="305">
                  <c:v>42907</c:v>
                </c:pt>
                <c:pt idx="306">
                  <c:v>42908</c:v>
                </c:pt>
                <c:pt idx="307">
                  <c:v>42909</c:v>
                </c:pt>
                <c:pt idx="308">
                  <c:v>42912</c:v>
                </c:pt>
                <c:pt idx="309">
                  <c:v>42913</c:v>
                </c:pt>
                <c:pt idx="310">
                  <c:v>42914</c:v>
                </c:pt>
                <c:pt idx="311">
                  <c:v>42915</c:v>
                </c:pt>
                <c:pt idx="312">
                  <c:v>42916</c:v>
                </c:pt>
                <c:pt idx="313">
                  <c:v>42919</c:v>
                </c:pt>
                <c:pt idx="314">
                  <c:v>42920</c:v>
                </c:pt>
                <c:pt idx="315">
                  <c:v>42921</c:v>
                </c:pt>
                <c:pt idx="316">
                  <c:v>42922</c:v>
                </c:pt>
                <c:pt idx="317">
                  <c:v>42923</c:v>
                </c:pt>
                <c:pt idx="318">
                  <c:v>42926</c:v>
                </c:pt>
                <c:pt idx="319">
                  <c:v>42927</c:v>
                </c:pt>
                <c:pt idx="320">
                  <c:v>42928</c:v>
                </c:pt>
                <c:pt idx="321">
                  <c:v>42929</c:v>
                </c:pt>
                <c:pt idx="322">
                  <c:v>42930</c:v>
                </c:pt>
                <c:pt idx="323">
                  <c:v>42933</c:v>
                </c:pt>
                <c:pt idx="324">
                  <c:v>42934</c:v>
                </c:pt>
                <c:pt idx="325">
                  <c:v>42935</c:v>
                </c:pt>
                <c:pt idx="326">
                  <c:v>42936</c:v>
                </c:pt>
                <c:pt idx="327">
                  <c:v>42937</c:v>
                </c:pt>
                <c:pt idx="328">
                  <c:v>42940</c:v>
                </c:pt>
                <c:pt idx="329">
                  <c:v>42941</c:v>
                </c:pt>
                <c:pt idx="330">
                  <c:v>42942</c:v>
                </c:pt>
                <c:pt idx="331">
                  <c:v>42943</c:v>
                </c:pt>
                <c:pt idx="332">
                  <c:v>42944</c:v>
                </c:pt>
                <c:pt idx="333">
                  <c:v>42947</c:v>
                </c:pt>
                <c:pt idx="334">
                  <c:v>42948</c:v>
                </c:pt>
                <c:pt idx="335">
                  <c:v>42949</c:v>
                </c:pt>
                <c:pt idx="336">
                  <c:v>42950</c:v>
                </c:pt>
                <c:pt idx="337">
                  <c:v>42951</c:v>
                </c:pt>
                <c:pt idx="338">
                  <c:v>42954</c:v>
                </c:pt>
                <c:pt idx="339">
                  <c:v>42955</c:v>
                </c:pt>
                <c:pt idx="340">
                  <c:v>42956</c:v>
                </c:pt>
                <c:pt idx="341">
                  <c:v>42957</c:v>
                </c:pt>
                <c:pt idx="342">
                  <c:v>42958</c:v>
                </c:pt>
                <c:pt idx="343">
                  <c:v>42961</c:v>
                </c:pt>
                <c:pt idx="344">
                  <c:v>42962</c:v>
                </c:pt>
                <c:pt idx="345">
                  <c:v>42963</c:v>
                </c:pt>
                <c:pt idx="346">
                  <c:v>42964</c:v>
                </c:pt>
                <c:pt idx="347">
                  <c:v>42965</c:v>
                </c:pt>
                <c:pt idx="348">
                  <c:v>42968</c:v>
                </c:pt>
                <c:pt idx="349">
                  <c:v>42969</c:v>
                </c:pt>
                <c:pt idx="350">
                  <c:v>42970</c:v>
                </c:pt>
                <c:pt idx="351">
                  <c:v>42971</c:v>
                </c:pt>
                <c:pt idx="352">
                  <c:v>42972</c:v>
                </c:pt>
                <c:pt idx="353">
                  <c:v>42975</c:v>
                </c:pt>
                <c:pt idx="354">
                  <c:v>42976</c:v>
                </c:pt>
                <c:pt idx="355">
                  <c:v>42977</c:v>
                </c:pt>
                <c:pt idx="356">
                  <c:v>42978</c:v>
                </c:pt>
                <c:pt idx="357">
                  <c:v>42979</c:v>
                </c:pt>
                <c:pt idx="358">
                  <c:v>42982</c:v>
                </c:pt>
                <c:pt idx="359">
                  <c:v>42983</c:v>
                </c:pt>
                <c:pt idx="360">
                  <c:v>42984</c:v>
                </c:pt>
                <c:pt idx="361">
                  <c:v>42985</c:v>
                </c:pt>
                <c:pt idx="362">
                  <c:v>42986</c:v>
                </c:pt>
                <c:pt idx="363">
                  <c:v>42989</c:v>
                </c:pt>
                <c:pt idx="364">
                  <c:v>42990</c:v>
                </c:pt>
                <c:pt idx="365">
                  <c:v>42991</c:v>
                </c:pt>
                <c:pt idx="366">
                  <c:v>42992</c:v>
                </c:pt>
                <c:pt idx="367">
                  <c:v>42993</c:v>
                </c:pt>
                <c:pt idx="368">
                  <c:v>42996</c:v>
                </c:pt>
                <c:pt idx="369">
                  <c:v>42997</c:v>
                </c:pt>
                <c:pt idx="370">
                  <c:v>42998</c:v>
                </c:pt>
                <c:pt idx="371">
                  <c:v>42999</c:v>
                </c:pt>
                <c:pt idx="372">
                  <c:v>43000</c:v>
                </c:pt>
                <c:pt idx="373">
                  <c:v>43003</c:v>
                </c:pt>
                <c:pt idx="374">
                  <c:v>43004</c:v>
                </c:pt>
                <c:pt idx="375">
                  <c:v>43005</c:v>
                </c:pt>
                <c:pt idx="376">
                  <c:v>43006</c:v>
                </c:pt>
                <c:pt idx="377">
                  <c:v>43007</c:v>
                </c:pt>
                <c:pt idx="378">
                  <c:v>43017</c:v>
                </c:pt>
                <c:pt idx="379">
                  <c:v>43018</c:v>
                </c:pt>
                <c:pt idx="380">
                  <c:v>43019</c:v>
                </c:pt>
                <c:pt idx="381">
                  <c:v>43020</c:v>
                </c:pt>
                <c:pt idx="382">
                  <c:v>43021</c:v>
                </c:pt>
                <c:pt idx="383">
                  <c:v>43024</c:v>
                </c:pt>
                <c:pt idx="384">
                  <c:v>43025</c:v>
                </c:pt>
                <c:pt idx="385">
                  <c:v>43026</c:v>
                </c:pt>
                <c:pt idx="386">
                  <c:v>43027</c:v>
                </c:pt>
                <c:pt idx="387">
                  <c:v>43028</c:v>
                </c:pt>
                <c:pt idx="388">
                  <c:v>43031</c:v>
                </c:pt>
                <c:pt idx="389">
                  <c:v>43032</c:v>
                </c:pt>
                <c:pt idx="390">
                  <c:v>43033</c:v>
                </c:pt>
                <c:pt idx="391">
                  <c:v>43034</c:v>
                </c:pt>
                <c:pt idx="392">
                  <c:v>43035</c:v>
                </c:pt>
                <c:pt idx="393">
                  <c:v>43038</c:v>
                </c:pt>
                <c:pt idx="394">
                  <c:v>43039</c:v>
                </c:pt>
                <c:pt idx="395">
                  <c:v>43040</c:v>
                </c:pt>
                <c:pt idx="396">
                  <c:v>43041</c:v>
                </c:pt>
                <c:pt idx="397">
                  <c:v>43042</c:v>
                </c:pt>
                <c:pt idx="398">
                  <c:v>43045</c:v>
                </c:pt>
                <c:pt idx="399">
                  <c:v>43046</c:v>
                </c:pt>
                <c:pt idx="400">
                  <c:v>43047</c:v>
                </c:pt>
                <c:pt idx="401">
                  <c:v>43048</c:v>
                </c:pt>
                <c:pt idx="402">
                  <c:v>43049</c:v>
                </c:pt>
                <c:pt idx="403">
                  <c:v>43052</c:v>
                </c:pt>
                <c:pt idx="404">
                  <c:v>43053</c:v>
                </c:pt>
                <c:pt idx="405">
                  <c:v>43054</c:v>
                </c:pt>
                <c:pt idx="406">
                  <c:v>43055</c:v>
                </c:pt>
                <c:pt idx="407">
                  <c:v>43056</c:v>
                </c:pt>
                <c:pt idx="408">
                  <c:v>43059</c:v>
                </c:pt>
                <c:pt idx="409">
                  <c:v>43060</c:v>
                </c:pt>
                <c:pt idx="410">
                  <c:v>43061</c:v>
                </c:pt>
                <c:pt idx="411">
                  <c:v>43062</c:v>
                </c:pt>
                <c:pt idx="412">
                  <c:v>43063</c:v>
                </c:pt>
                <c:pt idx="413">
                  <c:v>43066</c:v>
                </c:pt>
                <c:pt idx="414">
                  <c:v>43067</c:v>
                </c:pt>
                <c:pt idx="415">
                  <c:v>43068</c:v>
                </c:pt>
                <c:pt idx="416">
                  <c:v>43069</c:v>
                </c:pt>
                <c:pt idx="417">
                  <c:v>43070</c:v>
                </c:pt>
                <c:pt idx="418">
                  <c:v>43073</c:v>
                </c:pt>
                <c:pt idx="419">
                  <c:v>43074</c:v>
                </c:pt>
                <c:pt idx="420">
                  <c:v>43075</c:v>
                </c:pt>
                <c:pt idx="421">
                  <c:v>43076</c:v>
                </c:pt>
                <c:pt idx="422">
                  <c:v>43077</c:v>
                </c:pt>
                <c:pt idx="423">
                  <c:v>43080</c:v>
                </c:pt>
                <c:pt idx="424">
                  <c:v>43081</c:v>
                </c:pt>
                <c:pt idx="425">
                  <c:v>43082</c:v>
                </c:pt>
                <c:pt idx="426">
                  <c:v>43083</c:v>
                </c:pt>
                <c:pt idx="427">
                  <c:v>43084</c:v>
                </c:pt>
                <c:pt idx="428">
                  <c:v>43087</c:v>
                </c:pt>
                <c:pt idx="429">
                  <c:v>43088</c:v>
                </c:pt>
                <c:pt idx="430">
                  <c:v>43089</c:v>
                </c:pt>
                <c:pt idx="431">
                  <c:v>43090</c:v>
                </c:pt>
                <c:pt idx="432">
                  <c:v>43091</c:v>
                </c:pt>
                <c:pt idx="433">
                  <c:v>43094</c:v>
                </c:pt>
                <c:pt idx="434">
                  <c:v>43095</c:v>
                </c:pt>
                <c:pt idx="435">
                  <c:v>43096</c:v>
                </c:pt>
                <c:pt idx="436">
                  <c:v>43097</c:v>
                </c:pt>
                <c:pt idx="437">
                  <c:v>43098</c:v>
                </c:pt>
                <c:pt idx="438">
                  <c:v>43102</c:v>
                </c:pt>
                <c:pt idx="439">
                  <c:v>43103</c:v>
                </c:pt>
                <c:pt idx="440">
                  <c:v>43104</c:v>
                </c:pt>
                <c:pt idx="441">
                  <c:v>43105</c:v>
                </c:pt>
                <c:pt idx="442">
                  <c:v>43108</c:v>
                </c:pt>
                <c:pt idx="443">
                  <c:v>43109</c:v>
                </c:pt>
                <c:pt idx="444">
                  <c:v>43110</c:v>
                </c:pt>
                <c:pt idx="445">
                  <c:v>43111</c:v>
                </c:pt>
                <c:pt idx="446">
                  <c:v>43112</c:v>
                </c:pt>
                <c:pt idx="447">
                  <c:v>43115</c:v>
                </c:pt>
                <c:pt idx="448">
                  <c:v>43116</c:v>
                </c:pt>
                <c:pt idx="449">
                  <c:v>43117</c:v>
                </c:pt>
                <c:pt idx="450">
                  <c:v>43118</c:v>
                </c:pt>
                <c:pt idx="451">
                  <c:v>43119</c:v>
                </c:pt>
                <c:pt idx="452">
                  <c:v>43122</c:v>
                </c:pt>
                <c:pt idx="453">
                  <c:v>43123</c:v>
                </c:pt>
                <c:pt idx="454">
                  <c:v>43124</c:v>
                </c:pt>
                <c:pt idx="455">
                  <c:v>43125</c:v>
                </c:pt>
                <c:pt idx="456">
                  <c:v>43126</c:v>
                </c:pt>
                <c:pt idx="457">
                  <c:v>43129</c:v>
                </c:pt>
                <c:pt idx="458">
                  <c:v>43130</c:v>
                </c:pt>
                <c:pt idx="459">
                  <c:v>43131</c:v>
                </c:pt>
                <c:pt idx="460">
                  <c:v>43132</c:v>
                </c:pt>
                <c:pt idx="461">
                  <c:v>43133</c:v>
                </c:pt>
                <c:pt idx="462">
                  <c:v>43136</c:v>
                </c:pt>
                <c:pt idx="463">
                  <c:v>43137</c:v>
                </c:pt>
                <c:pt idx="464">
                  <c:v>43138</c:v>
                </c:pt>
                <c:pt idx="465">
                  <c:v>43139</c:v>
                </c:pt>
                <c:pt idx="466">
                  <c:v>43140</c:v>
                </c:pt>
                <c:pt idx="467">
                  <c:v>43143</c:v>
                </c:pt>
                <c:pt idx="468">
                  <c:v>43144</c:v>
                </c:pt>
                <c:pt idx="469">
                  <c:v>43145</c:v>
                </c:pt>
                <c:pt idx="470">
                  <c:v>43153</c:v>
                </c:pt>
                <c:pt idx="471">
                  <c:v>43154</c:v>
                </c:pt>
                <c:pt idx="472">
                  <c:v>43157</c:v>
                </c:pt>
                <c:pt idx="473">
                  <c:v>43158</c:v>
                </c:pt>
                <c:pt idx="474">
                  <c:v>43159</c:v>
                </c:pt>
                <c:pt idx="475">
                  <c:v>43160</c:v>
                </c:pt>
                <c:pt idx="476">
                  <c:v>43161</c:v>
                </c:pt>
                <c:pt idx="477">
                  <c:v>43164</c:v>
                </c:pt>
                <c:pt idx="478">
                  <c:v>43165</c:v>
                </c:pt>
                <c:pt idx="479">
                  <c:v>43166</c:v>
                </c:pt>
                <c:pt idx="480">
                  <c:v>43167</c:v>
                </c:pt>
                <c:pt idx="481">
                  <c:v>43168</c:v>
                </c:pt>
                <c:pt idx="482">
                  <c:v>43171</c:v>
                </c:pt>
                <c:pt idx="483">
                  <c:v>43172</c:v>
                </c:pt>
                <c:pt idx="484">
                  <c:v>43173</c:v>
                </c:pt>
                <c:pt idx="485">
                  <c:v>43174</c:v>
                </c:pt>
                <c:pt idx="486">
                  <c:v>43175</c:v>
                </c:pt>
                <c:pt idx="487">
                  <c:v>43178</c:v>
                </c:pt>
                <c:pt idx="488">
                  <c:v>43179</c:v>
                </c:pt>
                <c:pt idx="489">
                  <c:v>43180</c:v>
                </c:pt>
                <c:pt idx="490">
                  <c:v>43181</c:v>
                </c:pt>
                <c:pt idx="491">
                  <c:v>43182</c:v>
                </c:pt>
                <c:pt idx="492">
                  <c:v>43185</c:v>
                </c:pt>
                <c:pt idx="493">
                  <c:v>43186</c:v>
                </c:pt>
                <c:pt idx="494">
                  <c:v>43187</c:v>
                </c:pt>
                <c:pt idx="495">
                  <c:v>43188</c:v>
                </c:pt>
                <c:pt idx="496">
                  <c:v>43189</c:v>
                </c:pt>
                <c:pt idx="497">
                  <c:v>43192</c:v>
                </c:pt>
                <c:pt idx="498">
                  <c:v>43193</c:v>
                </c:pt>
                <c:pt idx="499">
                  <c:v>43194</c:v>
                </c:pt>
                <c:pt idx="500">
                  <c:v>43199</c:v>
                </c:pt>
                <c:pt idx="501">
                  <c:v>43200</c:v>
                </c:pt>
                <c:pt idx="502">
                  <c:v>43201</c:v>
                </c:pt>
                <c:pt idx="503">
                  <c:v>43202</c:v>
                </c:pt>
                <c:pt idx="504">
                  <c:v>43203</c:v>
                </c:pt>
                <c:pt idx="505">
                  <c:v>43206</c:v>
                </c:pt>
                <c:pt idx="506">
                  <c:v>43207</c:v>
                </c:pt>
                <c:pt idx="507">
                  <c:v>43208</c:v>
                </c:pt>
                <c:pt idx="508">
                  <c:v>43209</c:v>
                </c:pt>
                <c:pt idx="509">
                  <c:v>43210</c:v>
                </c:pt>
                <c:pt idx="510">
                  <c:v>43213</c:v>
                </c:pt>
                <c:pt idx="511">
                  <c:v>43214</c:v>
                </c:pt>
                <c:pt idx="512">
                  <c:v>43215</c:v>
                </c:pt>
                <c:pt idx="513">
                  <c:v>43216</c:v>
                </c:pt>
                <c:pt idx="514">
                  <c:v>43217</c:v>
                </c:pt>
                <c:pt idx="515">
                  <c:v>43222</c:v>
                </c:pt>
                <c:pt idx="516">
                  <c:v>43223</c:v>
                </c:pt>
                <c:pt idx="517">
                  <c:v>43224</c:v>
                </c:pt>
                <c:pt idx="518">
                  <c:v>43227</c:v>
                </c:pt>
                <c:pt idx="519">
                  <c:v>43228</c:v>
                </c:pt>
                <c:pt idx="520">
                  <c:v>43229</c:v>
                </c:pt>
                <c:pt idx="521">
                  <c:v>43230</c:v>
                </c:pt>
                <c:pt idx="522">
                  <c:v>43231</c:v>
                </c:pt>
                <c:pt idx="523">
                  <c:v>43234</c:v>
                </c:pt>
                <c:pt idx="524">
                  <c:v>43235</c:v>
                </c:pt>
                <c:pt idx="525">
                  <c:v>43236</c:v>
                </c:pt>
                <c:pt idx="526">
                  <c:v>43237</c:v>
                </c:pt>
                <c:pt idx="527">
                  <c:v>43238</c:v>
                </c:pt>
                <c:pt idx="528">
                  <c:v>43241</c:v>
                </c:pt>
                <c:pt idx="529">
                  <c:v>43242</c:v>
                </c:pt>
                <c:pt idx="530">
                  <c:v>43243</c:v>
                </c:pt>
                <c:pt idx="531">
                  <c:v>43244</c:v>
                </c:pt>
                <c:pt idx="532">
                  <c:v>43245</c:v>
                </c:pt>
                <c:pt idx="533">
                  <c:v>43248</c:v>
                </c:pt>
                <c:pt idx="534">
                  <c:v>43249</c:v>
                </c:pt>
                <c:pt idx="535">
                  <c:v>43250</c:v>
                </c:pt>
                <c:pt idx="536">
                  <c:v>43251</c:v>
                </c:pt>
                <c:pt idx="537">
                  <c:v>43252</c:v>
                </c:pt>
                <c:pt idx="538">
                  <c:v>43255</c:v>
                </c:pt>
                <c:pt idx="539">
                  <c:v>43256</c:v>
                </c:pt>
                <c:pt idx="540">
                  <c:v>43257</c:v>
                </c:pt>
                <c:pt idx="541">
                  <c:v>43258</c:v>
                </c:pt>
                <c:pt idx="542">
                  <c:v>43259</c:v>
                </c:pt>
                <c:pt idx="543">
                  <c:v>43262</c:v>
                </c:pt>
                <c:pt idx="544">
                  <c:v>43263</c:v>
                </c:pt>
                <c:pt idx="545">
                  <c:v>43264</c:v>
                </c:pt>
                <c:pt idx="546">
                  <c:v>43265</c:v>
                </c:pt>
                <c:pt idx="547">
                  <c:v>43266</c:v>
                </c:pt>
                <c:pt idx="548">
                  <c:v>43270</c:v>
                </c:pt>
                <c:pt idx="549">
                  <c:v>43271</c:v>
                </c:pt>
                <c:pt idx="550">
                  <c:v>43272</c:v>
                </c:pt>
                <c:pt idx="551">
                  <c:v>43273</c:v>
                </c:pt>
                <c:pt idx="552">
                  <c:v>43276</c:v>
                </c:pt>
                <c:pt idx="553">
                  <c:v>43277</c:v>
                </c:pt>
                <c:pt idx="554">
                  <c:v>43278</c:v>
                </c:pt>
                <c:pt idx="555">
                  <c:v>43279</c:v>
                </c:pt>
                <c:pt idx="556">
                  <c:v>43280</c:v>
                </c:pt>
                <c:pt idx="557">
                  <c:v>43283</c:v>
                </c:pt>
                <c:pt idx="558">
                  <c:v>43284</c:v>
                </c:pt>
                <c:pt idx="559">
                  <c:v>43285</c:v>
                </c:pt>
                <c:pt idx="560">
                  <c:v>43286</c:v>
                </c:pt>
                <c:pt idx="561">
                  <c:v>43287</c:v>
                </c:pt>
                <c:pt idx="562">
                  <c:v>43290</c:v>
                </c:pt>
                <c:pt idx="563">
                  <c:v>43291</c:v>
                </c:pt>
                <c:pt idx="564">
                  <c:v>43292</c:v>
                </c:pt>
                <c:pt idx="565">
                  <c:v>43293</c:v>
                </c:pt>
                <c:pt idx="566">
                  <c:v>43294</c:v>
                </c:pt>
                <c:pt idx="567">
                  <c:v>43297</c:v>
                </c:pt>
                <c:pt idx="568">
                  <c:v>43298</c:v>
                </c:pt>
                <c:pt idx="569">
                  <c:v>43299</c:v>
                </c:pt>
                <c:pt idx="570">
                  <c:v>43300</c:v>
                </c:pt>
                <c:pt idx="571">
                  <c:v>43301</c:v>
                </c:pt>
                <c:pt idx="572">
                  <c:v>43304</c:v>
                </c:pt>
                <c:pt idx="573">
                  <c:v>43305</c:v>
                </c:pt>
                <c:pt idx="574">
                  <c:v>43306</c:v>
                </c:pt>
                <c:pt idx="575">
                  <c:v>43307</c:v>
                </c:pt>
                <c:pt idx="576">
                  <c:v>43308</c:v>
                </c:pt>
                <c:pt idx="577">
                  <c:v>43311</c:v>
                </c:pt>
                <c:pt idx="578">
                  <c:v>43312</c:v>
                </c:pt>
                <c:pt idx="579">
                  <c:v>43313</c:v>
                </c:pt>
                <c:pt idx="580">
                  <c:v>43314</c:v>
                </c:pt>
                <c:pt idx="581">
                  <c:v>43315</c:v>
                </c:pt>
                <c:pt idx="582">
                  <c:v>43318</c:v>
                </c:pt>
                <c:pt idx="583">
                  <c:v>43319</c:v>
                </c:pt>
                <c:pt idx="584">
                  <c:v>43320</c:v>
                </c:pt>
                <c:pt idx="585">
                  <c:v>43321</c:v>
                </c:pt>
                <c:pt idx="586">
                  <c:v>43322</c:v>
                </c:pt>
                <c:pt idx="587">
                  <c:v>43325</c:v>
                </c:pt>
                <c:pt idx="588">
                  <c:v>43326</c:v>
                </c:pt>
                <c:pt idx="589">
                  <c:v>43327</c:v>
                </c:pt>
                <c:pt idx="590">
                  <c:v>43328</c:v>
                </c:pt>
                <c:pt idx="591">
                  <c:v>43329</c:v>
                </c:pt>
                <c:pt idx="592">
                  <c:v>43332</c:v>
                </c:pt>
                <c:pt idx="593">
                  <c:v>43333</c:v>
                </c:pt>
                <c:pt idx="594">
                  <c:v>43334</c:v>
                </c:pt>
                <c:pt idx="595">
                  <c:v>43335</c:v>
                </c:pt>
                <c:pt idx="596">
                  <c:v>43336</c:v>
                </c:pt>
                <c:pt idx="597">
                  <c:v>43339</c:v>
                </c:pt>
                <c:pt idx="598">
                  <c:v>43340</c:v>
                </c:pt>
                <c:pt idx="599">
                  <c:v>43341</c:v>
                </c:pt>
                <c:pt idx="600">
                  <c:v>43342</c:v>
                </c:pt>
                <c:pt idx="601">
                  <c:v>43343</c:v>
                </c:pt>
                <c:pt idx="602">
                  <c:v>43346</c:v>
                </c:pt>
                <c:pt idx="603">
                  <c:v>43347</c:v>
                </c:pt>
                <c:pt idx="604">
                  <c:v>43348</c:v>
                </c:pt>
                <c:pt idx="605">
                  <c:v>43349</c:v>
                </c:pt>
                <c:pt idx="606">
                  <c:v>43350</c:v>
                </c:pt>
                <c:pt idx="607">
                  <c:v>43353</c:v>
                </c:pt>
                <c:pt idx="608">
                  <c:v>43354</c:v>
                </c:pt>
                <c:pt idx="609">
                  <c:v>43355</c:v>
                </c:pt>
                <c:pt idx="610">
                  <c:v>43356</c:v>
                </c:pt>
                <c:pt idx="611">
                  <c:v>43357</c:v>
                </c:pt>
                <c:pt idx="612">
                  <c:v>43360</c:v>
                </c:pt>
                <c:pt idx="613">
                  <c:v>43361</c:v>
                </c:pt>
                <c:pt idx="614">
                  <c:v>43362</c:v>
                </c:pt>
                <c:pt idx="615">
                  <c:v>43363</c:v>
                </c:pt>
                <c:pt idx="616">
                  <c:v>43364</c:v>
                </c:pt>
                <c:pt idx="617">
                  <c:v>43368</c:v>
                </c:pt>
                <c:pt idx="618">
                  <c:v>43369</c:v>
                </c:pt>
                <c:pt idx="619">
                  <c:v>43370</c:v>
                </c:pt>
                <c:pt idx="620">
                  <c:v>43371</c:v>
                </c:pt>
                <c:pt idx="621">
                  <c:v>43381</c:v>
                </c:pt>
                <c:pt idx="622">
                  <c:v>43382</c:v>
                </c:pt>
                <c:pt idx="623">
                  <c:v>43383</c:v>
                </c:pt>
                <c:pt idx="624">
                  <c:v>43384</c:v>
                </c:pt>
                <c:pt idx="625">
                  <c:v>43385</c:v>
                </c:pt>
                <c:pt idx="626">
                  <c:v>43388</c:v>
                </c:pt>
                <c:pt idx="627">
                  <c:v>43389</c:v>
                </c:pt>
                <c:pt idx="628">
                  <c:v>43390</c:v>
                </c:pt>
                <c:pt idx="629">
                  <c:v>43391</c:v>
                </c:pt>
                <c:pt idx="630">
                  <c:v>43392</c:v>
                </c:pt>
                <c:pt idx="631">
                  <c:v>43395</c:v>
                </c:pt>
                <c:pt idx="632">
                  <c:v>43396</c:v>
                </c:pt>
                <c:pt idx="633">
                  <c:v>43397</c:v>
                </c:pt>
                <c:pt idx="634">
                  <c:v>43398</c:v>
                </c:pt>
                <c:pt idx="635">
                  <c:v>43399</c:v>
                </c:pt>
                <c:pt idx="636">
                  <c:v>43402</c:v>
                </c:pt>
                <c:pt idx="637">
                  <c:v>43403</c:v>
                </c:pt>
                <c:pt idx="638">
                  <c:v>43404</c:v>
                </c:pt>
                <c:pt idx="639">
                  <c:v>43405</c:v>
                </c:pt>
                <c:pt idx="640">
                  <c:v>43406</c:v>
                </c:pt>
                <c:pt idx="641">
                  <c:v>43409</c:v>
                </c:pt>
                <c:pt idx="642">
                  <c:v>43410</c:v>
                </c:pt>
                <c:pt idx="643">
                  <c:v>43411</c:v>
                </c:pt>
                <c:pt idx="644">
                  <c:v>43412</c:v>
                </c:pt>
                <c:pt idx="645">
                  <c:v>43413</c:v>
                </c:pt>
                <c:pt idx="646">
                  <c:v>43416</c:v>
                </c:pt>
                <c:pt idx="647">
                  <c:v>43417</c:v>
                </c:pt>
                <c:pt idx="648">
                  <c:v>43418</c:v>
                </c:pt>
                <c:pt idx="649">
                  <c:v>43419</c:v>
                </c:pt>
                <c:pt idx="650">
                  <c:v>43420</c:v>
                </c:pt>
                <c:pt idx="651">
                  <c:v>43423</c:v>
                </c:pt>
                <c:pt idx="652">
                  <c:v>43424</c:v>
                </c:pt>
                <c:pt idx="653">
                  <c:v>43425</c:v>
                </c:pt>
                <c:pt idx="654">
                  <c:v>43426</c:v>
                </c:pt>
                <c:pt idx="655">
                  <c:v>43427</c:v>
                </c:pt>
                <c:pt idx="656">
                  <c:v>43430</c:v>
                </c:pt>
                <c:pt idx="657">
                  <c:v>43431</c:v>
                </c:pt>
                <c:pt idx="658">
                  <c:v>43432</c:v>
                </c:pt>
                <c:pt idx="659">
                  <c:v>43433</c:v>
                </c:pt>
                <c:pt idx="660">
                  <c:v>43434</c:v>
                </c:pt>
                <c:pt idx="661">
                  <c:v>43437</c:v>
                </c:pt>
                <c:pt idx="662">
                  <c:v>43438</c:v>
                </c:pt>
                <c:pt idx="663">
                  <c:v>43439</c:v>
                </c:pt>
                <c:pt idx="664">
                  <c:v>43440</c:v>
                </c:pt>
                <c:pt idx="665">
                  <c:v>43441</c:v>
                </c:pt>
                <c:pt idx="666">
                  <c:v>43444</c:v>
                </c:pt>
                <c:pt idx="667">
                  <c:v>43445</c:v>
                </c:pt>
                <c:pt idx="668">
                  <c:v>43446</c:v>
                </c:pt>
                <c:pt idx="669">
                  <c:v>43447</c:v>
                </c:pt>
                <c:pt idx="670">
                  <c:v>43448</c:v>
                </c:pt>
                <c:pt idx="671">
                  <c:v>43451</c:v>
                </c:pt>
                <c:pt idx="672">
                  <c:v>43452</c:v>
                </c:pt>
                <c:pt idx="673">
                  <c:v>43453</c:v>
                </c:pt>
                <c:pt idx="674">
                  <c:v>43454</c:v>
                </c:pt>
                <c:pt idx="675">
                  <c:v>43455</c:v>
                </c:pt>
                <c:pt idx="676">
                  <c:v>43458</c:v>
                </c:pt>
                <c:pt idx="677">
                  <c:v>43459</c:v>
                </c:pt>
                <c:pt idx="678">
                  <c:v>43460</c:v>
                </c:pt>
                <c:pt idx="679">
                  <c:v>43461</c:v>
                </c:pt>
                <c:pt idx="680">
                  <c:v>43462</c:v>
                </c:pt>
                <c:pt idx="681">
                  <c:v>43467</c:v>
                </c:pt>
                <c:pt idx="682">
                  <c:v>43468</c:v>
                </c:pt>
                <c:pt idx="683">
                  <c:v>43469</c:v>
                </c:pt>
                <c:pt idx="684">
                  <c:v>43472</c:v>
                </c:pt>
                <c:pt idx="685">
                  <c:v>43473</c:v>
                </c:pt>
                <c:pt idx="686">
                  <c:v>43474</c:v>
                </c:pt>
                <c:pt idx="687">
                  <c:v>43475</c:v>
                </c:pt>
                <c:pt idx="688">
                  <c:v>43476</c:v>
                </c:pt>
                <c:pt idx="689">
                  <c:v>43479</c:v>
                </c:pt>
                <c:pt idx="690">
                  <c:v>43480</c:v>
                </c:pt>
                <c:pt idx="691">
                  <c:v>43481</c:v>
                </c:pt>
                <c:pt idx="692">
                  <c:v>43482</c:v>
                </c:pt>
                <c:pt idx="693">
                  <c:v>43483</c:v>
                </c:pt>
                <c:pt idx="694">
                  <c:v>43486</c:v>
                </c:pt>
                <c:pt idx="695">
                  <c:v>43487</c:v>
                </c:pt>
                <c:pt idx="696">
                  <c:v>43488</c:v>
                </c:pt>
                <c:pt idx="697">
                  <c:v>43489</c:v>
                </c:pt>
                <c:pt idx="698">
                  <c:v>43490</c:v>
                </c:pt>
                <c:pt idx="699">
                  <c:v>43493</c:v>
                </c:pt>
                <c:pt idx="700">
                  <c:v>43494</c:v>
                </c:pt>
                <c:pt idx="701">
                  <c:v>43495</c:v>
                </c:pt>
                <c:pt idx="702">
                  <c:v>43496</c:v>
                </c:pt>
                <c:pt idx="703">
                  <c:v>43497</c:v>
                </c:pt>
                <c:pt idx="704">
                  <c:v>43507</c:v>
                </c:pt>
                <c:pt idx="705">
                  <c:v>43508</c:v>
                </c:pt>
                <c:pt idx="706">
                  <c:v>43509</c:v>
                </c:pt>
                <c:pt idx="707">
                  <c:v>43510</c:v>
                </c:pt>
                <c:pt idx="708">
                  <c:v>43511</c:v>
                </c:pt>
                <c:pt idx="709">
                  <c:v>43514</c:v>
                </c:pt>
                <c:pt idx="710">
                  <c:v>43515</c:v>
                </c:pt>
                <c:pt idx="711">
                  <c:v>43516</c:v>
                </c:pt>
                <c:pt idx="712">
                  <c:v>43517</c:v>
                </c:pt>
                <c:pt idx="713">
                  <c:v>43518</c:v>
                </c:pt>
                <c:pt idx="714">
                  <c:v>43521</c:v>
                </c:pt>
                <c:pt idx="715">
                  <c:v>43522</c:v>
                </c:pt>
                <c:pt idx="716">
                  <c:v>43523</c:v>
                </c:pt>
                <c:pt idx="717">
                  <c:v>43524</c:v>
                </c:pt>
                <c:pt idx="718">
                  <c:v>43525</c:v>
                </c:pt>
                <c:pt idx="719">
                  <c:v>43528</c:v>
                </c:pt>
                <c:pt idx="720">
                  <c:v>43529</c:v>
                </c:pt>
                <c:pt idx="721">
                  <c:v>43530</c:v>
                </c:pt>
                <c:pt idx="722">
                  <c:v>43531</c:v>
                </c:pt>
                <c:pt idx="723">
                  <c:v>43532</c:v>
                </c:pt>
                <c:pt idx="724">
                  <c:v>43535</c:v>
                </c:pt>
                <c:pt idx="725">
                  <c:v>43536</c:v>
                </c:pt>
                <c:pt idx="726">
                  <c:v>43537</c:v>
                </c:pt>
                <c:pt idx="727">
                  <c:v>43538</c:v>
                </c:pt>
                <c:pt idx="728">
                  <c:v>43539</c:v>
                </c:pt>
                <c:pt idx="729">
                  <c:v>43542</c:v>
                </c:pt>
                <c:pt idx="730">
                  <c:v>43543</c:v>
                </c:pt>
                <c:pt idx="731">
                  <c:v>43544</c:v>
                </c:pt>
                <c:pt idx="732">
                  <c:v>43545</c:v>
                </c:pt>
                <c:pt idx="733">
                  <c:v>43546</c:v>
                </c:pt>
                <c:pt idx="734">
                  <c:v>43549</c:v>
                </c:pt>
                <c:pt idx="735">
                  <c:v>43550</c:v>
                </c:pt>
                <c:pt idx="736">
                  <c:v>43551</c:v>
                </c:pt>
                <c:pt idx="737">
                  <c:v>43552</c:v>
                </c:pt>
                <c:pt idx="738">
                  <c:v>43553</c:v>
                </c:pt>
                <c:pt idx="739">
                  <c:v>43556</c:v>
                </c:pt>
                <c:pt idx="740">
                  <c:v>43557</c:v>
                </c:pt>
                <c:pt idx="741">
                  <c:v>43558</c:v>
                </c:pt>
                <c:pt idx="742">
                  <c:v>43559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43574</c:v>
                </c:pt>
                <c:pt idx="753">
                  <c:v>43577</c:v>
                </c:pt>
                <c:pt idx="754">
                  <c:v>43578</c:v>
                </c:pt>
                <c:pt idx="755">
                  <c:v>43579</c:v>
                </c:pt>
                <c:pt idx="756">
                  <c:v>43580</c:v>
                </c:pt>
                <c:pt idx="757">
                  <c:v>43581</c:v>
                </c:pt>
                <c:pt idx="758">
                  <c:v>43584</c:v>
                </c:pt>
                <c:pt idx="759">
                  <c:v>43585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43626</c:v>
                </c:pt>
                <c:pt idx="785">
                  <c:v>43627</c:v>
                </c:pt>
                <c:pt idx="786">
                  <c:v>43628</c:v>
                </c:pt>
                <c:pt idx="787">
                  <c:v>43629</c:v>
                </c:pt>
                <c:pt idx="788">
                  <c:v>43630</c:v>
                </c:pt>
                <c:pt idx="789">
                  <c:v>43633</c:v>
                </c:pt>
                <c:pt idx="790">
                  <c:v>43634</c:v>
                </c:pt>
                <c:pt idx="791">
                  <c:v>43635</c:v>
                </c:pt>
                <c:pt idx="792">
                  <c:v>43636</c:v>
                </c:pt>
                <c:pt idx="793">
                  <c:v>43637</c:v>
                </c:pt>
                <c:pt idx="794">
                  <c:v>43640</c:v>
                </c:pt>
                <c:pt idx="795">
                  <c:v>43641</c:v>
                </c:pt>
                <c:pt idx="796">
                  <c:v>43642</c:v>
                </c:pt>
                <c:pt idx="797">
                  <c:v>43643</c:v>
                </c:pt>
                <c:pt idx="798">
                  <c:v>43644</c:v>
                </c:pt>
                <c:pt idx="799">
                  <c:v>43647</c:v>
                </c:pt>
                <c:pt idx="800">
                  <c:v>43648</c:v>
                </c:pt>
                <c:pt idx="801">
                  <c:v>43649</c:v>
                </c:pt>
                <c:pt idx="802">
                  <c:v>43650</c:v>
                </c:pt>
                <c:pt idx="803">
                  <c:v>43651</c:v>
                </c:pt>
                <c:pt idx="804">
                  <c:v>43654</c:v>
                </c:pt>
                <c:pt idx="805">
                  <c:v>43655</c:v>
                </c:pt>
                <c:pt idx="806">
                  <c:v>43656</c:v>
                </c:pt>
                <c:pt idx="807">
                  <c:v>43657</c:v>
                </c:pt>
                <c:pt idx="808">
                  <c:v>43658</c:v>
                </c:pt>
                <c:pt idx="809">
                  <c:v>43661</c:v>
                </c:pt>
                <c:pt idx="810">
                  <c:v>43662</c:v>
                </c:pt>
                <c:pt idx="811">
                  <c:v>43663</c:v>
                </c:pt>
                <c:pt idx="812">
                  <c:v>43664</c:v>
                </c:pt>
                <c:pt idx="813">
                  <c:v>43665</c:v>
                </c:pt>
                <c:pt idx="814">
                  <c:v>43668</c:v>
                </c:pt>
                <c:pt idx="815">
                  <c:v>43669</c:v>
                </c:pt>
                <c:pt idx="816">
                  <c:v>43670</c:v>
                </c:pt>
                <c:pt idx="817">
                  <c:v>43671</c:v>
                </c:pt>
                <c:pt idx="818">
                  <c:v>43672</c:v>
                </c:pt>
                <c:pt idx="819">
                  <c:v>43675</c:v>
                </c:pt>
                <c:pt idx="820">
                  <c:v>43676</c:v>
                </c:pt>
                <c:pt idx="821">
                  <c:v>43677</c:v>
                </c:pt>
                <c:pt idx="822">
                  <c:v>43678</c:v>
                </c:pt>
                <c:pt idx="823">
                  <c:v>43679</c:v>
                </c:pt>
                <c:pt idx="824">
                  <c:v>43682</c:v>
                </c:pt>
                <c:pt idx="825">
                  <c:v>43683</c:v>
                </c:pt>
                <c:pt idx="826">
                  <c:v>43684</c:v>
                </c:pt>
                <c:pt idx="827">
                  <c:v>43685</c:v>
                </c:pt>
                <c:pt idx="828">
                  <c:v>43686</c:v>
                </c:pt>
                <c:pt idx="829">
                  <c:v>43689</c:v>
                </c:pt>
                <c:pt idx="830">
                  <c:v>43690</c:v>
                </c:pt>
                <c:pt idx="831">
                  <c:v>43691</c:v>
                </c:pt>
                <c:pt idx="832">
                  <c:v>43692</c:v>
                </c:pt>
                <c:pt idx="833">
                  <c:v>43693</c:v>
                </c:pt>
                <c:pt idx="834">
                  <c:v>43696</c:v>
                </c:pt>
                <c:pt idx="835">
                  <c:v>43697</c:v>
                </c:pt>
                <c:pt idx="836">
                  <c:v>43698</c:v>
                </c:pt>
                <c:pt idx="837">
                  <c:v>43699</c:v>
                </c:pt>
                <c:pt idx="838">
                  <c:v>43700</c:v>
                </c:pt>
                <c:pt idx="839">
                  <c:v>43703</c:v>
                </c:pt>
                <c:pt idx="840">
                  <c:v>43704</c:v>
                </c:pt>
                <c:pt idx="841">
                  <c:v>43705</c:v>
                </c:pt>
                <c:pt idx="842">
                  <c:v>43706</c:v>
                </c:pt>
                <c:pt idx="843">
                  <c:v>43707</c:v>
                </c:pt>
                <c:pt idx="844">
                  <c:v>43710</c:v>
                </c:pt>
                <c:pt idx="845">
                  <c:v>43711</c:v>
                </c:pt>
                <c:pt idx="846">
                  <c:v>43712</c:v>
                </c:pt>
                <c:pt idx="847">
                  <c:v>43713</c:v>
                </c:pt>
                <c:pt idx="848">
                  <c:v>43714</c:v>
                </c:pt>
                <c:pt idx="849">
                  <c:v>43717</c:v>
                </c:pt>
                <c:pt idx="850">
                  <c:v>43718</c:v>
                </c:pt>
                <c:pt idx="851">
                  <c:v>43719</c:v>
                </c:pt>
                <c:pt idx="852">
                  <c:v>43720</c:v>
                </c:pt>
                <c:pt idx="853">
                  <c:v>43724</c:v>
                </c:pt>
                <c:pt idx="854">
                  <c:v>43725</c:v>
                </c:pt>
                <c:pt idx="855">
                  <c:v>43726</c:v>
                </c:pt>
                <c:pt idx="856">
                  <c:v>43727</c:v>
                </c:pt>
                <c:pt idx="857">
                  <c:v>43728</c:v>
                </c:pt>
                <c:pt idx="858">
                  <c:v>43731</c:v>
                </c:pt>
                <c:pt idx="859">
                  <c:v>43732</c:v>
                </c:pt>
                <c:pt idx="860">
                  <c:v>43733</c:v>
                </c:pt>
                <c:pt idx="861">
                  <c:v>43734</c:v>
                </c:pt>
                <c:pt idx="862">
                  <c:v>43735</c:v>
                </c:pt>
                <c:pt idx="863">
                  <c:v>43738</c:v>
                </c:pt>
                <c:pt idx="864">
                  <c:v>43746</c:v>
                </c:pt>
                <c:pt idx="865">
                  <c:v>43747</c:v>
                </c:pt>
                <c:pt idx="866">
                  <c:v>43748</c:v>
                </c:pt>
                <c:pt idx="867">
                  <c:v>43749</c:v>
                </c:pt>
                <c:pt idx="868">
                  <c:v>43752</c:v>
                </c:pt>
                <c:pt idx="869">
                  <c:v>43753</c:v>
                </c:pt>
                <c:pt idx="870">
                  <c:v>43754</c:v>
                </c:pt>
                <c:pt idx="871">
                  <c:v>43755</c:v>
                </c:pt>
                <c:pt idx="872">
                  <c:v>43756</c:v>
                </c:pt>
                <c:pt idx="873">
                  <c:v>43759</c:v>
                </c:pt>
                <c:pt idx="874">
                  <c:v>43760</c:v>
                </c:pt>
                <c:pt idx="875">
                  <c:v>43761</c:v>
                </c:pt>
                <c:pt idx="876">
                  <c:v>43762</c:v>
                </c:pt>
                <c:pt idx="877">
                  <c:v>43763</c:v>
                </c:pt>
                <c:pt idx="878">
                  <c:v>43766</c:v>
                </c:pt>
                <c:pt idx="879">
                  <c:v>43767</c:v>
                </c:pt>
                <c:pt idx="880">
                  <c:v>43768</c:v>
                </c:pt>
                <c:pt idx="881">
                  <c:v>43769</c:v>
                </c:pt>
                <c:pt idx="882">
                  <c:v>43770</c:v>
                </c:pt>
                <c:pt idx="883">
                  <c:v>43773</c:v>
                </c:pt>
                <c:pt idx="884">
                  <c:v>43774</c:v>
                </c:pt>
                <c:pt idx="885">
                  <c:v>43775</c:v>
                </c:pt>
                <c:pt idx="886">
                  <c:v>43776</c:v>
                </c:pt>
                <c:pt idx="887">
                  <c:v>43777</c:v>
                </c:pt>
                <c:pt idx="888">
                  <c:v>43780</c:v>
                </c:pt>
                <c:pt idx="889">
                  <c:v>43781</c:v>
                </c:pt>
                <c:pt idx="890">
                  <c:v>43782</c:v>
                </c:pt>
                <c:pt idx="891">
                  <c:v>43783</c:v>
                </c:pt>
                <c:pt idx="892">
                  <c:v>43784</c:v>
                </c:pt>
                <c:pt idx="893">
                  <c:v>43787</c:v>
                </c:pt>
                <c:pt idx="894">
                  <c:v>43788</c:v>
                </c:pt>
                <c:pt idx="895">
                  <c:v>43789</c:v>
                </c:pt>
                <c:pt idx="896">
                  <c:v>43790</c:v>
                </c:pt>
                <c:pt idx="897">
                  <c:v>43791</c:v>
                </c:pt>
                <c:pt idx="898">
                  <c:v>43794</c:v>
                </c:pt>
                <c:pt idx="899">
                  <c:v>43795</c:v>
                </c:pt>
                <c:pt idx="900">
                  <c:v>43796</c:v>
                </c:pt>
                <c:pt idx="901">
                  <c:v>43797</c:v>
                </c:pt>
                <c:pt idx="902">
                  <c:v>43798</c:v>
                </c:pt>
                <c:pt idx="903">
                  <c:v>43801</c:v>
                </c:pt>
                <c:pt idx="904">
                  <c:v>43802</c:v>
                </c:pt>
                <c:pt idx="905">
                  <c:v>43803</c:v>
                </c:pt>
                <c:pt idx="906">
                  <c:v>43804</c:v>
                </c:pt>
                <c:pt idx="907">
                  <c:v>43805</c:v>
                </c:pt>
                <c:pt idx="908">
                  <c:v>43808</c:v>
                </c:pt>
                <c:pt idx="909">
                  <c:v>43809</c:v>
                </c:pt>
                <c:pt idx="910">
                  <c:v>43810</c:v>
                </c:pt>
                <c:pt idx="911">
                  <c:v>43811</c:v>
                </c:pt>
                <c:pt idx="912">
                  <c:v>43812</c:v>
                </c:pt>
                <c:pt idx="913">
                  <c:v>43815</c:v>
                </c:pt>
                <c:pt idx="914">
                  <c:v>43816</c:v>
                </c:pt>
                <c:pt idx="915">
                  <c:v>43817</c:v>
                </c:pt>
                <c:pt idx="916">
                  <c:v>43818</c:v>
                </c:pt>
                <c:pt idx="917">
                  <c:v>43819</c:v>
                </c:pt>
                <c:pt idx="918">
                  <c:v>43822</c:v>
                </c:pt>
                <c:pt idx="919">
                  <c:v>43823</c:v>
                </c:pt>
                <c:pt idx="920">
                  <c:v>43824</c:v>
                </c:pt>
                <c:pt idx="921">
                  <c:v>43825</c:v>
                </c:pt>
                <c:pt idx="922">
                  <c:v>43826</c:v>
                </c:pt>
                <c:pt idx="923">
                  <c:v>43829</c:v>
                </c:pt>
                <c:pt idx="924">
                  <c:v>43830</c:v>
                </c:pt>
                <c:pt idx="925">
                  <c:v>43832</c:v>
                </c:pt>
                <c:pt idx="926">
                  <c:v>43833</c:v>
                </c:pt>
                <c:pt idx="927">
                  <c:v>43836</c:v>
                </c:pt>
                <c:pt idx="928">
                  <c:v>43837</c:v>
                </c:pt>
                <c:pt idx="929">
                  <c:v>43838</c:v>
                </c:pt>
                <c:pt idx="930">
                  <c:v>43839</c:v>
                </c:pt>
                <c:pt idx="931">
                  <c:v>43840</c:v>
                </c:pt>
                <c:pt idx="932">
                  <c:v>43843</c:v>
                </c:pt>
                <c:pt idx="933">
                  <c:v>43844</c:v>
                </c:pt>
                <c:pt idx="934">
                  <c:v>43845</c:v>
                </c:pt>
                <c:pt idx="935">
                  <c:v>43846</c:v>
                </c:pt>
                <c:pt idx="936">
                  <c:v>43847</c:v>
                </c:pt>
                <c:pt idx="937">
                  <c:v>43850</c:v>
                </c:pt>
                <c:pt idx="938">
                  <c:v>43851</c:v>
                </c:pt>
                <c:pt idx="939">
                  <c:v>43852</c:v>
                </c:pt>
                <c:pt idx="940">
                  <c:v>43853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43928</c:v>
                </c:pt>
                <c:pt idx="986">
                  <c:v>43929</c:v>
                </c:pt>
                <c:pt idx="987">
                  <c:v>43930</c:v>
                </c:pt>
                <c:pt idx="988">
                  <c:v>43931</c:v>
                </c:pt>
                <c:pt idx="989">
                  <c:v>43934</c:v>
                </c:pt>
                <c:pt idx="990">
                  <c:v>43935</c:v>
                </c:pt>
                <c:pt idx="991">
                  <c:v>43936</c:v>
                </c:pt>
                <c:pt idx="992">
                  <c:v>43937</c:v>
                </c:pt>
                <c:pt idx="993">
                  <c:v>43938</c:v>
                </c:pt>
                <c:pt idx="994">
                  <c:v>43941</c:v>
                </c:pt>
                <c:pt idx="995">
                  <c:v>43942</c:v>
                </c:pt>
                <c:pt idx="996">
                  <c:v>43943</c:v>
                </c:pt>
                <c:pt idx="997">
                  <c:v>43944</c:v>
                </c:pt>
                <c:pt idx="998">
                  <c:v>43945</c:v>
                </c:pt>
                <c:pt idx="999">
                  <c:v>43948</c:v>
                </c:pt>
                <c:pt idx="1000">
                  <c:v>43949</c:v>
                </c:pt>
                <c:pt idx="1001">
                  <c:v>43950</c:v>
                </c:pt>
                <c:pt idx="1002">
                  <c:v>43951</c:v>
                </c:pt>
                <c:pt idx="1003">
                  <c:v>43957</c:v>
                </c:pt>
                <c:pt idx="1004">
                  <c:v>43958</c:v>
                </c:pt>
                <c:pt idx="1005">
                  <c:v>43959</c:v>
                </c:pt>
                <c:pt idx="1006">
                  <c:v>43962</c:v>
                </c:pt>
                <c:pt idx="1007">
                  <c:v>43963</c:v>
                </c:pt>
                <c:pt idx="1008">
                  <c:v>43964</c:v>
                </c:pt>
                <c:pt idx="1009">
                  <c:v>43965</c:v>
                </c:pt>
                <c:pt idx="1010">
                  <c:v>43966</c:v>
                </c:pt>
                <c:pt idx="1011">
                  <c:v>43969</c:v>
                </c:pt>
                <c:pt idx="1012">
                  <c:v>43970</c:v>
                </c:pt>
                <c:pt idx="1013">
                  <c:v>43971</c:v>
                </c:pt>
                <c:pt idx="1014">
                  <c:v>43972</c:v>
                </c:pt>
                <c:pt idx="1015">
                  <c:v>43973</c:v>
                </c:pt>
                <c:pt idx="1016">
                  <c:v>43976</c:v>
                </c:pt>
                <c:pt idx="1017">
                  <c:v>43977</c:v>
                </c:pt>
                <c:pt idx="1018">
                  <c:v>43978</c:v>
                </c:pt>
                <c:pt idx="1019">
                  <c:v>43979</c:v>
                </c:pt>
                <c:pt idx="1020">
                  <c:v>43980</c:v>
                </c:pt>
                <c:pt idx="1021">
                  <c:v>43983</c:v>
                </c:pt>
                <c:pt idx="1022">
                  <c:v>43984</c:v>
                </c:pt>
                <c:pt idx="1023">
                  <c:v>43985</c:v>
                </c:pt>
                <c:pt idx="1024">
                  <c:v>43986</c:v>
                </c:pt>
                <c:pt idx="1025">
                  <c:v>43987</c:v>
                </c:pt>
                <c:pt idx="1026">
                  <c:v>43990</c:v>
                </c:pt>
                <c:pt idx="1027">
                  <c:v>43991</c:v>
                </c:pt>
                <c:pt idx="1028">
                  <c:v>43992</c:v>
                </c:pt>
                <c:pt idx="1029">
                  <c:v>43993</c:v>
                </c:pt>
                <c:pt idx="1030">
                  <c:v>43994</c:v>
                </c:pt>
                <c:pt idx="1031">
                  <c:v>43997</c:v>
                </c:pt>
                <c:pt idx="1032">
                  <c:v>43998</c:v>
                </c:pt>
                <c:pt idx="1033">
                  <c:v>43999</c:v>
                </c:pt>
                <c:pt idx="1034">
                  <c:v>44000</c:v>
                </c:pt>
                <c:pt idx="1035">
                  <c:v>44001</c:v>
                </c:pt>
                <c:pt idx="1036">
                  <c:v>44004</c:v>
                </c:pt>
                <c:pt idx="1037">
                  <c:v>44005</c:v>
                </c:pt>
                <c:pt idx="1038">
                  <c:v>44006</c:v>
                </c:pt>
                <c:pt idx="1039">
                  <c:v>44011</c:v>
                </c:pt>
                <c:pt idx="1040">
                  <c:v>44012</c:v>
                </c:pt>
                <c:pt idx="1041">
                  <c:v>44013</c:v>
                </c:pt>
                <c:pt idx="1042">
                  <c:v>44014</c:v>
                </c:pt>
                <c:pt idx="1043">
                  <c:v>44015</c:v>
                </c:pt>
                <c:pt idx="1044">
                  <c:v>44018</c:v>
                </c:pt>
                <c:pt idx="1045">
                  <c:v>44019</c:v>
                </c:pt>
                <c:pt idx="1046">
                  <c:v>44020</c:v>
                </c:pt>
                <c:pt idx="1047">
                  <c:v>44021</c:v>
                </c:pt>
                <c:pt idx="1048">
                  <c:v>44022</c:v>
                </c:pt>
                <c:pt idx="1049">
                  <c:v>44025</c:v>
                </c:pt>
                <c:pt idx="1050">
                  <c:v>44026</c:v>
                </c:pt>
                <c:pt idx="1051">
                  <c:v>44027</c:v>
                </c:pt>
                <c:pt idx="1052">
                  <c:v>44028</c:v>
                </c:pt>
                <c:pt idx="1053">
                  <c:v>44029</c:v>
                </c:pt>
                <c:pt idx="1054">
                  <c:v>44032</c:v>
                </c:pt>
                <c:pt idx="1055">
                  <c:v>44033</c:v>
                </c:pt>
                <c:pt idx="1056">
                  <c:v>44034</c:v>
                </c:pt>
                <c:pt idx="1057">
                  <c:v>44035</c:v>
                </c:pt>
                <c:pt idx="1058">
                  <c:v>44036</c:v>
                </c:pt>
                <c:pt idx="1059">
                  <c:v>44039</c:v>
                </c:pt>
                <c:pt idx="1060">
                  <c:v>44040</c:v>
                </c:pt>
                <c:pt idx="1061">
                  <c:v>44041</c:v>
                </c:pt>
                <c:pt idx="1062">
                  <c:v>44042</c:v>
                </c:pt>
                <c:pt idx="1063">
                  <c:v>44043</c:v>
                </c:pt>
                <c:pt idx="1064">
                  <c:v>44046</c:v>
                </c:pt>
                <c:pt idx="1065">
                  <c:v>44047</c:v>
                </c:pt>
                <c:pt idx="1066">
                  <c:v>44048</c:v>
                </c:pt>
                <c:pt idx="1067">
                  <c:v>44049</c:v>
                </c:pt>
                <c:pt idx="1068">
                  <c:v>44050</c:v>
                </c:pt>
                <c:pt idx="1069">
                  <c:v>44053</c:v>
                </c:pt>
                <c:pt idx="1070">
                  <c:v>44054</c:v>
                </c:pt>
                <c:pt idx="1071">
                  <c:v>44055</c:v>
                </c:pt>
                <c:pt idx="1072">
                  <c:v>44056</c:v>
                </c:pt>
                <c:pt idx="1073">
                  <c:v>44057</c:v>
                </c:pt>
                <c:pt idx="1074">
                  <c:v>44060</c:v>
                </c:pt>
                <c:pt idx="1075">
                  <c:v>44061</c:v>
                </c:pt>
                <c:pt idx="1076">
                  <c:v>44062</c:v>
                </c:pt>
                <c:pt idx="1077">
                  <c:v>44063</c:v>
                </c:pt>
                <c:pt idx="1078">
                  <c:v>44064</c:v>
                </c:pt>
                <c:pt idx="1079">
                  <c:v>44067</c:v>
                </c:pt>
                <c:pt idx="1080">
                  <c:v>44068</c:v>
                </c:pt>
                <c:pt idx="1081">
                  <c:v>44069</c:v>
                </c:pt>
                <c:pt idx="1082">
                  <c:v>44070</c:v>
                </c:pt>
                <c:pt idx="1083">
                  <c:v>44071</c:v>
                </c:pt>
                <c:pt idx="1084">
                  <c:v>44074</c:v>
                </c:pt>
                <c:pt idx="1085">
                  <c:v>44075</c:v>
                </c:pt>
                <c:pt idx="1086">
                  <c:v>44076</c:v>
                </c:pt>
                <c:pt idx="1087">
                  <c:v>44077</c:v>
                </c:pt>
                <c:pt idx="1088">
                  <c:v>44078</c:v>
                </c:pt>
                <c:pt idx="1089">
                  <c:v>44081</c:v>
                </c:pt>
                <c:pt idx="1090">
                  <c:v>44082</c:v>
                </c:pt>
                <c:pt idx="1091">
                  <c:v>44083</c:v>
                </c:pt>
                <c:pt idx="1092">
                  <c:v>44084</c:v>
                </c:pt>
                <c:pt idx="1093">
                  <c:v>44085</c:v>
                </c:pt>
                <c:pt idx="1094">
                  <c:v>44088</c:v>
                </c:pt>
                <c:pt idx="1095">
                  <c:v>44089</c:v>
                </c:pt>
                <c:pt idx="1096">
                  <c:v>44090</c:v>
                </c:pt>
                <c:pt idx="1097">
                  <c:v>44091</c:v>
                </c:pt>
                <c:pt idx="1098">
                  <c:v>44092</c:v>
                </c:pt>
                <c:pt idx="1099">
                  <c:v>44095</c:v>
                </c:pt>
                <c:pt idx="1100">
                  <c:v>44096</c:v>
                </c:pt>
                <c:pt idx="1101">
                  <c:v>44097</c:v>
                </c:pt>
                <c:pt idx="1102">
                  <c:v>44098</c:v>
                </c:pt>
                <c:pt idx="1103">
                  <c:v>44099</c:v>
                </c:pt>
                <c:pt idx="1104">
                  <c:v>44102</c:v>
                </c:pt>
                <c:pt idx="1105">
                  <c:v>44103</c:v>
                </c:pt>
                <c:pt idx="1106">
                  <c:v>44104</c:v>
                </c:pt>
                <c:pt idx="1107">
                  <c:v>44113</c:v>
                </c:pt>
                <c:pt idx="1108">
                  <c:v>44116</c:v>
                </c:pt>
                <c:pt idx="1109">
                  <c:v>44117</c:v>
                </c:pt>
                <c:pt idx="1110">
                  <c:v>44118</c:v>
                </c:pt>
                <c:pt idx="1111">
                  <c:v>44119</c:v>
                </c:pt>
                <c:pt idx="1112">
                  <c:v>44120</c:v>
                </c:pt>
                <c:pt idx="1113">
                  <c:v>44123</c:v>
                </c:pt>
                <c:pt idx="1114">
                  <c:v>44124</c:v>
                </c:pt>
                <c:pt idx="1115">
                  <c:v>44125</c:v>
                </c:pt>
                <c:pt idx="1116">
                  <c:v>44126</c:v>
                </c:pt>
                <c:pt idx="1117">
                  <c:v>44127</c:v>
                </c:pt>
                <c:pt idx="1118">
                  <c:v>44130</c:v>
                </c:pt>
                <c:pt idx="1119">
                  <c:v>44131</c:v>
                </c:pt>
                <c:pt idx="1120">
                  <c:v>44132</c:v>
                </c:pt>
                <c:pt idx="1121">
                  <c:v>44133</c:v>
                </c:pt>
                <c:pt idx="1122">
                  <c:v>44134</c:v>
                </c:pt>
                <c:pt idx="1123">
                  <c:v>44137</c:v>
                </c:pt>
                <c:pt idx="1124">
                  <c:v>44138</c:v>
                </c:pt>
                <c:pt idx="1125">
                  <c:v>44139</c:v>
                </c:pt>
                <c:pt idx="1126">
                  <c:v>44140</c:v>
                </c:pt>
                <c:pt idx="1127">
                  <c:v>44141</c:v>
                </c:pt>
                <c:pt idx="1128">
                  <c:v>44144</c:v>
                </c:pt>
                <c:pt idx="1129">
                  <c:v>44145</c:v>
                </c:pt>
                <c:pt idx="1130">
                  <c:v>44146</c:v>
                </c:pt>
                <c:pt idx="1131">
                  <c:v>44147</c:v>
                </c:pt>
                <c:pt idx="1132">
                  <c:v>44148</c:v>
                </c:pt>
                <c:pt idx="1133">
                  <c:v>44151</c:v>
                </c:pt>
                <c:pt idx="1134">
                  <c:v>44152</c:v>
                </c:pt>
                <c:pt idx="1135">
                  <c:v>44153</c:v>
                </c:pt>
                <c:pt idx="1136">
                  <c:v>44154</c:v>
                </c:pt>
                <c:pt idx="1137">
                  <c:v>44155</c:v>
                </c:pt>
                <c:pt idx="1138">
                  <c:v>44158</c:v>
                </c:pt>
                <c:pt idx="1139">
                  <c:v>44159</c:v>
                </c:pt>
                <c:pt idx="1140">
                  <c:v>44160</c:v>
                </c:pt>
                <c:pt idx="1141">
                  <c:v>44161</c:v>
                </c:pt>
                <c:pt idx="1142">
                  <c:v>44162</c:v>
                </c:pt>
                <c:pt idx="1143">
                  <c:v>44165</c:v>
                </c:pt>
                <c:pt idx="1144">
                  <c:v>44166</c:v>
                </c:pt>
                <c:pt idx="1145">
                  <c:v>44167</c:v>
                </c:pt>
                <c:pt idx="1146">
                  <c:v>44168</c:v>
                </c:pt>
                <c:pt idx="1147">
                  <c:v>44169</c:v>
                </c:pt>
                <c:pt idx="1148">
                  <c:v>44172</c:v>
                </c:pt>
                <c:pt idx="1149">
                  <c:v>44173</c:v>
                </c:pt>
                <c:pt idx="1150">
                  <c:v>44174</c:v>
                </c:pt>
                <c:pt idx="1151">
                  <c:v>44175</c:v>
                </c:pt>
                <c:pt idx="1152">
                  <c:v>44176</c:v>
                </c:pt>
                <c:pt idx="1153">
                  <c:v>44179</c:v>
                </c:pt>
                <c:pt idx="1154">
                  <c:v>44180</c:v>
                </c:pt>
                <c:pt idx="1155">
                  <c:v>44181</c:v>
                </c:pt>
                <c:pt idx="1156">
                  <c:v>44182</c:v>
                </c:pt>
                <c:pt idx="1157">
                  <c:v>44183</c:v>
                </c:pt>
                <c:pt idx="1158">
                  <c:v>44186</c:v>
                </c:pt>
                <c:pt idx="1159">
                  <c:v>44187</c:v>
                </c:pt>
                <c:pt idx="1160">
                  <c:v>44188</c:v>
                </c:pt>
                <c:pt idx="1161">
                  <c:v>44189</c:v>
                </c:pt>
                <c:pt idx="1162">
                  <c:v>44190</c:v>
                </c:pt>
                <c:pt idx="1163">
                  <c:v>44193</c:v>
                </c:pt>
                <c:pt idx="1164">
                  <c:v>44194</c:v>
                </c:pt>
                <c:pt idx="1165">
                  <c:v>44195</c:v>
                </c:pt>
                <c:pt idx="1166">
                  <c:v>44196</c:v>
                </c:pt>
                <c:pt idx="1167">
                  <c:v>44200</c:v>
                </c:pt>
                <c:pt idx="1168">
                  <c:v>44201</c:v>
                </c:pt>
                <c:pt idx="1169">
                  <c:v>44202</c:v>
                </c:pt>
                <c:pt idx="1170">
                  <c:v>44203</c:v>
                </c:pt>
                <c:pt idx="1171">
                  <c:v>44204</c:v>
                </c:pt>
                <c:pt idx="1172">
                  <c:v>44207</c:v>
                </c:pt>
                <c:pt idx="1173">
                  <c:v>44208</c:v>
                </c:pt>
                <c:pt idx="1174">
                  <c:v>44209</c:v>
                </c:pt>
                <c:pt idx="1175">
                  <c:v>44210</c:v>
                </c:pt>
                <c:pt idx="1176">
                  <c:v>44211</c:v>
                </c:pt>
                <c:pt idx="1177">
                  <c:v>44214</c:v>
                </c:pt>
                <c:pt idx="1178">
                  <c:v>44215</c:v>
                </c:pt>
                <c:pt idx="1179">
                  <c:v>44216</c:v>
                </c:pt>
                <c:pt idx="1180">
                  <c:v>44217</c:v>
                </c:pt>
                <c:pt idx="1181">
                  <c:v>44218</c:v>
                </c:pt>
                <c:pt idx="1182">
                  <c:v>44221</c:v>
                </c:pt>
                <c:pt idx="1183">
                  <c:v>44222</c:v>
                </c:pt>
                <c:pt idx="1184">
                  <c:v>44223</c:v>
                </c:pt>
                <c:pt idx="1185">
                  <c:v>44224</c:v>
                </c:pt>
                <c:pt idx="1186">
                  <c:v>44225</c:v>
                </c:pt>
                <c:pt idx="1187">
                  <c:v>44228</c:v>
                </c:pt>
                <c:pt idx="1188">
                  <c:v>44229</c:v>
                </c:pt>
                <c:pt idx="1189">
                  <c:v>44230</c:v>
                </c:pt>
                <c:pt idx="1190">
                  <c:v>44231</c:v>
                </c:pt>
                <c:pt idx="1191">
                  <c:v>44232</c:v>
                </c:pt>
                <c:pt idx="1192">
                  <c:v>44235</c:v>
                </c:pt>
                <c:pt idx="1193">
                  <c:v>44236</c:v>
                </c:pt>
                <c:pt idx="1194">
                  <c:v>44237</c:v>
                </c:pt>
                <c:pt idx="1195">
                  <c:v>44245</c:v>
                </c:pt>
                <c:pt idx="1196">
                  <c:v>44246</c:v>
                </c:pt>
                <c:pt idx="1197">
                  <c:v>44249</c:v>
                </c:pt>
                <c:pt idx="1198">
                  <c:v>44250</c:v>
                </c:pt>
                <c:pt idx="1199">
                  <c:v>44251</c:v>
                </c:pt>
                <c:pt idx="1200">
                  <c:v>44252</c:v>
                </c:pt>
                <c:pt idx="1201">
                  <c:v>44253</c:v>
                </c:pt>
                <c:pt idx="1202">
                  <c:v>44256</c:v>
                </c:pt>
                <c:pt idx="1203">
                  <c:v>44257</c:v>
                </c:pt>
                <c:pt idx="1204">
                  <c:v>44258</c:v>
                </c:pt>
                <c:pt idx="1205">
                  <c:v>44259</c:v>
                </c:pt>
                <c:pt idx="1206">
                  <c:v>44260</c:v>
                </c:pt>
                <c:pt idx="1207">
                  <c:v>44263</c:v>
                </c:pt>
                <c:pt idx="1208">
                  <c:v>44264</c:v>
                </c:pt>
                <c:pt idx="1209">
                  <c:v>44265</c:v>
                </c:pt>
                <c:pt idx="1210">
                  <c:v>44266</c:v>
                </c:pt>
                <c:pt idx="1211">
                  <c:v>44267</c:v>
                </c:pt>
                <c:pt idx="1212">
                  <c:v>44270</c:v>
                </c:pt>
                <c:pt idx="1213">
                  <c:v>44271</c:v>
                </c:pt>
                <c:pt idx="1214">
                  <c:v>44272</c:v>
                </c:pt>
                <c:pt idx="1215">
                  <c:v>44273</c:v>
                </c:pt>
                <c:pt idx="1216">
                  <c:v>44274</c:v>
                </c:pt>
                <c:pt idx="1217">
                  <c:v>44277</c:v>
                </c:pt>
                <c:pt idx="1218">
                  <c:v>44278</c:v>
                </c:pt>
                <c:pt idx="1219">
                  <c:v>44279</c:v>
                </c:pt>
                <c:pt idx="1220">
                  <c:v>44280</c:v>
                </c:pt>
                <c:pt idx="1221">
                  <c:v>44281</c:v>
                </c:pt>
                <c:pt idx="1222">
                  <c:v>44284</c:v>
                </c:pt>
                <c:pt idx="1223">
                  <c:v>44285</c:v>
                </c:pt>
                <c:pt idx="1224">
                  <c:v>44286</c:v>
                </c:pt>
                <c:pt idx="1225">
                  <c:v>44287</c:v>
                </c:pt>
                <c:pt idx="1226">
                  <c:v>44288</c:v>
                </c:pt>
                <c:pt idx="1227">
                  <c:v>44292</c:v>
                </c:pt>
                <c:pt idx="1228">
                  <c:v>44293</c:v>
                </c:pt>
                <c:pt idx="1229">
                  <c:v>44294</c:v>
                </c:pt>
                <c:pt idx="1230">
                  <c:v>44295</c:v>
                </c:pt>
                <c:pt idx="1231">
                  <c:v>44298</c:v>
                </c:pt>
                <c:pt idx="1232">
                  <c:v>44299</c:v>
                </c:pt>
                <c:pt idx="1233">
                  <c:v>44300</c:v>
                </c:pt>
                <c:pt idx="1234">
                  <c:v>44301</c:v>
                </c:pt>
                <c:pt idx="1235">
                  <c:v>44302</c:v>
                </c:pt>
                <c:pt idx="1236">
                  <c:v>44305</c:v>
                </c:pt>
                <c:pt idx="1237">
                  <c:v>44306</c:v>
                </c:pt>
                <c:pt idx="1238">
                  <c:v>44307</c:v>
                </c:pt>
                <c:pt idx="1239">
                  <c:v>44308</c:v>
                </c:pt>
                <c:pt idx="1240">
                  <c:v>44309</c:v>
                </c:pt>
                <c:pt idx="1241">
                  <c:v>44312</c:v>
                </c:pt>
                <c:pt idx="1242">
                  <c:v>44313</c:v>
                </c:pt>
                <c:pt idx="1243">
                  <c:v>44314</c:v>
                </c:pt>
                <c:pt idx="1244">
                  <c:v>44315</c:v>
                </c:pt>
                <c:pt idx="1245">
                  <c:v>44316</c:v>
                </c:pt>
                <c:pt idx="1246">
                  <c:v>44322</c:v>
                </c:pt>
                <c:pt idx="1247">
                  <c:v>44323</c:v>
                </c:pt>
                <c:pt idx="1248">
                  <c:v>44326</c:v>
                </c:pt>
                <c:pt idx="1249">
                  <c:v>44327</c:v>
                </c:pt>
                <c:pt idx="1250">
                  <c:v>44328</c:v>
                </c:pt>
                <c:pt idx="1251">
                  <c:v>44329</c:v>
                </c:pt>
                <c:pt idx="1252">
                  <c:v>44330</c:v>
                </c:pt>
                <c:pt idx="1253">
                  <c:v>44333</c:v>
                </c:pt>
                <c:pt idx="1254">
                  <c:v>44334</c:v>
                </c:pt>
                <c:pt idx="1255">
                  <c:v>44335</c:v>
                </c:pt>
                <c:pt idx="1256">
                  <c:v>44336</c:v>
                </c:pt>
                <c:pt idx="1257">
                  <c:v>44337</c:v>
                </c:pt>
                <c:pt idx="1258">
                  <c:v>44340</c:v>
                </c:pt>
                <c:pt idx="1259">
                  <c:v>44341</c:v>
                </c:pt>
                <c:pt idx="1260">
                  <c:v>44342</c:v>
                </c:pt>
                <c:pt idx="1261">
                  <c:v>44343</c:v>
                </c:pt>
                <c:pt idx="1262">
                  <c:v>44344</c:v>
                </c:pt>
                <c:pt idx="1263">
                  <c:v>44347</c:v>
                </c:pt>
                <c:pt idx="1264">
                  <c:v>44348</c:v>
                </c:pt>
                <c:pt idx="1265">
                  <c:v>44349</c:v>
                </c:pt>
                <c:pt idx="1266">
                  <c:v>44350</c:v>
                </c:pt>
                <c:pt idx="1267">
                  <c:v>44351</c:v>
                </c:pt>
                <c:pt idx="1268">
                  <c:v>44354</c:v>
                </c:pt>
                <c:pt idx="1269">
                  <c:v>44355</c:v>
                </c:pt>
                <c:pt idx="1270">
                  <c:v>44356</c:v>
                </c:pt>
                <c:pt idx="1271">
                  <c:v>44357</c:v>
                </c:pt>
                <c:pt idx="1272">
                  <c:v>44358</c:v>
                </c:pt>
                <c:pt idx="1273">
                  <c:v>44362</c:v>
                </c:pt>
                <c:pt idx="1274">
                  <c:v>44363</c:v>
                </c:pt>
                <c:pt idx="1275">
                  <c:v>44364</c:v>
                </c:pt>
                <c:pt idx="1276">
                  <c:v>44365</c:v>
                </c:pt>
                <c:pt idx="1277">
                  <c:v>44368</c:v>
                </c:pt>
                <c:pt idx="1278">
                  <c:v>44369</c:v>
                </c:pt>
                <c:pt idx="1279">
                  <c:v>44370</c:v>
                </c:pt>
                <c:pt idx="1280">
                  <c:v>44371</c:v>
                </c:pt>
                <c:pt idx="1281">
                  <c:v>44372</c:v>
                </c:pt>
                <c:pt idx="1282">
                  <c:v>44375</c:v>
                </c:pt>
                <c:pt idx="1283">
                  <c:v>44376</c:v>
                </c:pt>
                <c:pt idx="1284">
                  <c:v>44377</c:v>
                </c:pt>
                <c:pt idx="1285">
                  <c:v>44378</c:v>
                </c:pt>
                <c:pt idx="1286">
                  <c:v>44379</c:v>
                </c:pt>
                <c:pt idx="1287">
                  <c:v>44382</c:v>
                </c:pt>
                <c:pt idx="1288">
                  <c:v>44383</c:v>
                </c:pt>
                <c:pt idx="1289">
                  <c:v>44384</c:v>
                </c:pt>
                <c:pt idx="1290">
                  <c:v>44385</c:v>
                </c:pt>
                <c:pt idx="1291">
                  <c:v>44386</c:v>
                </c:pt>
                <c:pt idx="1292">
                  <c:v>44389</c:v>
                </c:pt>
                <c:pt idx="1293">
                  <c:v>44390</c:v>
                </c:pt>
                <c:pt idx="1294">
                  <c:v>44391</c:v>
                </c:pt>
                <c:pt idx="1295">
                  <c:v>44392</c:v>
                </c:pt>
                <c:pt idx="1296">
                  <c:v>44393</c:v>
                </c:pt>
                <c:pt idx="1297">
                  <c:v>44396</c:v>
                </c:pt>
                <c:pt idx="1298">
                  <c:v>44397</c:v>
                </c:pt>
                <c:pt idx="1299">
                  <c:v>44398</c:v>
                </c:pt>
                <c:pt idx="1300">
                  <c:v>44399</c:v>
                </c:pt>
                <c:pt idx="1301">
                  <c:v>44400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</c:numCache>
            </c:numRef>
          </c:cat>
          <c:val>
            <c:numRef>
              <c:f>[0]!Vix</c:f>
              <c:numCache>
                <c:formatCode>General</c:formatCode>
                <c:ptCount val="1307"/>
                <c:pt idx="0">
                  <c:v>31.623688251502621</c:v>
                </c:pt>
                <c:pt idx="1">
                  <c:v>33.109723464132493</c:v>
                </c:pt>
                <c:pt idx="2">
                  <c:v>33.510247036645893</c:v>
                </c:pt>
                <c:pt idx="3">
                  <c:v>31.78476022569475</c:v>
                </c:pt>
                <c:pt idx="4">
                  <c:v>29.333649849464901</c:v>
                </c:pt>
                <c:pt idx="5">
                  <c:v>27.955452660453009</c:v>
                </c:pt>
                <c:pt idx="6">
                  <c:v>28.080941833613579</c:v>
                </c:pt>
                <c:pt idx="7">
                  <c:v>27.443079078309911</c:v>
                </c:pt>
                <c:pt idx="8">
                  <c:v>27.780653625453699</c:v>
                </c:pt>
                <c:pt idx="9">
                  <c:v>27.2884412296665</c:v>
                </c:pt>
                <c:pt idx="10">
                  <c:v>26.841245563903492</c:v>
                </c:pt>
                <c:pt idx="11">
                  <c:v>26.816994047880751</c:v>
                </c:pt>
                <c:pt idx="12">
                  <c:v>25.62536652433111</c:v>
                </c:pt>
                <c:pt idx="13">
                  <c:v>24.530404634603471</c:v>
                </c:pt>
                <c:pt idx="14">
                  <c:v>24.220405707429361</c:v>
                </c:pt>
                <c:pt idx="15">
                  <c:v>23.49560565089368</c:v>
                </c:pt>
                <c:pt idx="16">
                  <c:v>23.364200461883879</c:v>
                </c:pt>
                <c:pt idx="17">
                  <c:v>22.819188266364911</c:v>
                </c:pt>
                <c:pt idx="18">
                  <c:v>22.84552001734486</c:v>
                </c:pt>
                <c:pt idx="19">
                  <c:v>23.051981009197782</c:v>
                </c:pt>
                <c:pt idx="20">
                  <c:v>22.388121041411491</c:v>
                </c:pt>
                <c:pt idx="21">
                  <c:v>24.29937538603161</c:v>
                </c:pt>
                <c:pt idx="22">
                  <c:v>23.402681223472889</c:v>
                </c:pt>
                <c:pt idx="23">
                  <c:v>22.59346843618497</c:v>
                </c:pt>
                <c:pt idx="24">
                  <c:v>22.071992961762291</c:v>
                </c:pt>
                <c:pt idx="25">
                  <c:v>22.460905529243171</c:v>
                </c:pt>
                <c:pt idx="26">
                  <c:v>22.431232317090341</c:v>
                </c:pt>
                <c:pt idx="27">
                  <c:v>21.428763354314881</c:v>
                </c:pt>
                <c:pt idx="28">
                  <c:v>20.630430518495949</c:v>
                </c:pt>
                <c:pt idx="29">
                  <c:v>20.582450478348111</c:v>
                </c:pt>
                <c:pt idx="30">
                  <c:v>20.040708122573069</c:v>
                </c:pt>
                <c:pt idx="31">
                  <c:v>19.73443165260306</c:v>
                </c:pt>
                <c:pt idx="32">
                  <c:v>20.445680510281601</c:v>
                </c:pt>
                <c:pt idx="33">
                  <c:v>23.11204323399858</c:v>
                </c:pt>
                <c:pt idx="34">
                  <c:v>21.971525502906641</c:v>
                </c:pt>
                <c:pt idx="35">
                  <c:v>20.60664804675255</c:v>
                </c:pt>
                <c:pt idx="36">
                  <c:v>20.678806893052919</c:v>
                </c:pt>
                <c:pt idx="37">
                  <c:v>20.019540973663901</c:v>
                </c:pt>
                <c:pt idx="38">
                  <c:v>19.7380069608501</c:v>
                </c:pt>
                <c:pt idx="39">
                  <c:v>19.292472371535681</c:v>
                </c:pt>
                <c:pt idx="40">
                  <c:v>20.947435897076961</c:v>
                </c:pt>
                <c:pt idx="41">
                  <c:v>19.811012639517099</c:v>
                </c:pt>
                <c:pt idx="42">
                  <c:v>18.698322543574559</c:v>
                </c:pt>
                <c:pt idx="43">
                  <c:v>17.053589797010641</c:v>
                </c:pt>
                <c:pt idx="44">
                  <c:v>16.833812728349208</c:v>
                </c:pt>
                <c:pt idx="45">
                  <c:v>17.51608987987753</c:v>
                </c:pt>
                <c:pt idx="46">
                  <c:v>16.050723053952719</c:v>
                </c:pt>
                <c:pt idx="47">
                  <c:v>15.5058365507911</c:v>
                </c:pt>
                <c:pt idx="48">
                  <c:v>15.83562089815149</c:v>
                </c:pt>
                <c:pt idx="49">
                  <c:v>18.25174528434292</c:v>
                </c:pt>
                <c:pt idx="50">
                  <c:v>18.15116013809811</c:v>
                </c:pt>
                <c:pt idx="51">
                  <c:v>17.8864494320866</c:v>
                </c:pt>
                <c:pt idx="52">
                  <c:v>17.987945577103979</c:v>
                </c:pt>
                <c:pt idx="53">
                  <c:v>18.139799958651381</c:v>
                </c:pt>
                <c:pt idx="54">
                  <c:v>17.964467503425841</c:v>
                </c:pt>
                <c:pt idx="55">
                  <c:v>18.245864938483731</c:v>
                </c:pt>
                <c:pt idx="56">
                  <c:v>19.501890698243081</c:v>
                </c:pt>
                <c:pt idx="57">
                  <c:v>18.972669200637831</c:v>
                </c:pt>
                <c:pt idx="58">
                  <c:v>19.782844662736242</c:v>
                </c:pt>
                <c:pt idx="59">
                  <c:v>19.27874394841816</c:v>
                </c:pt>
                <c:pt idx="60">
                  <c:v>18.3344564517264</c:v>
                </c:pt>
                <c:pt idx="61">
                  <c:v>18.496889788465371</c:v>
                </c:pt>
                <c:pt idx="62">
                  <c:v>18.114867639738371</c:v>
                </c:pt>
                <c:pt idx="63">
                  <c:v>18.423324175745481</c:v>
                </c:pt>
                <c:pt idx="64">
                  <c:v>18.62731026240127</c:v>
                </c:pt>
                <c:pt idx="65">
                  <c:v>18.728969942529861</c:v>
                </c:pt>
                <c:pt idx="66">
                  <c:v>17.47262437293104</c:v>
                </c:pt>
                <c:pt idx="67">
                  <c:v>16.64059485655843</c:v>
                </c:pt>
                <c:pt idx="68">
                  <c:v>16.109888746990318</c:v>
                </c:pt>
                <c:pt idx="69">
                  <c:v>15.72323067453836</c:v>
                </c:pt>
                <c:pt idx="70">
                  <c:v>15.44046184299336</c:v>
                </c:pt>
                <c:pt idx="71">
                  <c:v>15.342167261636691</c:v>
                </c:pt>
                <c:pt idx="72">
                  <c:v>15.857699024188589</c:v>
                </c:pt>
                <c:pt idx="73">
                  <c:v>15.833725360643371</c:v>
                </c:pt>
                <c:pt idx="74">
                  <c:v>16.464794071060641</c:v>
                </c:pt>
                <c:pt idx="75">
                  <c:v>16.44275392765195</c:v>
                </c:pt>
                <c:pt idx="76">
                  <c:v>16.221531940136678</c:v>
                </c:pt>
                <c:pt idx="77">
                  <c:v>15.8881279022856</c:v>
                </c:pt>
                <c:pt idx="78">
                  <c:v>17.001678326585239</c:v>
                </c:pt>
                <c:pt idx="79">
                  <c:v>16.763917748524619</c:v>
                </c:pt>
                <c:pt idx="80">
                  <c:v>16.879965927005081</c:v>
                </c:pt>
                <c:pt idx="81">
                  <c:v>17.597651619419711</c:v>
                </c:pt>
                <c:pt idx="82">
                  <c:v>17.541079481218841</c:v>
                </c:pt>
                <c:pt idx="83">
                  <c:v>18.954268897964202</c:v>
                </c:pt>
                <c:pt idx="84">
                  <c:v>18.730076617253641</c:v>
                </c:pt>
                <c:pt idx="85">
                  <c:v>18.186072676438119</c:v>
                </c:pt>
                <c:pt idx="86">
                  <c:v>17.10778076798907</c:v>
                </c:pt>
                <c:pt idx="87">
                  <c:v>16.578842772931939</c:v>
                </c:pt>
                <c:pt idx="88">
                  <c:v>17.275345326610989</c:v>
                </c:pt>
                <c:pt idx="89">
                  <c:v>16.154126797131031</c:v>
                </c:pt>
                <c:pt idx="90">
                  <c:v>16.04122830209981</c:v>
                </c:pt>
                <c:pt idx="91">
                  <c:v>16.10232325063598</c:v>
                </c:pt>
                <c:pt idx="92">
                  <c:v>15.60780260420964</c:v>
                </c:pt>
                <c:pt idx="93">
                  <c:v>15.213523025808049</c:v>
                </c:pt>
                <c:pt idx="94">
                  <c:v>14.850997577499321</c:v>
                </c:pt>
                <c:pt idx="95">
                  <c:v>14.58507296276073</c:v>
                </c:pt>
                <c:pt idx="96">
                  <c:v>14.488808487921631</c:v>
                </c:pt>
                <c:pt idx="97">
                  <c:v>14.053761034550311</c:v>
                </c:pt>
                <c:pt idx="98">
                  <c:v>14.090482447578619</c:v>
                </c:pt>
                <c:pt idx="99">
                  <c:v>14.22185475098518</c:v>
                </c:pt>
                <c:pt idx="100">
                  <c:v>14.24598829799428</c:v>
                </c:pt>
                <c:pt idx="101">
                  <c:v>16.428515778207011</c:v>
                </c:pt>
                <c:pt idx="102">
                  <c:v>16.629019853433441</c:v>
                </c:pt>
                <c:pt idx="103">
                  <c:v>19.738204949013159</c:v>
                </c:pt>
                <c:pt idx="104">
                  <c:v>19.855271527116859</c:v>
                </c:pt>
                <c:pt idx="105">
                  <c:v>19.747382241039929</c:v>
                </c:pt>
                <c:pt idx="106">
                  <c:v>19.19922923796123</c:v>
                </c:pt>
                <c:pt idx="107">
                  <c:v>18.583419329665379</c:v>
                </c:pt>
                <c:pt idx="108">
                  <c:v>18.369171461318778</c:v>
                </c:pt>
                <c:pt idx="109">
                  <c:v>18.218793165055359</c:v>
                </c:pt>
                <c:pt idx="110">
                  <c:v>17.90549375644019</c:v>
                </c:pt>
                <c:pt idx="111">
                  <c:v>17.511861990697589</c:v>
                </c:pt>
                <c:pt idx="112">
                  <c:v>17.426785585963142</c:v>
                </c:pt>
                <c:pt idx="113">
                  <c:v>17.715405539586861</c:v>
                </c:pt>
                <c:pt idx="114">
                  <c:v>17.71071328818088</c:v>
                </c:pt>
                <c:pt idx="115">
                  <c:v>17.670692759799021</c:v>
                </c:pt>
                <c:pt idx="116">
                  <c:v>17.56063278890651</c:v>
                </c:pt>
                <c:pt idx="117">
                  <c:v>17.35976984666668</c:v>
                </c:pt>
                <c:pt idx="118">
                  <c:v>17.389006804970482</c:v>
                </c:pt>
                <c:pt idx="119">
                  <c:v>16.955970506412541</c:v>
                </c:pt>
                <c:pt idx="120">
                  <c:v>15.9185427058393</c:v>
                </c:pt>
                <c:pt idx="121">
                  <c:v>16.138974685704369</c:v>
                </c:pt>
                <c:pt idx="122">
                  <c:v>14.931419157158039</c:v>
                </c:pt>
                <c:pt idx="123">
                  <c:v>14.918202647453681</c:v>
                </c:pt>
                <c:pt idx="124">
                  <c:v>14.762930254922839</c:v>
                </c:pt>
                <c:pt idx="125">
                  <c:v>14.36821709075668</c:v>
                </c:pt>
                <c:pt idx="126">
                  <c:v>15.644030479141261</c:v>
                </c:pt>
                <c:pt idx="127">
                  <c:v>14.49700921853943</c:v>
                </c:pt>
                <c:pt idx="128">
                  <c:v>13.94282839225839</c:v>
                </c:pt>
                <c:pt idx="129">
                  <c:v>13.497211049487211</c:v>
                </c:pt>
                <c:pt idx="130">
                  <c:v>13.75179148252683</c:v>
                </c:pt>
                <c:pt idx="131">
                  <c:v>13.86117112050859</c:v>
                </c:pt>
                <c:pt idx="132">
                  <c:v>12.55642340711438</c:v>
                </c:pt>
                <c:pt idx="133">
                  <c:v>13.634877360184881</c:v>
                </c:pt>
                <c:pt idx="134">
                  <c:v>14.0997668449454</c:v>
                </c:pt>
                <c:pt idx="135">
                  <c:v>13.45009819535314</c:v>
                </c:pt>
                <c:pt idx="136">
                  <c:v>13.455222374107001</c:v>
                </c:pt>
                <c:pt idx="137">
                  <c:v>13.163347106071839</c:v>
                </c:pt>
                <c:pt idx="138">
                  <c:v>12.59093455625869</c:v>
                </c:pt>
                <c:pt idx="139">
                  <c:v>12.37596193907024</c:v>
                </c:pt>
                <c:pt idx="140">
                  <c:v>12.46340364231707</c:v>
                </c:pt>
                <c:pt idx="141">
                  <c:v>13.96268328597499</c:v>
                </c:pt>
                <c:pt idx="142">
                  <c:v>13.34949198447122</c:v>
                </c:pt>
                <c:pt idx="143">
                  <c:v>13.11933483452251</c:v>
                </c:pt>
                <c:pt idx="144">
                  <c:v>13.24907148406561</c:v>
                </c:pt>
                <c:pt idx="145">
                  <c:v>13.523408260026541</c:v>
                </c:pt>
                <c:pt idx="146">
                  <c:v>13.79409704649377</c:v>
                </c:pt>
                <c:pt idx="147">
                  <c:v>13.474756249796391</c:v>
                </c:pt>
                <c:pt idx="148">
                  <c:v>13.58615639962024</c:v>
                </c:pt>
                <c:pt idx="149">
                  <c:v>13.62596303773525</c:v>
                </c:pt>
                <c:pt idx="150">
                  <c:v>13.803680575864989</c:v>
                </c:pt>
                <c:pt idx="151">
                  <c:v>14.20785333823701</c:v>
                </c:pt>
                <c:pt idx="152">
                  <c:v>15.06754635743777</c:v>
                </c:pt>
                <c:pt idx="153">
                  <c:v>15.169559275507151</c:v>
                </c:pt>
                <c:pt idx="154">
                  <c:v>16.297894497429709</c:v>
                </c:pt>
                <c:pt idx="155">
                  <c:v>16.036861316297841</c:v>
                </c:pt>
                <c:pt idx="156">
                  <c:v>15.635209011395929</c:v>
                </c:pt>
                <c:pt idx="157">
                  <c:v>14.199984885662969</c:v>
                </c:pt>
                <c:pt idx="158">
                  <c:v>13.83848499235024</c:v>
                </c:pt>
                <c:pt idx="159">
                  <c:v>14.451414498816799</c:v>
                </c:pt>
                <c:pt idx="160">
                  <c:v>14.42347721939783</c:v>
                </c:pt>
                <c:pt idx="161">
                  <c:v>16.616977150197521</c:v>
                </c:pt>
                <c:pt idx="162">
                  <c:v>16.079395943459911</c:v>
                </c:pt>
                <c:pt idx="163">
                  <c:v>15.69943719838095</c:v>
                </c:pt>
                <c:pt idx="164">
                  <c:v>14.582351082490931</c:v>
                </c:pt>
                <c:pt idx="165">
                  <c:v>15.201093706449219</c:v>
                </c:pt>
                <c:pt idx="166">
                  <c:v>15.171928866614749</c:v>
                </c:pt>
                <c:pt idx="167">
                  <c:v>14.63649373143531</c:v>
                </c:pt>
                <c:pt idx="168">
                  <c:v>14.33570482457049</c:v>
                </c:pt>
                <c:pt idx="169">
                  <c:v>15.636347820573929</c:v>
                </c:pt>
                <c:pt idx="170">
                  <c:v>14.892137601306519</c:v>
                </c:pt>
                <c:pt idx="171">
                  <c:v>16.407224469304101</c:v>
                </c:pt>
                <c:pt idx="172">
                  <c:v>15.83525946149155</c:v>
                </c:pt>
                <c:pt idx="173">
                  <c:v>16.193050606248519</c:v>
                </c:pt>
                <c:pt idx="174">
                  <c:v>16.331891599146541</c:v>
                </c:pt>
                <c:pt idx="175">
                  <c:v>15.67643835672612</c:v>
                </c:pt>
                <c:pt idx="176">
                  <c:v>15.137879990648109</c:v>
                </c:pt>
                <c:pt idx="177">
                  <c:v>14.13064003886206</c:v>
                </c:pt>
                <c:pt idx="178">
                  <c:v>14.55246313832513</c:v>
                </c:pt>
                <c:pt idx="179">
                  <c:v>15.42049943194008</c:v>
                </c:pt>
                <c:pt idx="180">
                  <c:v>15.4354862150157</c:v>
                </c:pt>
                <c:pt idx="181">
                  <c:v>15.858116696586601</c:v>
                </c:pt>
                <c:pt idx="182">
                  <c:v>17.178869624688179</c:v>
                </c:pt>
                <c:pt idx="183">
                  <c:v>16.461067647478639</c:v>
                </c:pt>
                <c:pt idx="184">
                  <c:v>16.589610696144099</c:v>
                </c:pt>
                <c:pt idx="185">
                  <c:v>17.726608490695511</c:v>
                </c:pt>
                <c:pt idx="186">
                  <c:v>18.305800639389592</c:v>
                </c:pt>
                <c:pt idx="187">
                  <c:v>18.36699368874056</c:v>
                </c:pt>
                <c:pt idx="188">
                  <c:v>17.677256653196221</c:v>
                </c:pt>
                <c:pt idx="189">
                  <c:v>17.33412128472969</c:v>
                </c:pt>
                <c:pt idx="190">
                  <c:v>18.02901354727139</c:v>
                </c:pt>
                <c:pt idx="191">
                  <c:v>17.895475386005359</c:v>
                </c:pt>
                <c:pt idx="192">
                  <c:v>16.97853809554708</c:v>
                </c:pt>
                <c:pt idx="193">
                  <c:v>16.86438639808669</c:v>
                </c:pt>
                <c:pt idx="194">
                  <c:v>15.87418225378409</c:v>
                </c:pt>
                <c:pt idx="195">
                  <c:v>14.75034768428756</c:v>
                </c:pt>
                <c:pt idx="196">
                  <c:v>14.7391674277369</c:v>
                </c:pt>
                <c:pt idx="197">
                  <c:v>14.4765760036163</c:v>
                </c:pt>
                <c:pt idx="198">
                  <c:v>14.14138757087451</c:v>
                </c:pt>
                <c:pt idx="199">
                  <c:v>13.829717403769941</c:v>
                </c:pt>
                <c:pt idx="200">
                  <c:v>13.768315332198449</c:v>
                </c:pt>
                <c:pt idx="201">
                  <c:v>13.56887382326151</c:v>
                </c:pt>
                <c:pt idx="202">
                  <c:v>13.294660693053411</c:v>
                </c:pt>
                <c:pt idx="203">
                  <c:v>13.32489204145041</c:v>
                </c:pt>
                <c:pt idx="204">
                  <c:v>12.31574559073319</c:v>
                </c:pt>
                <c:pt idx="205">
                  <c:v>13.12169372144397</c:v>
                </c:pt>
                <c:pt idx="206">
                  <c:v>12.85892444775347</c:v>
                </c:pt>
                <c:pt idx="207">
                  <c:v>12.277738728104129</c:v>
                </c:pt>
                <c:pt idx="208">
                  <c:v>11.664391585413791</c:v>
                </c:pt>
                <c:pt idx="209">
                  <c:v>11.636713660183799</c:v>
                </c:pt>
                <c:pt idx="210">
                  <c:v>11.43827919959177</c:v>
                </c:pt>
                <c:pt idx="211">
                  <c:v>11.32427967085302</c:v>
                </c:pt>
                <c:pt idx="212">
                  <c:v>12.43487523198786</c:v>
                </c:pt>
                <c:pt idx="213">
                  <c:v>12.52273574674413</c:v>
                </c:pt>
                <c:pt idx="214">
                  <c:v>11.92470872837098</c:v>
                </c:pt>
                <c:pt idx="215">
                  <c:v>12.785552255587749</c:v>
                </c:pt>
                <c:pt idx="216">
                  <c:v>12.617635450570949</c:v>
                </c:pt>
                <c:pt idx="217">
                  <c:v>12.446372925639951</c:v>
                </c:pt>
                <c:pt idx="218">
                  <c:v>12.07005674000929</c:v>
                </c:pt>
                <c:pt idx="219">
                  <c:v>11.375833654723021</c:v>
                </c:pt>
                <c:pt idx="220">
                  <c:v>11.94092878753251</c:v>
                </c:pt>
                <c:pt idx="221">
                  <c:v>11.91046190918153</c:v>
                </c:pt>
                <c:pt idx="222">
                  <c:v>12.220626695627439</c:v>
                </c:pt>
                <c:pt idx="223">
                  <c:v>12.084440001575169</c:v>
                </c:pt>
                <c:pt idx="224">
                  <c:v>12.298376370152591</c:v>
                </c:pt>
                <c:pt idx="225">
                  <c:v>11.89446229892439</c:v>
                </c:pt>
                <c:pt idx="226">
                  <c:v>11.056038900900489</c:v>
                </c:pt>
                <c:pt idx="227">
                  <c:v>11.2159209276523</c:v>
                </c:pt>
                <c:pt idx="228">
                  <c:v>11.992309903717469</c:v>
                </c:pt>
                <c:pt idx="229">
                  <c:v>11.941096737068269</c:v>
                </c:pt>
                <c:pt idx="230">
                  <c:v>11.71435174937954</c:v>
                </c:pt>
                <c:pt idx="231">
                  <c:v>12.033117036021</c:v>
                </c:pt>
                <c:pt idx="232">
                  <c:v>11.228573197366501</c:v>
                </c:pt>
                <c:pt idx="233">
                  <c:v>11.686121238638741</c:v>
                </c:pt>
                <c:pt idx="234">
                  <c:v>11.60488198289303</c:v>
                </c:pt>
                <c:pt idx="235">
                  <c:v>10.801592896326071</c:v>
                </c:pt>
                <c:pt idx="236">
                  <c:v>10.45551941560468</c:v>
                </c:pt>
                <c:pt idx="237">
                  <c:v>10.202641830166289</c:v>
                </c:pt>
                <c:pt idx="238">
                  <c:v>10.63911497975025</c:v>
                </c:pt>
                <c:pt idx="239">
                  <c:v>10.716091860494</c:v>
                </c:pt>
                <c:pt idx="240">
                  <c:v>13.102313948207231</c:v>
                </c:pt>
                <c:pt idx="241">
                  <c:v>12.09506885024587</c:v>
                </c:pt>
                <c:pt idx="242">
                  <c:v>11.602636595833779</c:v>
                </c:pt>
                <c:pt idx="243">
                  <c:v>11.163145560159339</c:v>
                </c:pt>
                <c:pt idx="244">
                  <c:v>11.07539992288063</c:v>
                </c:pt>
                <c:pt idx="245">
                  <c:v>10.848373654313271</c:v>
                </c:pt>
                <c:pt idx="246">
                  <c:v>10.012598071261991</c:v>
                </c:pt>
                <c:pt idx="247">
                  <c:v>9.8934650691040371</c:v>
                </c:pt>
                <c:pt idx="248">
                  <c:v>10.25771135868764</c:v>
                </c:pt>
                <c:pt idx="249">
                  <c:v>10.351078448884911</c:v>
                </c:pt>
                <c:pt idx="250">
                  <c:v>10.03904773911875</c:v>
                </c:pt>
                <c:pt idx="251">
                  <c:v>9.9061381156062023</c:v>
                </c:pt>
                <c:pt idx="252">
                  <c:v>9.6546870549313386</c:v>
                </c:pt>
                <c:pt idx="253">
                  <c:v>10.073461338745391</c:v>
                </c:pt>
                <c:pt idx="254">
                  <c:v>10.09320360489334</c:v>
                </c:pt>
                <c:pt idx="255">
                  <c:v>10.05595525801729</c:v>
                </c:pt>
                <c:pt idx="256">
                  <c:v>10.12526896852447</c:v>
                </c:pt>
                <c:pt idx="257">
                  <c:v>9.9812646521542163</c:v>
                </c:pt>
                <c:pt idx="258">
                  <c:v>9.9934992483600489</c:v>
                </c:pt>
                <c:pt idx="259">
                  <c:v>9.9889169534773909</c:v>
                </c:pt>
                <c:pt idx="260">
                  <c:v>10.4221912825689</c:v>
                </c:pt>
                <c:pt idx="261">
                  <c:v>10.252236772940851</c:v>
                </c:pt>
                <c:pt idx="262">
                  <c:v>10.260013580454901</c:v>
                </c:pt>
                <c:pt idx="263">
                  <c:v>11.282070144428261</c:v>
                </c:pt>
                <c:pt idx="264">
                  <c:v>10.85072144388444</c:v>
                </c:pt>
                <c:pt idx="265">
                  <c:v>10.193799251208111</c:v>
                </c:pt>
                <c:pt idx="266">
                  <c:v>10.078099390201031</c:v>
                </c:pt>
                <c:pt idx="267">
                  <c:v>9.6693574740410728</c:v>
                </c:pt>
                <c:pt idx="268">
                  <c:v>9.2938984549308792</c:v>
                </c:pt>
                <c:pt idx="269">
                  <c:v>9.0999381428499539</c:v>
                </c:pt>
                <c:pt idx="270">
                  <c:v>9.1333424962565779</c:v>
                </c:pt>
                <c:pt idx="271">
                  <c:v>9.0985515063978557</c:v>
                </c:pt>
                <c:pt idx="272">
                  <c:v>9.0691141317031647</c:v>
                </c:pt>
                <c:pt idx="273">
                  <c:v>9.015974808563973</c:v>
                </c:pt>
                <c:pt idx="274">
                  <c:v>9.3061443793011893</c:v>
                </c:pt>
                <c:pt idx="275">
                  <c:v>9.2596523648081757</c:v>
                </c:pt>
                <c:pt idx="276">
                  <c:v>8.8550888964331911</c:v>
                </c:pt>
                <c:pt idx="277">
                  <c:v>8.37953600845103</c:v>
                </c:pt>
                <c:pt idx="278">
                  <c:v>8.3181070547652745</c:v>
                </c:pt>
                <c:pt idx="279">
                  <c:v>8.7299775488917284</c:v>
                </c:pt>
                <c:pt idx="280">
                  <c:v>8.8699672317829137</c:v>
                </c:pt>
                <c:pt idx="281">
                  <c:v>8.6673045629419718</c:v>
                </c:pt>
                <c:pt idx="282">
                  <c:v>9.9199659694098177</c:v>
                </c:pt>
                <c:pt idx="283">
                  <c:v>9.9094154419148062</c:v>
                </c:pt>
                <c:pt idx="284">
                  <c:v>10.03583534615662</c:v>
                </c:pt>
                <c:pt idx="285">
                  <c:v>9.4044908174481243</c:v>
                </c:pt>
                <c:pt idx="286">
                  <c:v>9.4019907767168185</c:v>
                </c:pt>
                <c:pt idx="287">
                  <c:v>9.3718947723786119</c:v>
                </c:pt>
                <c:pt idx="288">
                  <c:v>13.1335342891383</c:v>
                </c:pt>
                <c:pt idx="289">
                  <c:v>11.37150121139625</c:v>
                </c:pt>
                <c:pt idx="290">
                  <c:v>12.02143428558554</c:v>
                </c:pt>
                <c:pt idx="291">
                  <c:v>12.12280821839172</c:v>
                </c:pt>
                <c:pt idx="292">
                  <c:v>12.6228572184767</c:v>
                </c:pt>
                <c:pt idx="293">
                  <c:v>11.83721309498763</c:v>
                </c:pt>
                <c:pt idx="294">
                  <c:v>12.388610227338511</c:v>
                </c:pt>
                <c:pt idx="295">
                  <c:v>13.524383717242671</c:v>
                </c:pt>
                <c:pt idx="296">
                  <c:v>14.18423254284024</c:v>
                </c:pt>
                <c:pt idx="297">
                  <c:v>14.95243881400709</c:v>
                </c:pt>
                <c:pt idx="298">
                  <c:v>15.399513299982489</c:v>
                </c:pt>
                <c:pt idx="299">
                  <c:v>15.03984202363489</c:v>
                </c:pt>
                <c:pt idx="300">
                  <c:v>14.257857976395981</c:v>
                </c:pt>
                <c:pt idx="301">
                  <c:v>13.76972552025426</c:v>
                </c:pt>
                <c:pt idx="302">
                  <c:v>13.202928934687129</c:v>
                </c:pt>
                <c:pt idx="303">
                  <c:v>13.71607741722619</c:v>
                </c:pt>
                <c:pt idx="304">
                  <c:v>13.8833257524937</c:v>
                </c:pt>
                <c:pt idx="305">
                  <c:v>14.316070978727501</c:v>
                </c:pt>
                <c:pt idx="306">
                  <c:v>14.50144370869323</c:v>
                </c:pt>
                <c:pt idx="307">
                  <c:v>14.59119617946844</c:v>
                </c:pt>
                <c:pt idx="308">
                  <c:v>15.3855108430129</c:v>
                </c:pt>
                <c:pt idx="309">
                  <c:v>14.86314224536266</c:v>
                </c:pt>
                <c:pt idx="310">
                  <c:v>15.04977079141141</c:v>
                </c:pt>
                <c:pt idx="311">
                  <c:v>14.473910541955661</c:v>
                </c:pt>
                <c:pt idx="312">
                  <c:v>14.409003845190981</c:v>
                </c:pt>
                <c:pt idx="313">
                  <c:v>13.94141752802048</c:v>
                </c:pt>
                <c:pt idx="314">
                  <c:v>13.124499189891109</c:v>
                </c:pt>
                <c:pt idx="315">
                  <c:v>14.23705336411278</c:v>
                </c:pt>
                <c:pt idx="316">
                  <c:v>13.828502046775579</c:v>
                </c:pt>
                <c:pt idx="317">
                  <c:v>13.88124187835199</c:v>
                </c:pt>
                <c:pt idx="318">
                  <c:v>13.90428207965245</c:v>
                </c:pt>
                <c:pt idx="319">
                  <c:v>13.734527115930369</c:v>
                </c:pt>
                <c:pt idx="320">
                  <c:v>14.78084159351334</c:v>
                </c:pt>
                <c:pt idx="321">
                  <c:v>14.791152785770549</c:v>
                </c:pt>
                <c:pt idx="322">
                  <c:v>15.77438433670096</c:v>
                </c:pt>
                <c:pt idx="323">
                  <c:v>17.354942806262709</c:v>
                </c:pt>
                <c:pt idx="324">
                  <c:v>16.930518337044479</c:v>
                </c:pt>
                <c:pt idx="325">
                  <c:v>17.245708260786959</c:v>
                </c:pt>
                <c:pt idx="326">
                  <c:v>18.320908641345909</c:v>
                </c:pt>
                <c:pt idx="327">
                  <c:v>16.95183496306997</c:v>
                </c:pt>
                <c:pt idx="328">
                  <c:v>15.71826505417914</c:v>
                </c:pt>
                <c:pt idx="329">
                  <c:v>15.39140548230824</c:v>
                </c:pt>
                <c:pt idx="330">
                  <c:v>15.94952716816282</c:v>
                </c:pt>
                <c:pt idx="331">
                  <c:v>15.88858720110729</c:v>
                </c:pt>
                <c:pt idx="332">
                  <c:v>15.57472042405543</c:v>
                </c:pt>
                <c:pt idx="333">
                  <c:v>15.75842769624567</c:v>
                </c:pt>
                <c:pt idx="334">
                  <c:v>15.071414759615489</c:v>
                </c:pt>
                <c:pt idx="335">
                  <c:v>14.83629875483051</c:v>
                </c:pt>
                <c:pt idx="336">
                  <c:v>15.276733936663829</c:v>
                </c:pt>
                <c:pt idx="337">
                  <c:v>14.952700230169111</c:v>
                </c:pt>
                <c:pt idx="338">
                  <c:v>15.37735300835778</c:v>
                </c:pt>
                <c:pt idx="339">
                  <c:v>15.016042608018131</c:v>
                </c:pt>
                <c:pt idx="340">
                  <c:v>14.262314886144891</c:v>
                </c:pt>
                <c:pt idx="341">
                  <c:v>13.69574297654961</c:v>
                </c:pt>
                <c:pt idx="342">
                  <c:v>14.612302844405949</c:v>
                </c:pt>
                <c:pt idx="343">
                  <c:v>14.26767533053305</c:v>
                </c:pt>
                <c:pt idx="344">
                  <c:v>14.011074166841571</c:v>
                </c:pt>
                <c:pt idx="345">
                  <c:v>16.30507008875167</c:v>
                </c:pt>
                <c:pt idx="346">
                  <c:v>16.016218645201789</c:v>
                </c:pt>
                <c:pt idx="347">
                  <c:v>15.55089359764338</c:v>
                </c:pt>
                <c:pt idx="348">
                  <c:v>14.55124763276544</c:v>
                </c:pt>
                <c:pt idx="349">
                  <c:v>13.678296887987891</c:v>
                </c:pt>
                <c:pt idx="350">
                  <c:v>14.17726159854573</c:v>
                </c:pt>
                <c:pt idx="351">
                  <c:v>13.61314312311068</c:v>
                </c:pt>
                <c:pt idx="352">
                  <c:v>14.51298522770697</c:v>
                </c:pt>
                <c:pt idx="353">
                  <c:v>14.333271880305951</c:v>
                </c:pt>
                <c:pt idx="354">
                  <c:v>14.94741594962912</c:v>
                </c:pt>
                <c:pt idx="355">
                  <c:v>14.674779488211041</c:v>
                </c:pt>
                <c:pt idx="356">
                  <c:v>14.6018732066489</c:v>
                </c:pt>
                <c:pt idx="357">
                  <c:v>14.515363143792159</c:v>
                </c:pt>
                <c:pt idx="358">
                  <c:v>15.01886253660553</c:v>
                </c:pt>
                <c:pt idx="359">
                  <c:v>15.00880919770445</c:v>
                </c:pt>
                <c:pt idx="360">
                  <c:v>15.23699243583914</c:v>
                </c:pt>
                <c:pt idx="361">
                  <c:v>14.715286979593101</c:v>
                </c:pt>
                <c:pt idx="362">
                  <c:v>14.46853201430546</c:v>
                </c:pt>
                <c:pt idx="363">
                  <c:v>15.118778107566261</c:v>
                </c:pt>
                <c:pt idx="364">
                  <c:v>15.186128589846071</c:v>
                </c:pt>
                <c:pt idx="365">
                  <c:v>15.31460969473398</c:v>
                </c:pt>
                <c:pt idx="366">
                  <c:v>14.074962517045639</c:v>
                </c:pt>
                <c:pt idx="367">
                  <c:v>13.62557067215859</c:v>
                </c:pt>
                <c:pt idx="368">
                  <c:v>13.713636165193771</c:v>
                </c:pt>
                <c:pt idx="369">
                  <c:v>12.954142969640509</c:v>
                </c:pt>
                <c:pt idx="370">
                  <c:v>13.77376034376344</c:v>
                </c:pt>
                <c:pt idx="371">
                  <c:v>13.58537120505189</c:v>
                </c:pt>
                <c:pt idx="372">
                  <c:v>13.210718190737181</c:v>
                </c:pt>
                <c:pt idx="373">
                  <c:v>12.83274463164115</c:v>
                </c:pt>
                <c:pt idx="374">
                  <c:v>12.73177834914406</c:v>
                </c:pt>
                <c:pt idx="375">
                  <c:v>12.319727421213431</c:v>
                </c:pt>
                <c:pt idx="376">
                  <c:v>10.5379434539787</c:v>
                </c:pt>
                <c:pt idx="377">
                  <c:v>10.94404806094858</c:v>
                </c:pt>
                <c:pt idx="378">
                  <c:v>11.595945301334091</c:v>
                </c:pt>
                <c:pt idx="379">
                  <c:v>11.65024761701852</c:v>
                </c:pt>
                <c:pt idx="380">
                  <c:v>11.065421117293649</c:v>
                </c:pt>
                <c:pt idx="381">
                  <c:v>10.688480723897371</c:v>
                </c:pt>
                <c:pt idx="382">
                  <c:v>10.67229908945697</c:v>
                </c:pt>
                <c:pt idx="383">
                  <c:v>10.55918007977262</c:v>
                </c:pt>
                <c:pt idx="384">
                  <c:v>10.65718867280488</c:v>
                </c:pt>
                <c:pt idx="385">
                  <c:v>11.068147862460661</c:v>
                </c:pt>
                <c:pt idx="386">
                  <c:v>11.11188038939366</c:v>
                </c:pt>
                <c:pt idx="387">
                  <c:v>10.973182377604511</c:v>
                </c:pt>
                <c:pt idx="388">
                  <c:v>10.332192103328801</c:v>
                </c:pt>
                <c:pt idx="389">
                  <c:v>11.59062189525544</c:v>
                </c:pt>
                <c:pt idx="390">
                  <c:v>11.35987768210275</c:v>
                </c:pt>
                <c:pt idx="391">
                  <c:v>11.166169944383491</c:v>
                </c:pt>
                <c:pt idx="392">
                  <c:v>10.723671434705491</c:v>
                </c:pt>
                <c:pt idx="393">
                  <c:v>11.59986299255762</c:v>
                </c:pt>
                <c:pt idx="394">
                  <c:v>10.94882738741879</c:v>
                </c:pt>
                <c:pt idx="395">
                  <c:v>10.63930204799825</c:v>
                </c:pt>
                <c:pt idx="396">
                  <c:v>10.577392779453721</c:v>
                </c:pt>
                <c:pt idx="397">
                  <c:v>10.41753193915253</c:v>
                </c:pt>
                <c:pt idx="398">
                  <c:v>10.692022527062351</c:v>
                </c:pt>
                <c:pt idx="399">
                  <c:v>10.419072344206061</c:v>
                </c:pt>
                <c:pt idx="400">
                  <c:v>10.762597011547751</c:v>
                </c:pt>
                <c:pt idx="401">
                  <c:v>10.871533191888419</c:v>
                </c:pt>
                <c:pt idx="402">
                  <c:v>11.43970161956536</c:v>
                </c:pt>
                <c:pt idx="403">
                  <c:v>11.5329734083675</c:v>
                </c:pt>
                <c:pt idx="404">
                  <c:v>12.22961303945444</c:v>
                </c:pt>
                <c:pt idx="405">
                  <c:v>14.5785860523051</c:v>
                </c:pt>
                <c:pt idx="406">
                  <c:v>14.08349461405629</c:v>
                </c:pt>
                <c:pt idx="407">
                  <c:v>14.614407687366841</c:v>
                </c:pt>
                <c:pt idx="408">
                  <c:v>16.202636221515331</c:v>
                </c:pt>
                <c:pt idx="409">
                  <c:v>15.965757141484969</c:v>
                </c:pt>
                <c:pt idx="410">
                  <c:v>16.602157588636128</c:v>
                </c:pt>
                <c:pt idx="411">
                  <c:v>17.162949713612079</c:v>
                </c:pt>
                <c:pt idx="412">
                  <c:v>17.761532890788349</c:v>
                </c:pt>
                <c:pt idx="413">
                  <c:v>18.053514959359209</c:v>
                </c:pt>
                <c:pt idx="414">
                  <c:v>17.762268685619521</c:v>
                </c:pt>
                <c:pt idx="415">
                  <c:v>18.281554966952552</c:v>
                </c:pt>
                <c:pt idx="416">
                  <c:v>19.056763548511341</c:v>
                </c:pt>
                <c:pt idx="417">
                  <c:v>20.174754895268212</c:v>
                </c:pt>
                <c:pt idx="418">
                  <c:v>17.92168051317805</c:v>
                </c:pt>
                <c:pt idx="419">
                  <c:v>17.240906347720891</c:v>
                </c:pt>
                <c:pt idx="420">
                  <c:v>17.693960300892542</c:v>
                </c:pt>
                <c:pt idx="421">
                  <c:v>16.623884932549299</c:v>
                </c:pt>
                <c:pt idx="422">
                  <c:v>16.195217601441851</c:v>
                </c:pt>
                <c:pt idx="423">
                  <c:v>16.170753556915209</c:v>
                </c:pt>
                <c:pt idx="424">
                  <c:v>16.20435112061126</c:v>
                </c:pt>
                <c:pt idx="425">
                  <c:v>15.958274614814361</c:v>
                </c:pt>
                <c:pt idx="426">
                  <c:v>15.85777005226806</c:v>
                </c:pt>
                <c:pt idx="427">
                  <c:v>15.31685397154361</c:v>
                </c:pt>
                <c:pt idx="428">
                  <c:v>16.00785559122199</c:v>
                </c:pt>
                <c:pt idx="429">
                  <c:v>15.79014921625817</c:v>
                </c:pt>
                <c:pt idx="430">
                  <c:v>17.177358719691359</c:v>
                </c:pt>
                <c:pt idx="431">
                  <c:v>17.060065235539341</c:v>
                </c:pt>
                <c:pt idx="432">
                  <c:v>16.901140500904059</c:v>
                </c:pt>
                <c:pt idx="433">
                  <c:v>16.147900698136951</c:v>
                </c:pt>
                <c:pt idx="434">
                  <c:v>16.620391110267221</c:v>
                </c:pt>
                <c:pt idx="435">
                  <c:v>17.988431763238221</c:v>
                </c:pt>
                <c:pt idx="436">
                  <c:v>15.940134136412979</c:v>
                </c:pt>
                <c:pt idx="437">
                  <c:v>14.53533992853913</c:v>
                </c:pt>
                <c:pt idx="438">
                  <c:v>14.861205539285811</c:v>
                </c:pt>
                <c:pt idx="439">
                  <c:v>14.5176662993611</c:v>
                </c:pt>
                <c:pt idx="440">
                  <c:v>14.31564019524698</c:v>
                </c:pt>
                <c:pt idx="441">
                  <c:v>14.063709152501669</c:v>
                </c:pt>
                <c:pt idx="442">
                  <c:v>14.7379821345185</c:v>
                </c:pt>
                <c:pt idx="443">
                  <c:v>13.991930109946001</c:v>
                </c:pt>
                <c:pt idx="444">
                  <c:v>14.2103510602517</c:v>
                </c:pt>
                <c:pt idx="445">
                  <c:v>14.55818758875335</c:v>
                </c:pt>
                <c:pt idx="446">
                  <c:v>14.28123949930484</c:v>
                </c:pt>
                <c:pt idx="447">
                  <c:v>15.52952284098459</c:v>
                </c:pt>
                <c:pt idx="448">
                  <c:v>16.07758444912238</c:v>
                </c:pt>
                <c:pt idx="449">
                  <c:v>19.742317336498228</c:v>
                </c:pt>
                <c:pt idx="450">
                  <c:v>22.093193970352608</c:v>
                </c:pt>
                <c:pt idx="451">
                  <c:v>21.8176992402827</c:v>
                </c:pt>
                <c:pt idx="452">
                  <c:v>20.97584419194305</c:v>
                </c:pt>
                <c:pt idx="453">
                  <c:v>21.138696394999371</c:v>
                </c:pt>
                <c:pt idx="454">
                  <c:v>22.742225347850219</c:v>
                </c:pt>
                <c:pt idx="455">
                  <c:v>20.00155679019603</c:v>
                </c:pt>
                <c:pt idx="456">
                  <c:v>17.961445145899742</c:v>
                </c:pt>
                <c:pt idx="457">
                  <c:v>18.501230015576549</c:v>
                </c:pt>
                <c:pt idx="458">
                  <c:v>16.10278725580233</c:v>
                </c:pt>
                <c:pt idx="459">
                  <c:v>17.169027360149428</c:v>
                </c:pt>
                <c:pt idx="460">
                  <c:v>16.783801700618611</c:v>
                </c:pt>
                <c:pt idx="461">
                  <c:v>17.041038680986858</c:v>
                </c:pt>
                <c:pt idx="462">
                  <c:v>18.57349466611193</c:v>
                </c:pt>
                <c:pt idx="463">
                  <c:v>22.280661241804211</c:v>
                </c:pt>
                <c:pt idx="464">
                  <c:v>24.275213012407232</c:v>
                </c:pt>
                <c:pt idx="465">
                  <c:v>25.922689014796301</c:v>
                </c:pt>
                <c:pt idx="466">
                  <c:v>34.845078446398539</c:v>
                </c:pt>
                <c:pt idx="467">
                  <c:v>29.401617210012969</c:v>
                </c:pt>
                <c:pt idx="468">
                  <c:v>28.458678428643069</c:v>
                </c:pt>
                <c:pt idx="469">
                  <c:v>28.08259783543302</c:v>
                </c:pt>
                <c:pt idx="470">
                  <c:v>28.017950941372479</c:v>
                </c:pt>
                <c:pt idx="471">
                  <c:v>25.007601129732421</c:v>
                </c:pt>
                <c:pt idx="472">
                  <c:v>24.48491953505933</c:v>
                </c:pt>
                <c:pt idx="473">
                  <c:v>25.731960766550639</c:v>
                </c:pt>
                <c:pt idx="474">
                  <c:v>26.120661356434841</c:v>
                </c:pt>
                <c:pt idx="475">
                  <c:v>23.93014053920891</c:v>
                </c:pt>
                <c:pt idx="476">
                  <c:v>23.745408477085579</c:v>
                </c:pt>
                <c:pt idx="477">
                  <c:v>22.328663447526409</c:v>
                </c:pt>
                <c:pt idx="478">
                  <c:v>21.066097735623991</c:v>
                </c:pt>
                <c:pt idx="479">
                  <c:v>22.00346628612083</c:v>
                </c:pt>
                <c:pt idx="480">
                  <c:v>21.07560112733843</c:v>
                </c:pt>
                <c:pt idx="481">
                  <c:v>20.52726556854407</c:v>
                </c:pt>
                <c:pt idx="482">
                  <c:v>21.410888202437171</c:v>
                </c:pt>
                <c:pt idx="483">
                  <c:v>21.83677500555596</c:v>
                </c:pt>
                <c:pt idx="484">
                  <c:v>21.074527903323819</c:v>
                </c:pt>
                <c:pt idx="485">
                  <c:v>20.510422892467719</c:v>
                </c:pt>
                <c:pt idx="486">
                  <c:v>20.849276263359769</c:v>
                </c:pt>
                <c:pt idx="487">
                  <c:v>21.031106926870649</c:v>
                </c:pt>
                <c:pt idx="488">
                  <c:v>20.896938644252948</c:v>
                </c:pt>
                <c:pt idx="489">
                  <c:v>22.91003716295403</c:v>
                </c:pt>
                <c:pt idx="490">
                  <c:v>22.373814341066609</c:v>
                </c:pt>
                <c:pt idx="491">
                  <c:v>26.2851991845986</c:v>
                </c:pt>
                <c:pt idx="492">
                  <c:v>24.771113926559099</c:v>
                </c:pt>
                <c:pt idx="493">
                  <c:v>23.739740882870048</c:v>
                </c:pt>
                <c:pt idx="494">
                  <c:v>24.902760686277929</c:v>
                </c:pt>
                <c:pt idx="495">
                  <c:v>25.072136206657191</c:v>
                </c:pt>
                <c:pt idx="496">
                  <c:v>25.022035525022311</c:v>
                </c:pt>
                <c:pt idx="497">
                  <c:v>24.79158884524907</c:v>
                </c:pt>
                <c:pt idx="498">
                  <c:v>24.704489461786341</c:v>
                </c:pt>
                <c:pt idx="499">
                  <c:v>24.450181016809399</c:v>
                </c:pt>
                <c:pt idx="500">
                  <c:v>24.98360859563639</c:v>
                </c:pt>
                <c:pt idx="501">
                  <c:v>23.456439354097238</c:v>
                </c:pt>
                <c:pt idx="502">
                  <c:v>23.95139795197743</c:v>
                </c:pt>
                <c:pt idx="503">
                  <c:v>24.38064792591938</c:v>
                </c:pt>
                <c:pt idx="504">
                  <c:v>24.66410802138336</c:v>
                </c:pt>
                <c:pt idx="505">
                  <c:v>25.543102490269771</c:v>
                </c:pt>
                <c:pt idx="506">
                  <c:v>25.64556520987831</c:v>
                </c:pt>
                <c:pt idx="507">
                  <c:v>27.10908849261601</c:v>
                </c:pt>
                <c:pt idx="508">
                  <c:v>25.18917569185831</c:v>
                </c:pt>
                <c:pt idx="509">
                  <c:v>23.984443460652869</c:v>
                </c:pt>
                <c:pt idx="510">
                  <c:v>22.853532269590261</c:v>
                </c:pt>
                <c:pt idx="511">
                  <c:v>23.100679765753171</c:v>
                </c:pt>
                <c:pt idx="512">
                  <c:v>22.78435069107832</c:v>
                </c:pt>
                <c:pt idx="513">
                  <c:v>22.95406360274411</c:v>
                </c:pt>
                <c:pt idx="514">
                  <c:v>23.759194353394172</c:v>
                </c:pt>
                <c:pt idx="515">
                  <c:v>25.421391346865569</c:v>
                </c:pt>
                <c:pt idx="516">
                  <c:v>25.629974454605279</c:v>
                </c:pt>
                <c:pt idx="517">
                  <c:v>25.953814936560729</c:v>
                </c:pt>
                <c:pt idx="518">
                  <c:v>25.645915012670709</c:v>
                </c:pt>
                <c:pt idx="519">
                  <c:v>24.5942207589441</c:v>
                </c:pt>
                <c:pt idx="520">
                  <c:v>24.066229113927839</c:v>
                </c:pt>
                <c:pt idx="521">
                  <c:v>22.678012734522799</c:v>
                </c:pt>
                <c:pt idx="522">
                  <c:v>22.236563252081169</c:v>
                </c:pt>
                <c:pt idx="523">
                  <c:v>20.88804752081748</c:v>
                </c:pt>
                <c:pt idx="524">
                  <c:v>19.945380001735831</c:v>
                </c:pt>
                <c:pt idx="525">
                  <c:v>24.060384043014739</c:v>
                </c:pt>
                <c:pt idx="526">
                  <c:v>22.184060399943402</c:v>
                </c:pt>
                <c:pt idx="527">
                  <c:v>21.313832594561571</c:v>
                </c:pt>
                <c:pt idx="528">
                  <c:v>20.167683630813059</c:v>
                </c:pt>
                <c:pt idx="529">
                  <c:v>19.68722670917969</c:v>
                </c:pt>
                <c:pt idx="530">
                  <c:v>20.042892055803989</c:v>
                </c:pt>
                <c:pt idx="531">
                  <c:v>19.015749150638051</c:v>
                </c:pt>
                <c:pt idx="532">
                  <c:v>18.74744169018317</c:v>
                </c:pt>
                <c:pt idx="533">
                  <c:v>18.14845427976331</c:v>
                </c:pt>
                <c:pt idx="534">
                  <c:v>18.59127055369078</c:v>
                </c:pt>
                <c:pt idx="535">
                  <c:v>21.514089979809739</c:v>
                </c:pt>
                <c:pt idx="536">
                  <c:v>20.298078518267339</c:v>
                </c:pt>
                <c:pt idx="537">
                  <c:v>20.42194488855813</c:v>
                </c:pt>
                <c:pt idx="538">
                  <c:v>19.394963588497351</c:v>
                </c:pt>
                <c:pt idx="539">
                  <c:v>19.126682771540061</c:v>
                </c:pt>
                <c:pt idx="540">
                  <c:v>18.769692262468471</c:v>
                </c:pt>
                <c:pt idx="541">
                  <c:v>18.17222855321695</c:v>
                </c:pt>
                <c:pt idx="542">
                  <c:v>19.452766954248489</c:v>
                </c:pt>
                <c:pt idx="543">
                  <c:v>20.124709439551989</c:v>
                </c:pt>
                <c:pt idx="544">
                  <c:v>19.028764187967418</c:v>
                </c:pt>
                <c:pt idx="545">
                  <c:v>19.38254100236983</c:v>
                </c:pt>
                <c:pt idx="546">
                  <c:v>19.786324662768031</c:v>
                </c:pt>
                <c:pt idx="547">
                  <c:v>20.238685461007741</c:v>
                </c:pt>
                <c:pt idx="548">
                  <c:v>23.939748797785018</c:v>
                </c:pt>
                <c:pt idx="549">
                  <c:v>22.95502163149072</c:v>
                </c:pt>
                <c:pt idx="550">
                  <c:v>21.402423909775031</c:v>
                </c:pt>
                <c:pt idx="551">
                  <c:v>20.735313342695019</c:v>
                </c:pt>
                <c:pt idx="552">
                  <c:v>20.884043122674051</c:v>
                </c:pt>
                <c:pt idx="553">
                  <c:v>21.32861100969285</c:v>
                </c:pt>
                <c:pt idx="554">
                  <c:v>23.028558790746029</c:v>
                </c:pt>
                <c:pt idx="555">
                  <c:v>23.559196070007431</c:v>
                </c:pt>
                <c:pt idx="556">
                  <c:v>21.8300846834601</c:v>
                </c:pt>
                <c:pt idx="557">
                  <c:v>25.54623233776903</c:v>
                </c:pt>
                <c:pt idx="558">
                  <c:v>26.332324353386539</c:v>
                </c:pt>
                <c:pt idx="559">
                  <c:v>26.9387926483092</c:v>
                </c:pt>
                <c:pt idx="560">
                  <c:v>27.262367505933248</c:v>
                </c:pt>
                <c:pt idx="561">
                  <c:v>26.230877843690401</c:v>
                </c:pt>
                <c:pt idx="562">
                  <c:v>23.623927111734321</c:v>
                </c:pt>
                <c:pt idx="563">
                  <c:v>23.53737389727516</c:v>
                </c:pt>
                <c:pt idx="564">
                  <c:v>25.61048975449571</c:v>
                </c:pt>
                <c:pt idx="565">
                  <c:v>24.063683017223919</c:v>
                </c:pt>
                <c:pt idx="566">
                  <c:v>23.841866505437078</c:v>
                </c:pt>
                <c:pt idx="567">
                  <c:v>23.672684863151069</c:v>
                </c:pt>
                <c:pt idx="568">
                  <c:v>23.220916767770468</c:v>
                </c:pt>
                <c:pt idx="569">
                  <c:v>24.046105328011269</c:v>
                </c:pt>
                <c:pt idx="570">
                  <c:v>22.854777315274099</c:v>
                </c:pt>
                <c:pt idx="571">
                  <c:v>22.347153338505539</c:v>
                </c:pt>
                <c:pt idx="572">
                  <c:v>22.509940851704339</c:v>
                </c:pt>
                <c:pt idx="573">
                  <c:v>23.78042751970586</c:v>
                </c:pt>
                <c:pt idx="574">
                  <c:v>24.01816739421848</c:v>
                </c:pt>
                <c:pt idx="575">
                  <c:v>23.190566750319149</c:v>
                </c:pt>
                <c:pt idx="576">
                  <c:v>22.13449009182337</c:v>
                </c:pt>
                <c:pt idx="577">
                  <c:v>22.507189802271672</c:v>
                </c:pt>
                <c:pt idx="578">
                  <c:v>22.41623088306007</c:v>
                </c:pt>
                <c:pt idx="579">
                  <c:v>24.180695326151451</c:v>
                </c:pt>
                <c:pt idx="580">
                  <c:v>25.170203278876041</c:v>
                </c:pt>
                <c:pt idx="581">
                  <c:v>25.252498224677002</c:v>
                </c:pt>
                <c:pt idx="582">
                  <c:v>26.056341423972579</c:v>
                </c:pt>
                <c:pt idx="583">
                  <c:v>25.564188842668589</c:v>
                </c:pt>
                <c:pt idx="584">
                  <c:v>25.80063189108898</c:v>
                </c:pt>
                <c:pt idx="585">
                  <c:v>25.724723742728539</c:v>
                </c:pt>
                <c:pt idx="586">
                  <c:v>24.954692804880491</c:v>
                </c:pt>
                <c:pt idx="587">
                  <c:v>25.6984787885809</c:v>
                </c:pt>
                <c:pt idx="588">
                  <c:v>25.577205245762801</c:v>
                </c:pt>
                <c:pt idx="589">
                  <c:v>30.587319505797591</c:v>
                </c:pt>
                <c:pt idx="590">
                  <c:v>30.548826956183749</c:v>
                </c:pt>
                <c:pt idx="591">
                  <c:v>30.317564369040561</c:v>
                </c:pt>
                <c:pt idx="592">
                  <c:v>29.674909063083</c:v>
                </c:pt>
                <c:pt idx="593">
                  <c:v>26.667837593803331</c:v>
                </c:pt>
                <c:pt idx="594">
                  <c:v>25.22642302919515</c:v>
                </c:pt>
                <c:pt idx="595">
                  <c:v>23.773195862199501</c:v>
                </c:pt>
                <c:pt idx="596">
                  <c:v>23.288492243753641</c:v>
                </c:pt>
                <c:pt idx="597">
                  <c:v>22.361424264217501</c:v>
                </c:pt>
                <c:pt idx="598">
                  <c:v>22.422462229293011</c:v>
                </c:pt>
                <c:pt idx="599">
                  <c:v>22.777775270897571</c:v>
                </c:pt>
                <c:pt idx="600">
                  <c:v>22.965912766873512</c:v>
                </c:pt>
                <c:pt idx="601">
                  <c:v>22.75247895477904</c:v>
                </c:pt>
                <c:pt idx="602">
                  <c:v>23.309717293848902</c:v>
                </c:pt>
                <c:pt idx="603">
                  <c:v>22.518173802494299</c:v>
                </c:pt>
                <c:pt idx="604">
                  <c:v>23.746022356425069</c:v>
                </c:pt>
                <c:pt idx="605">
                  <c:v>24.007406146594619</c:v>
                </c:pt>
                <c:pt idx="606">
                  <c:v>23.887618300554159</c:v>
                </c:pt>
                <c:pt idx="607">
                  <c:v>24.764769134683149</c:v>
                </c:pt>
                <c:pt idx="608">
                  <c:v>24.293322574521561</c:v>
                </c:pt>
                <c:pt idx="609">
                  <c:v>24.221223696720489</c:v>
                </c:pt>
                <c:pt idx="610">
                  <c:v>23.420081432069299</c:v>
                </c:pt>
                <c:pt idx="611">
                  <c:v>21.942189047269771</c:v>
                </c:pt>
                <c:pt idx="612">
                  <c:v>21.283104481465781</c:v>
                </c:pt>
                <c:pt idx="613">
                  <c:v>20.681099870092279</c:v>
                </c:pt>
                <c:pt idx="614">
                  <c:v>21.0474728373202</c:v>
                </c:pt>
                <c:pt idx="615">
                  <c:v>19.897500203164249</c:v>
                </c:pt>
                <c:pt idx="616">
                  <c:v>20.317029805528549</c:v>
                </c:pt>
                <c:pt idx="617">
                  <c:v>20.808916989232191</c:v>
                </c:pt>
                <c:pt idx="618">
                  <c:v>21.541045815077059</c:v>
                </c:pt>
                <c:pt idx="619">
                  <c:v>20.854092283696229</c:v>
                </c:pt>
                <c:pt idx="620">
                  <c:v>21.187025068787019</c:v>
                </c:pt>
                <c:pt idx="621">
                  <c:v>23.327739554898859</c:v>
                </c:pt>
                <c:pt idx="622">
                  <c:v>23.431713012277921</c:v>
                </c:pt>
                <c:pt idx="623">
                  <c:v>23.403974264971339</c:v>
                </c:pt>
                <c:pt idx="624">
                  <c:v>25.794422790096569</c:v>
                </c:pt>
                <c:pt idx="625">
                  <c:v>26.191303089562791</c:v>
                </c:pt>
                <c:pt idx="626">
                  <c:v>27.231954457868579</c:v>
                </c:pt>
                <c:pt idx="627">
                  <c:v>26.815893964778049</c:v>
                </c:pt>
                <c:pt idx="628">
                  <c:v>31.117603291163629</c:v>
                </c:pt>
                <c:pt idx="629">
                  <c:v>32.657225371281058</c:v>
                </c:pt>
                <c:pt idx="630">
                  <c:v>30.675598347345179</c:v>
                </c:pt>
                <c:pt idx="631">
                  <c:v>29.46566622083208</c:v>
                </c:pt>
                <c:pt idx="632">
                  <c:v>30.72100888267115</c:v>
                </c:pt>
                <c:pt idx="633">
                  <c:v>30.314570198978458</c:v>
                </c:pt>
                <c:pt idx="634">
                  <c:v>31.040699206918219</c:v>
                </c:pt>
                <c:pt idx="635">
                  <c:v>31.529506005392449</c:v>
                </c:pt>
                <c:pt idx="636">
                  <c:v>31.994770138331539</c:v>
                </c:pt>
                <c:pt idx="637">
                  <c:v>32.106083307160141</c:v>
                </c:pt>
                <c:pt idx="638">
                  <c:v>31.397480421733629</c:v>
                </c:pt>
                <c:pt idx="639">
                  <c:v>30.340136522929019</c:v>
                </c:pt>
                <c:pt idx="640">
                  <c:v>28.770628755906131</c:v>
                </c:pt>
                <c:pt idx="641">
                  <c:v>30.553858994994769</c:v>
                </c:pt>
                <c:pt idx="642">
                  <c:v>31.293740177076721</c:v>
                </c:pt>
                <c:pt idx="643">
                  <c:v>31.327076734229799</c:v>
                </c:pt>
                <c:pt idx="644">
                  <c:v>30.814538857137489</c:v>
                </c:pt>
                <c:pt idx="645">
                  <c:v>31.129915219927572</c:v>
                </c:pt>
                <c:pt idx="646">
                  <c:v>31.812305629036199</c:v>
                </c:pt>
                <c:pt idx="647">
                  <c:v>31.027218731547318</c:v>
                </c:pt>
                <c:pt idx="648">
                  <c:v>30.508956477468011</c:v>
                </c:pt>
                <c:pt idx="649">
                  <c:v>29.798738988266969</c:v>
                </c:pt>
                <c:pt idx="650">
                  <c:v>29.11534891953719</c:v>
                </c:pt>
                <c:pt idx="651">
                  <c:v>28.503186176339739</c:v>
                </c:pt>
                <c:pt idx="652">
                  <c:v>27.674891646362418</c:v>
                </c:pt>
                <c:pt idx="653">
                  <c:v>29.53725953466536</c:v>
                </c:pt>
                <c:pt idx="654">
                  <c:v>28.38488325338983</c:v>
                </c:pt>
                <c:pt idx="655">
                  <c:v>27.197470664654691</c:v>
                </c:pt>
                <c:pt idx="656">
                  <c:v>26.15388096544266</c:v>
                </c:pt>
                <c:pt idx="657">
                  <c:v>25.137632569091679</c:v>
                </c:pt>
                <c:pt idx="658">
                  <c:v>24.238379664765159</c:v>
                </c:pt>
                <c:pt idx="659">
                  <c:v>24.112378944716191</c:v>
                </c:pt>
                <c:pt idx="660">
                  <c:v>25.024584026457521</c:v>
                </c:pt>
                <c:pt idx="661">
                  <c:v>22.710209842769959</c:v>
                </c:pt>
                <c:pt idx="662">
                  <c:v>21.007159458089291</c:v>
                </c:pt>
                <c:pt idx="663">
                  <c:v>21.03267926919942</c:v>
                </c:pt>
                <c:pt idx="664">
                  <c:v>20.959933128928331</c:v>
                </c:pt>
                <c:pt idx="665">
                  <c:v>19.671787371721312</c:v>
                </c:pt>
                <c:pt idx="666">
                  <c:v>20.445611118251271</c:v>
                </c:pt>
                <c:pt idx="667">
                  <c:v>20.31672883798818</c:v>
                </c:pt>
                <c:pt idx="668">
                  <c:v>19.9567833129022</c:v>
                </c:pt>
                <c:pt idx="669">
                  <c:v>19.483612952244151</c:v>
                </c:pt>
                <c:pt idx="670">
                  <c:v>19.22849373960322</c:v>
                </c:pt>
                <c:pt idx="671">
                  <c:v>20.141776017139399</c:v>
                </c:pt>
                <c:pt idx="672">
                  <c:v>20.809419472750879</c:v>
                </c:pt>
                <c:pt idx="673">
                  <c:v>22.292468968362101</c:v>
                </c:pt>
                <c:pt idx="674">
                  <c:v>24.36270909453831</c:v>
                </c:pt>
                <c:pt idx="675">
                  <c:v>25.276576553980352</c:v>
                </c:pt>
                <c:pt idx="676">
                  <c:v>23.292619455215139</c:v>
                </c:pt>
                <c:pt idx="677">
                  <c:v>24.25933826477284</c:v>
                </c:pt>
                <c:pt idx="678">
                  <c:v>23.354601567692839</c:v>
                </c:pt>
                <c:pt idx="679">
                  <c:v>22.962593016430262</c:v>
                </c:pt>
                <c:pt idx="680">
                  <c:v>22.71143567902417</c:v>
                </c:pt>
                <c:pt idx="681">
                  <c:v>22.489782737068591</c:v>
                </c:pt>
                <c:pt idx="682">
                  <c:v>22.183181204044381</c:v>
                </c:pt>
                <c:pt idx="683">
                  <c:v>21.459107364607611</c:v>
                </c:pt>
                <c:pt idx="684">
                  <c:v>21.87839919657733</c:v>
                </c:pt>
                <c:pt idx="685">
                  <c:v>20.909635981716729</c:v>
                </c:pt>
                <c:pt idx="686">
                  <c:v>19.150140554573049</c:v>
                </c:pt>
                <c:pt idx="687">
                  <c:v>18.930312589980879</c:v>
                </c:pt>
                <c:pt idx="688">
                  <c:v>18.309981294267509</c:v>
                </c:pt>
                <c:pt idx="689">
                  <c:v>18.728139104960839</c:v>
                </c:pt>
                <c:pt idx="690">
                  <c:v>17.905542450833089</c:v>
                </c:pt>
                <c:pt idx="691">
                  <c:v>19.613730850569659</c:v>
                </c:pt>
                <c:pt idx="692">
                  <c:v>20.191103797870198</c:v>
                </c:pt>
                <c:pt idx="693">
                  <c:v>20.5056819759265</c:v>
                </c:pt>
                <c:pt idx="694">
                  <c:v>21.279348748563621</c:v>
                </c:pt>
                <c:pt idx="695">
                  <c:v>19.366860953417191</c:v>
                </c:pt>
                <c:pt idx="696">
                  <c:v>18.52025352737855</c:v>
                </c:pt>
                <c:pt idx="697">
                  <c:v>16.58613760237672</c:v>
                </c:pt>
                <c:pt idx="698">
                  <c:v>16.02074423105746</c:v>
                </c:pt>
                <c:pt idx="699">
                  <c:v>16.782977846395749</c:v>
                </c:pt>
                <c:pt idx="700">
                  <c:v>18.130443015977409</c:v>
                </c:pt>
                <c:pt idx="701">
                  <c:v>18.753245542625699</c:v>
                </c:pt>
                <c:pt idx="702">
                  <c:v>18.563115492897701</c:v>
                </c:pt>
                <c:pt idx="703">
                  <c:v>18.976205234160791</c:v>
                </c:pt>
                <c:pt idx="704">
                  <c:v>19.366827136843479</c:v>
                </c:pt>
                <c:pt idx="705">
                  <c:v>18.937783424814519</c:v>
                </c:pt>
                <c:pt idx="706">
                  <c:v>20.29252622478726</c:v>
                </c:pt>
                <c:pt idx="707">
                  <c:v>21.445352942750809</c:v>
                </c:pt>
                <c:pt idx="708">
                  <c:v>20.84255269536613</c:v>
                </c:pt>
                <c:pt idx="709">
                  <c:v>21.815422687979321</c:v>
                </c:pt>
                <c:pt idx="710">
                  <c:v>22.88913028644258</c:v>
                </c:pt>
                <c:pt idx="711">
                  <c:v>25.08985798432445</c:v>
                </c:pt>
                <c:pt idx="712">
                  <c:v>24.30809014852883</c:v>
                </c:pt>
                <c:pt idx="713">
                  <c:v>23.289600903402381</c:v>
                </c:pt>
                <c:pt idx="714">
                  <c:v>25.261186152854481</c:v>
                </c:pt>
                <c:pt idx="715">
                  <c:v>31.02340282169283</c:v>
                </c:pt>
                <c:pt idx="716">
                  <c:v>30.944777081020518</c:v>
                </c:pt>
                <c:pt idx="717">
                  <c:v>28.625924135738291</c:v>
                </c:pt>
                <c:pt idx="718">
                  <c:v>27.495178012892659</c:v>
                </c:pt>
                <c:pt idx="719">
                  <c:v>29.788762157768019</c:v>
                </c:pt>
                <c:pt idx="720">
                  <c:v>30.611598688960989</c:v>
                </c:pt>
                <c:pt idx="721">
                  <c:v>31.609122943284579</c:v>
                </c:pt>
                <c:pt idx="722">
                  <c:v>32.845386619322177</c:v>
                </c:pt>
                <c:pt idx="723">
                  <c:v>33.12570555325928</c:v>
                </c:pt>
                <c:pt idx="724">
                  <c:v>30.36865260968661</c:v>
                </c:pt>
                <c:pt idx="725">
                  <c:v>30.380847315954661</c:v>
                </c:pt>
                <c:pt idx="726">
                  <c:v>30.318702710281809</c:v>
                </c:pt>
                <c:pt idx="727">
                  <c:v>29.124976400476591</c:v>
                </c:pt>
                <c:pt idx="728">
                  <c:v>27.382673431552881</c:v>
                </c:pt>
                <c:pt idx="729">
                  <c:v>28.209251985985851</c:v>
                </c:pt>
                <c:pt idx="730">
                  <c:v>28.89716582336014</c:v>
                </c:pt>
                <c:pt idx="731">
                  <c:v>31.083076595504689</c:v>
                </c:pt>
                <c:pt idx="732">
                  <c:v>31.583097979824021</c:v>
                </c:pt>
                <c:pt idx="733">
                  <c:v>30.738924544097141</c:v>
                </c:pt>
                <c:pt idx="734">
                  <c:v>27.451609528407548</c:v>
                </c:pt>
                <c:pt idx="735">
                  <c:v>25.840598881774941</c:v>
                </c:pt>
                <c:pt idx="736">
                  <c:v>24.91989980792577</c:v>
                </c:pt>
                <c:pt idx="737">
                  <c:v>23.588198195849671</c:v>
                </c:pt>
                <c:pt idx="738">
                  <c:v>24.612871172990818</c:v>
                </c:pt>
                <c:pt idx="739">
                  <c:v>26.571415548589659</c:v>
                </c:pt>
                <c:pt idx="740">
                  <c:v>28.973229868272121</c:v>
                </c:pt>
                <c:pt idx="741">
                  <c:v>28.428855690831941</c:v>
                </c:pt>
                <c:pt idx="742">
                  <c:v>30.155555132720149</c:v>
                </c:pt>
                <c:pt idx="743">
                  <c:v>32.230984089718568</c:v>
                </c:pt>
                <c:pt idx="744">
                  <c:v>30.400608987638041</c:v>
                </c:pt>
                <c:pt idx="745">
                  <c:v>30.599384516962822</c:v>
                </c:pt>
                <c:pt idx="746">
                  <c:v>30.514397006857649</c:v>
                </c:pt>
                <c:pt idx="747">
                  <c:v>27.942686174482329</c:v>
                </c:pt>
                <c:pt idx="748">
                  <c:v>28.02957842765478</c:v>
                </c:pt>
                <c:pt idx="749">
                  <c:v>27.84780773472</c:v>
                </c:pt>
                <c:pt idx="750">
                  <c:v>31.11165376061145</c:v>
                </c:pt>
                <c:pt idx="751">
                  <c:v>30.6054237287481</c:v>
                </c:pt>
                <c:pt idx="752">
                  <c:v>29.695061199404542</c:v>
                </c:pt>
                <c:pt idx="753">
                  <c:v>29.67198966131669</c:v>
                </c:pt>
                <c:pt idx="754">
                  <c:v>27.77377510047609</c:v>
                </c:pt>
                <c:pt idx="755">
                  <c:v>27.222484790065131</c:v>
                </c:pt>
                <c:pt idx="756">
                  <c:v>26.937357259256348</c:v>
                </c:pt>
                <c:pt idx="757">
                  <c:v>26.156676192995459</c:v>
                </c:pt>
                <c:pt idx="758">
                  <c:v>25.622136880090761</c:v>
                </c:pt>
                <c:pt idx="759">
                  <c:v>25.80808577914275</c:v>
                </c:pt>
                <c:pt idx="760">
                  <c:v>29.53882535616059</c:v>
                </c:pt>
                <c:pt idx="761">
                  <c:v>26.490795363200601</c:v>
                </c:pt>
                <c:pt idx="762">
                  <c:v>27.432174364942721</c:v>
                </c:pt>
                <c:pt idx="763">
                  <c:v>29.19291760046324</c:v>
                </c:pt>
                <c:pt idx="764">
                  <c:v>29.135627305469061</c:v>
                </c:pt>
                <c:pt idx="765">
                  <c:v>27.932570387355661</c:v>
                </c:pt>
                <c:pt idx="766">
                  <c:v>26.969698554475841</c:v>
                </c:pt>
                <c:pt idx="767">
                  <c:v>29.86314187728928</c:v>
                </c:pt>
                <c:pt idx="768">
                  <c:v>28.12954874801969</c:v>
                </c:pt>
                <c:pt idx="769">
                  <c:v>27.539131009113419</c:v>
                </c:pt>
                <c:pt idx="770">
                  <c:v>26.09413334010388</c:v>
                </c:pt>
                <c:pt idx="771">
                  <c:v>24.72373639649086</c:v>
                </c:pt>
                <c:pt idx="772">
                  <c:v>23.544352455537091</c:v>
                </c:pt>
                <c:pt idx="773">
                  <c:v>23.31565860192752</c:v>
                </c:pt>
                <c:pt idx="774">
                  <c:v>23.366462311283641</c:v>
                </c:pt>
                <c:pt idx="775">
                  <c:v>23.490113483216369</c:v>
                </c:pt>
                <c:pt idx="776">
                  <c:v>22.339335212612522</c:v>
                </c:pt>
                <c:pt idx="777">
                  <c:v>21.69216970894858</c:v>
                </c:pt>
                <c:pt idx="778">
                  <c:v>21.576679386342981</c:v>
                </c:pt>
                <c:pt idx="779">
                  <c:v>22.268959072959479</c:v>
                </c:pt>
                <c:pt idx="780">
                  <c:v>22.65468238472009</c:v>
                </c:pt>
                <c:pt idx="781">
                  <c:v>23.24181332975196</c:v>
                </c:pt>
                <c:pt idx="782">
                  <c:v>22.88407217992722</c:v>
                </c:pt>
                <c:pt idx="783">
                  <c:v>22.907080641447969</c:v>
                </c:pt>
                <c:pt idx="784">
                  <c:v>21.690828088610122</c:v>
                </c:pt>
                <c:pt idx="785">
                  <c:v>20.729414985200549</c:v>
                </c:pt>
                <c:pt idx="786">
                  <c:v>21.167444976449879</c:v>
                </c:pt>
                <c:pt idx="787">
                  <c:v>20.62492184230927</c:v>
                </c:pt>
                <c:pt idx="788">
                  <c:v>20.603319693249869</c:v>
                </c:pt>
                <c:pt idx="789">
                  <c:v>20.64651702096193</c:v>
                </c:pt>
                <c:pt idx="790">
                  <c:v>19.938062366121809</c:v>
                </c:pt>
                <c:pt idx="791">
                  <c:v>20.285057802368119</c:v>
                </c:pt>
                <c:pt idx="792">
                  <c:v>23.924807113289049</c:v>
                </c:pt>
                <c:pt idx="793">
                  <c:v>26.305915417675902</c:v>
                </c:pt>
                <c:pt idx="794">
                  <c:v>26.20478505102836</c:v>
                </c:pt>
                <c:pt idx="795">
                  <c:v>26.293267398981939</c:v>
                </c:pt>
                <c:pt idx="796">
                  <c:v>26.288360678179391</c:v>
                </c:pt>
                <c:pt idx="797">
                  <c:v>26.50793919294923</c:v>
                </c:pt>
                <c:pt idx="798">
                  <c:v>27.516896059272369</c:v>
                </c:pt>
                <c:pt idx="799">
                  <c:v>25.195892776910259</c:v>
                </c:pt>
                <c:pt idx="800">
                  <c:v>24.675237846654159</c:v>
                </c:pt>
                <c:pt idx="801">
                  <c:v>23.68849124641623</c:v>
                </c:pt>
                <c:pt idx="802">
                  <c:v>23.222661315165318</c:v>
                </c:pt>
                <c:pt idx="803">
                  <c:v>23.952911483702419</c:v>
                </c:pt>
                <c:pt idx="804">
                  <c:v>23.100822738688638</c:v>
                </c:pt>
                <c:pt idx="805">
                  <c:v>22.08807825298771</c:v>
                </c:pt>
                <c:pt idx="806">
                  <c:v>22.122239856633669</c:v>
                </c:pt>
                <c:pt idx="807">
                  <c:v>22.449806873626351</c:v>
                </c:pt>
                <c:pt idx="808">
                  <c:v>22.361556985816861</c:v>
                </c:pt>
                <c:pt idx="809">
                  <c:v>22.51989273512514</c:v>
                </c:pt>
                <c:pt idx="810">
                  <c:v>22.792934278639631</c:v>
                </c:pt>
                <c:pt idx="811">
                  <c:v>26.164579338959769</c:v>
                </c:pt>
                <c:pt idx="812">
                  <c:v>25.745001487312429</c:v>
                </c:pt>
                <c:pt idx="813">
                  <c:v>26.523655343021229</c:v>
                </c:pt>
                <c:pt idx="814">
                  <c:v>24.236330492698141</c:v>
                </c:pt>
                <c:pt idx="815">
                  <c:v>22.696259169383492</c:v>
                </c:pt>
                <c:pt idx="816">
                  <c:v>21.394200428912651</c:v>
                </c:pt>
                <c:pt idx="817">
                  <c:v>19.942957990286502</c:v>
                </c:pt>
                <c:pt idx="818">
                  <c:v>19.859294395608401</c:v>
                </c:pt>
                <c:pt idx="819">
                  <c:v>19.601571878523629</c:v>
                </c:pt>
                <c:pt idx="820">
                  <c:v>19.78084736830511</c:v>
                </c:pt>
                <c:pt idx="821">
                  <c:v>20.195873127657119</c:v>
                </c:pt>
                <c:pt idx="822">
                  <c:v>18.127972926000179</c:v>
                </c:pt>
                <c:pt idx="823">
                  <c:v>18.692735038656831</c:v>
                </c:pt>
                <c:pt idx="824">
                  <c:v>20.59804371253453</c:v>
                </c:pt>
                <c:pt idx="825">
                  <c:v>22.213843145463571</c:v>
                </c:pt>
                <c:pt idx="826">
                  <c:v>21.42030658925685</c:v>
                </c:pt>
                <c:pt idx="827">
                  <c:v>20.92802781858498</c:v>
                </c:pt>
                <c:pt idx="828">
                  <c:v>20.31620923108996</c:v>
                </c:pt>
                <c:pt idx="829">
                  <c:v>20.7346579531008</c:v>
                </c:pt>
                <c:pt idx="830">
                  <c:v>20.644550637712872</c:v>
                </c:pt>
                <c:pt idx="831">
                  <c:v>19.967196786245129</c:v>
                </c:pt>
                <c:pt idx="832">
                  <c:v>20.59974395616895</c:v>
                </c:pt>
                <c:pt idx="833">
                  <c:v>20.521061095229321</c:v>
                </c:pt>
                <c:pt idx="834">
                  <c:v>21.153732477347098</c:v>
                </c:pt>
                <c:pt idx="835">
                  <c:v>20.99972130905558</c:v>
                </c:pt>
                <c:pt idx="836">
                  <c:v>21.74150311752874</c:v>
                </c:pt>
                <c:pt idx="837">
                  <c:v>21.227433328996511</c:v>
                </c:pt>
                <c:pt idx="838">
                  <c:v>21.235277589320031</c:v>
                </c:pt>
                <c:pt idx="839">
                  <c:v>21.46517174272363</c:v>
                </c:pt>
                <c:pt idx="840">
                  <c:v>20.36775610627933</c:v>
                </c:pt>
                <c:pt idx="841">
                  <c:v>20.140850163070379</c:v>
                </c:pt>
                <c:pt idx="842">
                  <c:v>19.22373522014647</c:v>
                </c:pt>
                <c:pt idx="843">
                  <c:v>19.324580971110279</c:v>
                </c:pt>
                <c:pt idx="844">
                  <c:v>18.588132023963801</c:v>
                </c:pt>
                <c:pt idx="845">
                  <c:v>18.586194935713959</c:v>
                </c:pt>
                <c:pt idx="846">
                  <c:v>18.055134379828299</c:v>
                </c:pt>
                <c:pt idx="847">
                  <c:v>18.884966770578739</c:v>
                </c:pt>
                <c:pt idx="848">
                  <c:v>19.465134966873642</c:v>
                </c:pt>
                <c:pt idx="849">
                  <c:v>20.487973269973981</c:v>
                </c:pt>
                <c:pt idx="850">
                  <c:v>20.033233104098091</c:v>
                </c:pt>
                <c:pt idx="851">
                  <c:v>19.944069259533219</c:v>
                </c:pt>
                <c:pt idx="852">
                  <c:v>19.272366112099849</c:v>
                </c:pt>
                <c:pt idx="853">
                  <c:v>18.957195662440188</c:v>
                </c:pt>
                <c:pt idx="854">
                  <c:v>18.387011389911109</c:v>
                </c:pt>
                <c:pt idx="855">
                  <c:v>19.400562786974689</c:v>
                </c:pt>
                <c:pt idx="856">
                  <c:v>19.028765007557279</c:v>
                </c:pt>
                <c:pt idx="857">
                  <c:v>18.076369523021668</c:v>
                </c:pt>
                <c:pt idx="858">
                  <c:v>17.159517923158528</c:v>
                </c:pt>
                <c:pt idx="859">
                  <c:v>16.86027404815934</c:v>
                </c:pt>
                <c:pt idx="860">
                  <c:v>17.080650302267561</c:v>
                </c:pt>
                <c:pt idx="861">
                  <c:v>17.096581884422051</c:v>
                </c:pt>
                <c:pt idx="862">
                  <c:v>17.542618607664082</c:v>
                </c:pt>
                <c:pt idx="863">
                  <c:v>17.747530083061701</c:v>
                </c:pt>
                <c:pt idx="864">
                  <c:v>16.371420481042829</c:v>
                </c:pt>
                <c:pt idx="865">
                  <c:v>15.61691474694639</c:v>
                </c:pt>
                <c:pt idx="866">
                  <c:v>15.804338446214359</c:v>
                </c:pt>
                <c:pt idx="867">
                  <c:v>16.13181207418792</c:v>
                </c:pt>
                <c:pt idx="868">
                  <c:v>15.091759059765719</c:v>
                </c:pt>
                <c:pt idx="869">
                  <c:v>14.6045629869362</c:v>
                </c:pt>
                <c:pt idx="870">
                  <c:v>17.07269329103389</c:v>
                </c:pt>
                <c:pt idx="871">
                  <c:v>17.332826182811029</c:v>
                </c:pt>
                <c:pt idx="872">
                  <c:v>17.5388032455357</c:v>
                </c:pt>
                <c:pt idx="873">
                  <c:v>16.274750941152831</c:v>
                </c:pt>
                <c:pt idx="874">
                  <c:v>15.774279197520951</c:v>
                </c:pt>
                <c:pt idx="875">
                  <c:v>15.78742916286439</c:v>
                </c:pt>
                <c:pt idx="876">
                  <c:v>15.18265494690238</c:v>
                </c:pt>
                <c:pt idx="877">
                  <c:v>14.605892896068131</c:v>
                </c:pt>
                <c:pt idx="878">
                  <c:v>14.072003157104639</c:v>
                </c:pt>
                <c:pt idx="879">
                  <c:v>14.30641814640302</c:v>
                </c:pt>
                <c:pt idx="880">
                  <c:v>14.58149366870852</c:v>
                </c:pt>
                <c:pt idx="881">
                  <c:v>14.762283480105291</c:v>
                </c:pt>
                <c:pt idx="882">
                  <c:v>14.023121654520599</c:v>
                </c:pt>
                <c:pt idx="883">
                  <c:v>14.08183393467211</c:v>
                </c:pt>
                <c:pt idx="884">
                  <c:v>14.31719763117184</c:v>
                </c:pt>
                <c:pt idx="885">
                  <c:v>14.12029669487865</c:v>
                </c:pt>
                <c:pt idx="886">
                  <c:v>14.34227628930425</c:v>
                </c:pt>
                <c:pt idx="887">
                  <c:v>14.624391935506271</c:v>
                </c:pt>
                <c:pt idx="888">
                  <c:v>15.53727785784972</c:v>
                </c:pt>
                <c:pt idx="889">
                  <c:v>15.03212690549851</c:v>
                </c:pt>
                <c:pt idx="890">
                  <c:v>15.27542529724056</c:v>
                </c:pt>
                <c:pt idx="891">
                  <c:v>15.56191763694182</c:v>
                </c:pt>
                <c:pt idx="892">
                  <c:v>15.533951898054809</c:v>
                </c:pt>
                <c:pt idx="893">
                  <c:v>14.693557534420989</c:v>
                </c:pt>
                <c:pt idx="894">
                  <c:v>13.88884688562559</c:v>
                </c:pt>
                <c:pt idx="895">
                  <c:v>15.012552643632169</c:v>
                </c:pt>
                <c:pt idx="896">
                  <c:v>14.968630491676629</c:v>
                </c:pt>
                <c:pt idx="897">
                  <c:v>15.3304053485887</c:v>
                </c:pt>
                <c:pt idx="898">
                  <c:v>14.60465799910491</c:v>
                </c:pt>
                <c:pt idx="899">
                  <c:v>14.61047439228402</c:v>
                </c:pt>
                <c:pt idx="900">
                  <c:v>14.296862251948999</c:v>
                </c:pt>
                <c:pt idx="901">
                  <c:v>13.64521926837268</c:v>
                </c:pt>
                <c:pt idx="902">
                  <c:v>14.1681366241821</c:v>
                </c:pt>
                <c:pt idx="903">
                  <c:v>13.61882318312877</c:v>
                </c:pt>
                <c:pt idx="904">
                  <c:v>13.3804637200135</c:v>
                </c:pt>
                <c:pt idx="905">
                  <c:v>13.40997198741937</c:v>
                </c:pt>
                <c:pt idx="906">
                  <c:v>12.777790623829871</c:v>
                </c:pt>
                <c:pt idx="907">
                  <c:v>12.217338236978719</c:v>
                </c:pt>
                <c:pt idx="908">
                  <c:v>12.402768819654341</c:v>
                </c:pt>
                <c:pt idx="909">
                  <c:v>12.26618119177877</c:v>
                </c:pt>
                <c:pt idx="910">
                  <c:v>12.505773166467881</c:v>
                </c:pt>
                <c:pt idx="911">
                  <c:v>12.167795947014319</c:v>
                </c:pt>
                <c:pt idx="912">
                  <c:v>14.15757713009708</c:v>
                </c:pt>
                <c:pt idx="913">
                  <c:v>13.48336021982267</c:v>
                </c:pt>
                <c:pt idx="914">
                  <c:v>14.23941476487264</c:v>
                </c:pt>
                <c:pt idx="915">
                  <c:v>15.73318082973651</c:v>
                </c:pt>
                <c:pt idx="916">
                  <c:v>16.175164566097909</c:v>
                </c:pt>
                <c:pt idx="917">
                  <c:v>15.619812466311791</c:v>
                </c:pt>
                <c:pt idx="918">
                  <c:v>13.98576249074315</c:v>
                </c:pt>
                <c:pt idx="919">
                  <c:v>13.690710982138549</c:v>
                </c:pt>
                <c:pt idx="920">
                  <c:v>13.309050056262491</c:v>
                </c:pt>
                <c:pt idx="921">
                  <c:v>13.467690069846901</c:v>
                </c:pt>
                <c:pt idx="922">
                  <c:v>13.787716894155441</c:v>
                </c:pt>
                <c:pt idx="923">
                  <c:v>14.779218177020629</c:v>
                </c:pt>
                <c:pt idx="924">
                  <c:v>15.28676204437097</c:v>
                </c:pt>
                <c:pt idx="925">
                  <c:v>15.713852159121579</c:v>
                </c:pt>
                <c:pt idx="926">
                  <c:v>15.213415176279691</c:v>
                </c:pt>
                <c:pt idx="927">
                  <c:v>15.87353552905201</c:v>
                </c:pt>
                <c:pt idx="928">
                  <c:v>16.084274915658689</c:v>
                </c:pt>
                <c:pt idx="929">
                  <c:v>16.29081756985893</c:v>
                </c:pt>
                <c:pt idx="930">
                  <c:v>15.553686627238401</c:v>
                </c:pt>
                <c:pt idx="931">
                  <c:v>15.1168980041178</c:v>
                </c:pt>
                <c:pt idx="932">
                  <c:v>15.26930166106464</c:v>
                </c:pt>
                <c:pt idx="933">
                  <c:v>14.39783809084752</c:v>
                </c:pt>
                <c:pt idx="934">
                  <c:v>17.093681824126811</c:v>
                </c:pt>
                <c:pt idx="935">
                  <c:v>16.228204597503851</c:v>
                </c:pt>
                <c:pt idx="936">
                  <c:v>15.42851178688583</c:v>
                </c:pt>
                <c:pt idx="937">
                  <c:v>15.383152152124209</c:v>
                </c:pt>
                <c:pt idx="938">
                  <c:v>17.47705095287283</c:v>
                </c:pt>
                <c:pt idx="939">
                  <c:v>16.444064013127988</c:v>
                </c:pt>
                <c:pt idx="940">
                  <c:v>18.12231996360584</c:v>
                </c:pt>
                <c:pt idx="941">
                  <c:v>23.46748708613433</c:v>
                </c:pt>
                <c:pt idx="942">
                  <c:v>20.81913497331513</c:v>
                </c:pt>
                <c:pt idx="943">
                  <c:v>20.96325435529312</c:v>
                </c:pt>
                <c:pt idx="944">
                  <c:v>22.28626674953928</c:v>
                </c:pt>
                <c:pt idx="945">
                  <c:v>21.89125379989882</c:v>
                </c:pt>
                <c:pt idx="946">
                  <c:v>20.12140385764803</c:v>
                </c:pt>
                <c:pt idx="947">
                  <c:v>19.293128572162619</c:v>
                </c:pt>
                <c:pt idx="948">
                  <c:v>19.759909819560999</c:v>
                </c:pt>
                <c:pt idx="949">
                  <c:v>18.84811417105167</c:v>
                </c:pt>
                <c:pt idx="950">
                  <c:v>18.969655936014689</c:v>
                </c:pt>
                <c:pt idx="951">
                  <c:v>19.147464533817619</c:v>
                </c:pt>
                <c:pt idx="952">
                  <c:v>21.053787376580988</c:v>
                </c:pt>
                <c:pt idx="953">
                  <c:v>20.934443355448568</c:v>
                </c:pt>
                <c:pt idx="954">
                  <c:v>21.879523799480928</c:v>
                </c:pt>
                <c:pt idx="955">
                  <c:v>22.84136271331236</c:v>
                </c:pt>
                <c:pt idx="956">
                  <c:v>23.2367796093944</c:v>
                </c:pt>
                <c:pt idx="957">
                  <c:v>23.911178932705958</c:v>
                </c:pt>
                <c:pt idx="958">
                  <c:v>20.500689451399712</c:v>
                </c:pt>
                <c:pt idx="959">
                  <c:v>23.723325696142709</c:v>
                </c:pt>
                <c:pt idx="960">
                  <c:v>21.19368619871813</c:v>
                </c:pt>
                <c:pt idx="961">
                  <c:v>20.82013503437928</c:v>
                </c:pt>
                <c:pt idx="962">
                  <c:v>20.847063653629441</c:v>
                </c:pt>
                <c:pt idx="963">
                  <c:v>21.566603613130908</c:v>
                </c:pt>
                <c:pt idx="964">
                  <c:v>22.904970907702261</c:v>
                </c:pt>
                <c:pt idx="965">
                  <c:v>28.050362107108551</c:v>
                </c:pt>
                <c:pt idx="966">
                  <c:v>27.54934920616417</c:v>
                </c:pt>
                <c:pt idx="967">
                  <c:v>27.42370110329237</c:v>
                </c:pt>
                <c:pt idx="968">
                  <c:v>29.842855363813332</c:v>
                </c:pt>
                <c:pt idx="969">
                  <c:v>34.890097345295253</c:v>
                </c:pt>
                <c:pt idx="970">
                  <c:v>34.657275621113612</c:v>
                </c:pt>
                <c:pt idx="971">
                  <c:v>37.890422740133907</c:v>
                </c:pt>
                <c:pt idx="972">
                  <c:v>33.4228421529454</c:v>
                </c:pt>
                <c:pt idx="973">
                  <c:v>36.815106652815707</c:v>
                </c:pt>
                <c:pt idx="974">
                  <c:v>34.45232808284203</c:v>
                </c:pt>
                <c:pt idx="975">
                  <c:v>35.999581491625108</c:v>
                </c:pt>
                <c:pt idx="976">
                  <c:v>34.331021646380101</c:v>
                </c:pt>
                <c:pt idx="977">
                  <c:v>33.639737489314278</c:v>
                </c:pt>
                <c:pt idx="978">
                  <c:v>32.535653350054467</c:v>
                </c:pt>
                <c:pt idx="979">
                  <c:v>32.66489034274769</c:v>
                </c:pt>
                <c:pt idx="980">
                  <c:v>31.592197597708179</c:v>
                </c:pt>
                <c:pt idx="981">
                  <c:v>29.358995963210621</c:v>
                </c:pt>
                <c:pt idx="982">
                  <c:v>27.628247341225102</c:v>
                </c:pt>
                <c:pt idx="983">
                  <c:v>26.453036773998839</c:v>
                </c:pt>
                <c:pt idx="984">
                  <c:v>27.35363249138128</c:v>
                </c:pt>
                <c:pt idx="985">
                  <c:v>25.04955589099826</c:v>
                </c:pt>
                <c:pt idx="986">
                  <c:v>23.846321948034529</c:v>
                </c:pt>
                <c:pt idx="987">
                  <c:v>22.693537760810418</c:v>
                </c:pt>
                <c:pt idx="988">
                  <c:v>21.92953792233558</c:v>
                </c:pt>
                <c:pt idx="989">
                  <c:v>20.456070341696751</c:v>
                </c:pt>
                <c:pt idx="990">
                  <c:v>19.705062881310418</c:v>
                </c:pt>
                <c:pt idx="991">
                  <c:v>23.88126764209013</c:v>
                </c:pt>
                <c:pt idx="992">
                  <c:v>23.265976882041539</c:v>
                </c:pt>
                <c:pt idx="993">
                  <c:v>22.977299965565471</c:v>
                </c:pt>
                <c:pt idx="994">
                  <c:v>22.65881803910392</c:v>
                </c:pt>
                <c:pt idx="995">
                  <c:v>22.341385140423</c:v>
                </c:pt>
                <c:pt idx="996">
                  <c:v>21.711836293870739</c:v>
                </c:pt>
                <c:pt idx="997">
                  <c:v>20.629095086001389</c:v>
                </c:pt>
                <c:pt idx="998">
                  <c:v>19.957000196329961</c:v>
                </c:pt>
                <c:pt idx="999">
                  <c:v>18.427004454576299</c:v>
                </c:pt>
                <c:pt idx="1000">
                  <c:v>18.49277438382941</c:v>
                </c:pt>
                <c:pt idx="1001">
                  <c:v>19.320800739443719</c:v>
                </c:pt>
                <c:pt idx="1002">
                  <c:v>21.412309155716859</c:v>
                </c:pt>
                <c:pt idx="1003">
                  <c:v>20.61595387727569</c:v>
                </c:pt>
                <c:pt idx="1004">
                  <c:v>19.542764711700048</c:v>
                </c:pt>
                <c:pt idx="1005">
                  <c:v>18.635906559774138</c:v>
                </c:pt>
                <c:pt idx="1006">
                  <c:v>18.96421893750453</c:v>
                </c:pt>
                <c:pt idx="1007">
                  <c:v>19.14020156701325</c:v>
                </c:pt>
                <c:pt idx="1008">
                  <c:v>18.960344231355801</c:v>
                </c:pt>
                <c:pt idx="1009">
                  <c:v>19.089858638760951</c:v>
                </c:pt>
                <c:pt idx="1010">
                  <c:v>18.55812948342723</c:v>
                </c:pt>
                <c:pt idx="1011">
                  <c:v>18.224408774927031</c:v>
                </c:pt>
                <c:pt idx="1012">
                  <c:v>17.408808746136149</c:v>
                </c:pt>
                <c:pt idx="1013">
                  <c:v>18.889600502137359</c:v>
                </c:pt>
                <c:pt idx="1014">
                  <c:v>19.74201202079507</c:v>
                </c:pt>
                <c:pt idx="1015">
                  <c:v>22.673923582816052</c:v>
                </c:pt>
                <c:pt idx="1016">
                  <c:v>19.239370494174331</c:v>
                </c:pt>
                <c:pt idx="1017">
                  <c:v>18.588411759069619</c:v>
                </c:pt>
                <c:pt idx="1018">
                  <c:v>19.509392275931251</c:v>
                </c:pt>
                <c:pt idx="1019">
                  <c:v>19.149000811980251</c:v>
                </c:pt>
                <c:pt idx="1020">
                  <c:v>19.408546262760989</c:v>
                </c:pt>
                <c:pt idx="1021">
                  <c:v>17.265230200435791</c:v>
                </c:pt>
                <c:pt idx="1022">
                  <c:v>17.357714047713142</c:v>
                </c:pt>
                <c:pt idx="1023">
                  <c:v>17.928852217298651</c:v>
                </c:pt>
                <c:pt idx="1024">
                  <c:v>18.110168256284311</c:v>
                </c:pt>
                <c:pt idx="1025">
                  <c:v>17.35594902982006</c:v>
                </c:pt>
                <c:pt idx="1026">
                  <c:v>17.351620997381911</c:v>
                </c:pt>
                <c:pt idx="1027">
                  <c:v>17.599597508964202</c:v>
                </c:pt>
                <c:pt idx="1028">
                  <c:v>17.812012828074071</c:v>
                </c:pt>
                <c:pt idx="1029">
                  <c:v>18.34121906360992</c:v>
                </c:pt>
                <c:pt idx="1030">
                  <c:v>17.907873791639659</c:v>
                </c:pt>
                <c:pt idx="1031">
                  <c:v>19.262135770343569</c:v>
                </c:pt>
                <c:pt idx="1032">
                  <c:v>17.50502484068738</c:v>
                </c:pt>
                <c:pt idx="1033">
                  <c:v>19.241955128093871</c:v>
                </c:pt>
                <c:pt idx="1034">
                  <c:v>19.24333046000438</c:v>
                </c:pt>
                <c:pt idx="1035">
                  <c:v>19.367343412350639</c:v>
                </c:pt>
                <c:pt idx="1036">
                  <c:v>19.74235500738687</c:v>
                </c:pt>
                <c:pt idx="1037">
                  <c:v>20.12905335597582</c:v>
                </c:pt>
                <c:pt idx="1038">
                  <c:v>19.821433866219749</c:v>
                </c:pt>
                <c:pt idx="1039">
                  <c:v>18.406287869083499</c:v>
                </c:pt>
                <c:pt idx="1040">
                  <c:v>17.53660410449486</c:v>
                </c:pt>
                <c:pt idx="1041">
                  <c:v>18.492339084293381</c:v>
                </c:pt>
                <c:pt idx="1042">
                  <c:v>22.216094066840309</c:v>
                </c:pt>
                <c:pt idx="1043">
                  <c:v>24.20248777916127</c:v>
                </c:pt>
                <c:pt idx="1044">
                  <c:v>32.575674321626579</c:v>
                </c:pt>
                <c:pt idx="1045">
                  <c:v>31.955067069885839</c:v>
                </c:pt>
                <c:pt idx="1046">
                  <c:v>33.007560651660199</c:v>
                </c:pt>
                <c:pt idx="1047">
                  <c:v>33.067158790329763</c:v>
                </c:pt>
                <c:pt idx="1048">
                  <c:v>32.054063608065299</c:v>
                </c:pt>
                <c:pt idx="1049">
                  <c:v>29.100192613700742</c:v>
                </c:pt>
                <c:pt idx="1050">
                  <c:v>29.19495068695473</c:v>
                </c:pt>
                <c:pt idx="1051">
                  <c:v>34.675337518912229</c:v>
                </c:pt>
                <c:pt idx="1052">
                  <c:v>36.874447139525479</c:v>
                </c:pt>
                <c:pt idx="1053">
                  <c:v>31.950037661262741</c:v>
                </c:pt>
                <c:pt idx="1054">
                  <c:v>31.208939328693539</c:v>
                </c:pt>
                <c:pt idx="1055">
                  <c:v>29.36115938758487</c:v>
                </c:pt>
                <c:pt idx="1056">
                  <c:v>28.707710923336379</c:v>
                </c:pt>
                <c:pt idx="1057">
                  <c:v>29.32573161365378</c:v>
                </c:pt>
                <c:pt idx="1058">
                  <c:v>32.026558018148549</c:v>
                </c:pt>
                <c:pt idx="1059">
                  <c:v>29.217757537932371</c:v>
                </c:pt>
                <c:pt idx="1060">
                  <c:v>28.67054452424669</c:v>
                </c:pt>
                <c:pt idx="1061">
                  <c:v>29.207883938511021</c:v>
                </c:pt>
                <c:pt idx="1062">
                  <c:v>29.39743408605262</c:v>
                </c:pt>
                <c:pt idx="1063">
                  <c:v>30.44637243115816</c:v>
                </c:pt>
                <c:pt idx="1064">
                  <c:v>31.361535639641509</c:v>
                </c:pt>
                <c:pt idx="1065">
                  <c:v>30.930921061166899</c:v>
                </c:pt>
                <c:pt idx="1066">
                  <c:v>31.027813237001929</c:v>
                </c:pt>
                <c:pt idx="1067">
                  <c:v>31.153387734884351</c:v>
                </c:pt>
                <c:pt idx="1068">
                  <c:v>30.321429448787381</c:v>
                </c:pt>
                <c:pt idx="1069">
                  <c:v>30.31127959436693</c:v>
                </c:pt>
                <c:pt idx="1070">
                  <c:v>29.357079437008409</c:v>
                </c:pt>
                <c:pt idx="1071">
                  <c:v>28.993471655073009</c:v>
                </c:pt>
                <c:pt idx="1072">
                  <c:v>28.524625856667789</c:v>
                </c:pt>
                <c:pt idx="1073">
                  <c:v>27.903451340814541</c:v>
                </c:pt>
                <c:pt idx="1074">
                  <c:v>30.740652026772249</c:v>
                </c:pt>
                <c:pt idx="1075">
                  <c:v>30.451447740425781</c:v>
                </c:pt>
                <c:pt idx="1076">
                  <c:v>31.78520312720358</c:v>
                </c:pt>
                <c:pt idx="1077">
                  <c:v>30.70781367897154</c:v>
                </c:pt>
                <c:pt idx="1078">
                  <c:v>30.120294152285538</c:v>
                </c:pt>
                <c:pt idx="1079">
                  <c:v>27.900487215006571</c:v>
                </c:pt>
                <c:pt idx="1080">
                  <c:v>27.27812816770416</c:v>
                </c:pt>
                <c:pt idx="1081">
                  <c:v>28.27729594331225</c:v>
                </c:pt>
                <c:pt idx="1082">
                  <c:v>26.13749480178636</c:v>
                </c:pt>
                <c:pt idx="1083">
                  <c:v>26.58042458279774</c:v>
                </c:pt>
                <c:pt idx="1084">
                  <c:v>26.286731019330119</c:v>
                </c:pt>
                <c:pt idx="1085">
                  <c:v>26.179275826559891</c:v>
                </c:pt>
                <c:pt idx="1086">
                  <c:v>26.616189754321528</c:v>
                </c:pt>
                <c:pt idx="1087">
                  <c:v>26.708026147688742</c:v>
                </c:pt>
                <c:pt idx="1088">
                  <c:v>26.571577977295512</c:v>
                </c:pt>
                <c:pt idx="1089">
                  <c:v>26.90666241482057</c:v>
                </c:pt>
                <c:pt idx="1090">
                  <c:v>26.27400425823518</c:v>
                </c:pt>
                <c:pt idx="1091">
                  <c:v>27.04889536677468</c:v>
                </c:pt>
                <c:pt idx="1092">
                  <c:v>25.34117721449897</c:v>
                </c:pt>
                <c:pt idx="1093">
                  <c:v>24.159201561548631</c:v>
                </c:pt>
                <c:pt idx="1094">
                  <c:v>22.87442436281346</c:v>
                </c:pt>
                <c:pt idx="1095">
                  <c:v>22.40037266147694</c:v>
                </c:pt>
                <c:pt idx="1096">
                  <c:v>25.611960430009329</c:v>
                </c:pt>
                <c:pt idx="1097">
                  <c:v>25.36010735824307</c:v>
                </c:pt>
                <c:pt idx="1098">
                  <c:v>26.51253328673835</c:v>
                </c:pt>
                <c:pt idx="1099">
                  <c:v>25.968085523333521</c:v>
                </c:pt>
                <c:pt idx="1100">
                  <c:v>25.88212199978793</c:v>
                </c:pt>
                <c:pt idx="1101">
                  <c:v>24.85117731728953</c:v>
                </c:pt>
                <c:pt idx="1102">
                  <c:v>25.7302305642189</c:v>
                </c:pt>
                <c:pt idx="1103">
                  <c:v>25.72538699344161</c:v>
                </c:pt>
                <c:pt idx="1104">
                  <c:v>25.80557416762425</c:v>
                </c:pt>
                <c:pt idx="1105">
                  <c:v>26.955455258500638</c:v>
                </c:pt>
                <c:pt idx="1106">
                  <c:v>27.50452734421696</c:v>
                </c:pt>
                <c:pt idx="1107">
                  <c:v>22.448810530326</c:v>
                </c:pt>
                <c:pt idx="1108">
                  <c:v>24.223265402418519</c:v>
                </c:pt>
                <c:pt idx="1109">
                  <c:v>24.08230760813775</c:v>
                </c:pt>
                <c:pt idx="1110">
                  <c:v>23.343479712151211</c:v>
                </c:pt>
                <c:pt idx="1111">
                  <c:v>23.836209258322121</c:v>
                </c:pt>
                <c:pt idx="1112">
                  <c:v>23.67294744296585</c:v>
                </c:pt>
                <c:pt idx="1113">
                  <c:v>22.843606726403909</c:v>
                </c:pt>
                <c:pt idx="1114">
                  <c:v>22.211776073212281</c:v>
                </c:pt>
                <c:pt idx="1115">
                  <c:v>24.20937019084268</c:v>
                </c:pt>
                <c:pt idx="1116">
                  <c:v>24.042301747667508</c:v>
                </c:pt>
                <c:pt idx="1117">
                  <c:v>24.115991682105282</c:v>
                </c:pt>
                <c:pt idx="1118">
                  <c:v>23.010969337976078</c:v>
                </c:pt>
                <c:pt idx="1119">
                  <c:v>23.23959377255013</c:v>
                </c:pt>
                <c:pt idx="1120">
                  <c:v>22.816553803467599</c:v>
                </c:pt>
                <c:pt idx="1121">
                  <c:v>22.59913727981569</c:v>
                </c:pt>
                <c:pt idx="1122">
                  <c:v>23.491191956302512</c:v>
                </c:pt>
                <c:pt idx="1123">
                  <c:v>24.294368086822821</c:v>
                </c:pt>
                <c:pt idx="1124">
                  <c:v>24.24986783805851</c:v>
                </c:pt>
                <c:pt idx="1125">
                  <c:v>22.69653896811424</c:v>
                </c:pt>
                <c:pt idx="1126">
                  <c:v>22.143404903181811</c:v>
                </c:pt>
                <c:pt idx="1127">
                  <c:v>21.76197739559035</c:v>
                </c:pt>
                <c:pt idx="1128">
                  <c:v>22.890944658916059</c:v>
                </c:pt>
                <c:pt idx="1129">
                  <c:v>22.733896506882878</c:v>
                </c:pt>
                <c:pt idx="1130">
                  <c:v>22.200075173204048</c:v>
                </c:pt>
                <c:pt idx="1131">
                  <c:v>21.729731419418631</c:v>
                </c:pt>
                <c:pt idx="1132">
                  <c:v>21.04418744786296</c:v>
                </c:pt>
                <c:pt idx="1133">
                  <c:v>20.99726068378467</c:v>
                </c:pt>
                <c:pt idx="1134">
                  <c:v>20.70021152363557</c:v>
                </c:pt>
                <c:pt idx="1135">
                  <c:v>23.01364508333587</c:v>
                </c:pt>
                <c:pt idx="1136">
                  <c:v>23.013309759800709</c:v>
                </c:pt>
                <c:pt idx="1137">
                  <c:v>21.665708896591209</c:v>
                </c:pt>
                <c:pt idx="1138">
                  <c:v>21.955319254261649</c:v>
                </c:pt>
                <c:pt idx="1139">
                  <c:v>21.162240647671581</c:v>
                </c:pt>
                <c:pt idx="1140">
                  <c:v>20.808332248803321</c:v>
                </c:pt>
                <c:pt idx="1141">
                  <c:v>19.662028000966991</c:v>
                </c:pt>
                <c:pt idx="1142">
                  <c:v>20.367125485230272</c:v>
                </c:pt>
                <c:pt idx="1143">
                  <c:v>20.542446002447271</c:v>
                </c:pt>
                <c:pt idx="1144">
                  <c:v>22.931993463092589</c:v>
                </c:pt>
                <c:pt idx="1145">
                  <c:v>23.62676367810008</c:v>
                </c:pt>
                <c:pt idx="1146">
                  <c:v>23.363193494906049</c:v>
                </c:pt>
                <c:pt idx="1147">
                  <c:v>22.5247411698791</c:v>
                </c:pt>
                <c:pt idx="1148">
                  <c:v>21.36058090433168</c:v>
                </c:pt>
                <c:pt idx="1149">
                  <c:v>20.32594436376435</c:v>
                </c:pt>
                <c:pt idx="1150">
                  <c:v>19.651181031431779</c:v>
                </c:pt>
                <c:pt idx="1151">
                  <c:v>18.745733880843812</c:v>
                </c:pt>
                <c:pt idx="1152">
                  <c:v>19.27655676492175</c:v>
                </c:pt>
                <c:pt idx="1153">
                  <c:v>18.516943193677179</c:v>
                </c:pt>
                <c:pt idx="1154">
                  <c:v>18.472803111500919</c:v>
                </c:pt>
                <c:pt idx="1155">
                  <c:v>21.936201923851652</c:v>
                </c:pt>
                <c:pt idx="1156">
                  <c:v>22.066231245114121</c:v>
                </c:pt>
                <c:pt idx="1157">
                  <c:v>21.147334735799529</c:v>
                </c:pt>
                <c:pt idx="1158">
                  <c:v>21.629198359418329</c:v>
                </c:pt>
                <c:pt idx="1159">
                  <c:v>21.057410122506329</c:v>
                </c:pt>
                <c:pt idx="1160">
                  <c:v>20.648635938159831</c:v>
                </c:pt>
                <c:pt idx="1161">
                  <c:v>19.488301655812979</c:v>
                </c:pt>
                <c:pt idx="1162">
                  <c:v>18.999229746116011</c:v>
                </c:pt>
                <c:pt idx="1163">
                  <c:v>18.502444072094718</c:v>
                </c:pt>
                <c:pt idx="1164">
                  <c:v>18.928182366355099</c:v>
                </c:pt>
                <c:pt idx="1165">
                  <c:v>18.982090066192661</c:v>
                </c:pt>
                <c:pt idx="1166">
                  <c:v>20.058617303667379</c:v>
                </c:pt>
                <c:pt idx="1167">
                  <c:v>20.685229928695861</c:v>
                </c:pt>
                <c:pt idx="1168">
                  <c:v>20.650444476174801</c:v>
                </c:pt>
                <c:pt idx="1169">
                  <c:v>22.26722376161759</c:v>
                </c:pt>
                <c:pt idx="1170">
                  <c:v>25.348979233660181</c:v>
                </c:pt>
                <c:pt idx="1171">
                  <c:v>25.444737930772831</c:v>
                </c:pt>
                <c:pt idx="1172">
                  <c:v>23.173195746605519</c:v>
                </c:pt>
                <c:pt idx="1173">
                  <c:v>24.478496626594641</c:v>
                </c:pt>
                <c:pt idx="1174">
                  <c:v>24.222310673292519</c:v>
                </c:pt>
                <c:pt idx="1175">
                  <c:v>23.86651353503829</c:v>
                </c:pt>
                <c:pt idx="1176">
                  <c:v>22.066867438759171</c:v>
                </c:pt>
                <c:pt idx="1177">
                  <c:v>22.424011969394801</c:v>
                </c:pt>
                <c:pt idx="1178">
                  <c:v>22.602378128992129</c:v>
                </c:pt>
                <c:pt idx="1179">
                  <c:v>24.315748142359329</c:v>
                </c:pt>
                <c:pt idx="1180">
                  <c:v>25.023125671361861</c:v>
                </c:pt>
                <c:pt idx="1181">
                  <c:v>23.57170316946706</c:v>
                </c:pt>
                <c:pt idx="1182">
                  <c:v>23.281271184680548</c:v>
                </c:pt>
                <c:pt idx="1183">
                  <c:v>23.132794369580161</c:v>
                </c:pt>
                <c:pt idx="1184">
                  <c:v>22.655763243320461</c:v>
                </c:pt>
                <c:pt idx="1185">
                  <c:v>24.169812546479079</c:v>
                </c:pt>
                <c:pt idx="1186">
                  <c:v>24.335989680997351</c:v>
                </c:pt>
                <c:pt idx="1187">
                  <c:v>24.725508378653711</c:v>
                </c:pt>
                <c:pt idx="1188">
                  <c:v>22.968525066565441</c:v>
                </c:pt>
                <c:pt idx="1189">
                  <c:v>21.762769003877221</c:v>
                </c:pt>
                <c:pt idx="1190">
                  <c:v>22.766712511619019</c:v>
                </c:pt>
                <c:pt idx="1191">
                  <c:v>23.171358481258579</c:v>
                </c:pt>
                <c:pt idx="1192">
                  <c:v>23.52029461237354</c:v>
                </c:pt>
                <c:pt idx="1193">
                  <c:v>23.057626445521691</c:v>
                </c:pt>
                <c:pt idx="1194">
                  <c:v>24.396456765330541</c:v>
                </c:pt>
                <c:pt idx="1195">
                  <c:v>25.60228567248895</c:v>
                </c:pt>
                <c:pt idx="1196">
                  <c:v>23.021000212743761</c:v>
                </c:pt>
                <c:pt idx="1197">
                  <c:v>24.210386103705201</c:v>
                </c:pt>
                <c:pt idx="1198">
                  <c:v>23.640427781164981</c:v>
                </c:pt>
                <c:pt idx="1199">
                  <c:v>24.4282646352241</c:v>
                </c:pt>
                <c:pt idx="1200">
                  <c:v>22.874318378082481</c:v>
                </c:pt>
                <c:pt idx="1201">
                  <c:v>25.514235865035921</c:v>
                </c:pt>
                <c:pt idx="1202">
                  <c:v>23.93102283026623</c:v>
                </c:pt>
                <c:pt idx="1203">
                  <c:v>23.296438034922041</c:v>
                </c:pt>
                <c:pt idx="1204">
                  <c:v>23.066535716829861</c:v>
                </c:pt>
                <c:pt idx="1205">
                  <c:v>24.848792204272218</c:v>
                </c:pt>
                <c:pt idx="1206">
                  <c:v>25.530733253704</c:v>
                </c:pt>
                <c:pt idx="1207">
                  <c:v>26.898482880295479</c:v>
                </c:pt>
                <c:pt idx="1208">
                  <c:v>26.60898381298281</c:v>
                </c:pt>
                <c:pt idx="1209">
                  <c:v>25.89729164538323</c:v>
                </c:pt>
                <c:pt idx="1210">
                  <c:v>23.928591087497789</c:v>
                </c:pt>
                <c:pt idx="1211">
                  <c:v>22.51372926537265</c:v>
                </c:pt>
                <c:pt idx="1212">
                  <c:v>23.263067875938681</c:v>
                </c:pt>
                <c:pt idx="1213">
                  <c:v>22.553518574821261</c:v>
                </c:pt>
                <c:pt idx="1214">
                  <c:v>22.705731859037751</c:v>
                </c:pt>
                <c:pt idx="1215">
                  <c:v>22.409108911458318</c:v>
                </c:pt>
                <c:pt idx="1216">
                  <c:v>22.896828546969839</c:v>
                </c:pt>
                <c:pt idx="1217">
                  <c:v>22.196230849567758</c:v>
                </c:pt>
                <c:pt idx="1218">
                  <c:v>21.418161154056591</c:v>
                </c:pt>
                <c:pt idx="1219">
                  <c:v>21.919388496859721</c:v>
                </c:pt>
                <c:pt idx="1220">
                  <c:v>21.053955795155449</c:v>
                </c:pt>
                <c:pt idx="1221">
                  <c:v>20.073666932167249</c:v>
                </c:pt>
                <c:pt idx="1222">
                  <c:v>20.10056023662268</c:v>
                </c:pt>
                <c:pt idx="1223">
                  <c:v>20.110953604336689</c:v>
                </c:pt>
                <c:pt idx="1224">
                  <c:v>19.782802238224779</c:v>
                </c:pt>
                <c:pt idx="1225">
                  <c:v>19.0985885190026</c:v>
                </c:pt>
                <c:pt idx="1226">
                  <c:v>19.254528236100299</c:v>
                </c:pt>
                <c:pt idx="1227">
                  <c:v>19.541616169395802</c:v>
                </c:pt>
                <c:pt idx="1228">
                  <c:v>18.8560259805501</c:v>
                </c:pt>
                <c:pt idx="1229">
                  <c:v>18.519972989896701</c:v>
                </c:pt>
                <c:pt idx="1230">
                  <c:v>18.369609752478102</c:v>
                </c:pt>
                <c:pt idx="1231">
                  <c:v>19.2861370906909</c:v>
                </c:pt>
                <c:pt idx="1232">
                  <c:v>19.249168587194099</c:v>
                </c:pt>
                <c:pt idx="1233">
                  <c:v>19.1263844971987</c:v>
                </c:pt>
                <c:pt idx="1234">
                  <c:v>19.241129277799701</c:v>
                </c:pt>
                <c:pt idx="1235">
                  <c:v>18.982789172103999</c:v>
                </c:pt>
                <c:pt idx="1236">
                  <c:v>19.463454983592001</c:v>
                </c:pt>
                <c:pt idx="1237">
                  <c:v>19.516767170036498</c:v>
                </c:pt>
                <c:pt idx="1238">
                  <c:v>19.710788019121502</c:v>
                </c:pt>
                <c:pt idx="1239">
                  <c:v>19.6614818068186</c:v>
                </c:pt>
                <c:pt idx="1240">
                  <c:v>19.723629414016798</c:v>
                </c:pt>
                <c:pt idx="1241">
                  <c:v>20.418153580558499</c:v>
                </c:pt>
                <c:pt idx="1242">
                  <c:v>20.140797176437399</c:v>
                </c:pt>
                <c:pt idx="1243">
                  <c:v>19.7960579140045</c:v>
                </c:pt>
                <c:pt idx="1244">
                  <c:v>19.6729289455483</c:v>
                </c:pt>
                <c:pt idx="1245">
                  <c:v>19.4029029211592</c:v>
                </c:pt>
                <c:pt idx="1246">
                  <c:v>19.3353370280783</c:v>
                </c:pt>
                <c:pt idx="1247">
                  <c:v>19.108709186548801</c:v>
                </c:pt>
                <c:pt idx="1248">
                  <c:v>18.984888574459301</c:v>
                </c:pt>
                <c:pt idx="1249">
                  <c:v>19.279681313207</c:v>
                </c:pt>
                <c:pt idx="1250">
                  <c:v>19.509179112931299</c:v>
                </c:pt>
                <c:pt idx="1251">
                  <c:v>19.568608095217499</c:v>
                </c:pt>
                <c:pt idx="1252">
                  <c:v>19.884486882808002</c:v>
                </c:pt>
                <c:pt idx="1253">
                  <c:v>20.682117784035899</c:v>
                </c:pt>
                <c:pt idx="1254">
                  <c:v>20.314985844720098</c:v>
                </c:pt>
                <c:pt idx="1255">
                  <c:v>19.6770649634527</c:v>
                </c:pt>
                <c:pt idx="1256">
                  <c:v>19.700618659312799</c:v>
                </c:pt>
                <c:pt idx="1257">
                  <c:v>19.362154389917901</c:v>
                </c:pt>
                <c:pt idx="1258">
                  <c:v>19.3945625848168</c:v>
                </c:pt>
                <c:pt idx="1259">
                  <c:v>21.461416619329501</c:v>
                </c:pt>
                <c:pt idx="1260">
                  <c:v>21.4593750764361</c:v>
                </c:pt>
                <c:pt idx="1261">
                  <c:v>22.429264558678799</c:v>
                </c:pt>
                <c:pt idx="1262">
                  <c:v>22.237297694747902</c:v>
                </c:pt>
                <c:pt idx="1263">
                  <c:v>22.711806223875701</c:v>
                </c:pt>
                <c:pt idx="1264">
                  <c:v>22.485273177537501</c:v>
                </c:pt>
                <c:pt idx="1265">
                  <c:v>21.090286645155601</c:v>
                </c:pt>
                <c:pt idx="1266">
                  <c:v>20.303541387193199</c:v>
                </c:pt>
                <c:pt idx="1267">
                  <c:v>20.4666693822846</c:v>
                </c:pt>
                <c:pt idx="1268">
                  <c:v>21.034771583852699</c:v>
                </c:pt>
                <c:pt idx="1269">
                  <c:v>21.587619164049599</c:v>
                </c:pt>
                <c:pt idx="1270">
                  <c:v>20.738145468969801</c:v>
                </c:pt>
                <c:pt idx="1271">
                  <c:v>19.958929167005302</c:v>
                </c:pt>
                <c:pt idx="1272">
                  <c:v>20.1176493404718</c:v>
                </c:pt>
                <c:pt idx="1273">
                  <c:v>19.785313789097501</c:v>
                </c:pt>
                <c:pt idx="1274">
                  <c:v>20.6380519593903</c:v>
                </c:pt>
                <c:pt idx="1275">
                  <c:v>19.709083858158898</c:v>
                </c:pt>
                <c:pt idx="1276">
                  <c:v>19.774456442504299</c:v>
                </c:pt>
                <c:pt idx="1277">
                  <c:v>20.206151972951002</c:v>
                </c:pt>
                <c:pt idx="1278">
                  <c:v>19.827868546044002</c:v>
                </c:pt>
                <c:pt idx="1279">
                  <c:v>18.505869941709001</c:v>
                </c:pt>
                <c:pt idx="1280">
                  <c:v>17.760250362744099</c:v>
                </c:pt>
                <c:pt idx="1281">
                  <c:v>18.0153367486806</c:v>
                </c:pt>
                <c:pt idx="1282">
                  <c:v>18.315187162158601</c:v>
                </c:pt>
                <c:pt idx="1283">
                  <c:v>18.095482984283201</c:v>
                </c:pt>
                <c:pt idx="1284">
                  <c:v>18.638391034542899</c:v>
                </c:pt>
                <c:pt idx="1285">
                  <c:v>18.280252046614098</c:v>
                </c:pt>
                <c:pt idx="1286">
                  <c:v>19.000400568913999</c:v>
                </c:pt>
                <c:pt idx="1287">
                  <c:v>18.2682685382422</c:v>
                </c:pt>
                <c:pt idx="1288">
                  <c:v>18.028050170034799</c:v>
                </c:pt>
                <c:pt idx="1289">
                  <c:v>17.609935980412899</c:v>
                </c:pt>
                <c:pt idx="1290">
                  <c:v>18.4559348069428</c:v>
                </c:pt>
                <c:pt idx="1291">
                  <c:v>18.4317206696123</c:v>
                </c:pt>
                <c:pt idx="1292">
                  <c:v>18.930513393282698</c:v>
                </c:pt>
                <c:pt idx="1293">
                  <c:v>18.6267314389898</c:v>
                </c:pt>
                <c:pt idx="1294">
                  <c:v>18.6819863067516</c:v>
                </c:pt>
                <c:pt idx="1295">
                  <c:v>18.306133667223001</c:v>
                </c:pt>
                <c:pt idx="1296">
                  <c:v>18.425162437045898</c:v>
                </c:pt>
                <c:pt idx="1297">
                  <c:v>18.562415167788501</c:v>
                </c:pt>
                <c:pt idx="1298">
                  <c:v>18.9429939248874</c:v>
                </c:pt>
                <c:pt idx="1299">
                  <c:v>18.299920771822801</c:v>
                </c:pt>
                <c:pt idx="1300">
                  <c:v>18.3039828601122</c:v>
                </c:pt>
                <c:pt idx="1301">
                  <c:v>18.2151972707324</c:v>
                </c:pt>
                <c:pt idx="1302">
                  <c:v>21.6863395233487</c:v>
                </c:pt>
                <c:pt idx="1303">
                  <c:v>23.619821012813901</c:v>
                </c:pt>
                <c:pt idx="1304">
                  <c:v>22.4118046313754</c:v>
                </c:pt>
                <c:pt idx="1305">
                  <c:v>20.807711535190599</c:v>
                </c:pt>
                <c:pt idx="1306">
                  <c:v>20.262283106611701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4D-42DF-89AE-B2AC05E3C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3967"/>
        <c:axId val="14084623"/>
      </c:lineChart>
      <c:dateAx>
        <c:axId val="14083967"/>
        <c:scaling>
          <c:orientation val="minMax"/>
          <c:min val="43831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84623"/>
        <c:crosses val="autoZero"/>
        <c:auto val="0"/>
        <c:lblOffset val="100"/>
        <c:baseTimeUnit val="days"/>
      </c:dateAx>
      <c:valAx>
        <c:axId val="1408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8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baseline="0">
                <a:effectLst/>
              </a:rPr>
              <a:t>波动率指数 </a:t>
            </a:r>
            <a:r>
              <a:rPr lang="en-US" altLang="zh-CN" sz="1400" b="0" i="0" u="none" strike="noStrike" baseline="0">
                <a:effectLst/>
              </a:rPr>
              <a:t>Vix </a:t>
            </a:r>
            <a:r>
              <a:rPr lang="zh-CN" altLang="en-US" sz="1400" b="0" i="0" u="none" strike="noStrike" baseline="0">
                <a:effectLst/>
              </a:rPr>
              <a:t>（</a:t>
            </a:r>
            <a:r>
              <a:rPr lang="en-US" altLang="zh-CN" sz="1400" b="0" i="0" u="none" strike="noStrike" baseline="0">
                <a:effectLst/>
              </a:rPr>
              <a:t>2020.07-2021.06</a:t>
            </a:r>
            <a:r>
              <a:rPr lang="zh-CN" altLang="en-US" sz="1400" b="0" i="0" u="none" strike="noStrike" baseline="0">
                <a:effectLst/>
              </a:rPr>
              <a:t>）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numRef>
              <c:f>[0]!Date</c:f>
              <c:numCache>
                <c:formatCode>yyyy\-mm\-dd\ hh:mm:ss</c:formatCode>
                <c:ptCount val="1307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42457</c:v>
                </c:pt>
                <c:pt idx="6">
                  <c:v>42458</c:v>
                </c:pt>
                <c:pt idx="7">
                  <c:v>42459</c:v>
                </c:pt>
                <c:pt idx="8">
                  <c:v>42460</c:v>
                </c:pt>
                <c:pt idx="9">
                  <c:v>42461</c:v>
                </c:pt>
                <c:pt idx="10">
                  <c:v>42465</c:v>
                </c:pt>
                <c:pt idx="11">
                  <c:v>42466</c:v>
                </c:pt>
                <c:pt idx="12">
                  <c:v>42467</c:v>
                </c:pt>
                <c:pt idx="13">
                  <c:v>42468</c:v>
                </c:pt>
                <c:pt idx="14">
                  <c:v>42471</c:v>
                </c:pt>
                <c:pt idx="15">
                  <c:v>42472</c:v>
                </c:pt>
                <c:pt idx="16">
                  <c:v>42473</c:v>
                </c:pt>
                <c:pt idx="17">
                  <c:v>42474</c:v>
                </c:pt>
                <c:pt idx="18">
                  <c:v>42475</c:v>
                </c:pt>
                <c:pt idx="19">
                  <c:v>42478</c:v>
                </c:pt>
                <c:pt idx="20">
                  <c:v>42479</c:v>
                </c:pt>
                <c:pt idx="21">
                  <c:v>42480</c:v>
                </c:pt>
                <c:pt idx="22">
                  <c:v>42481</c:v>
                </c:pt>
                <c:pt idx="23">
                  <c:v>42482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42493</c:v>
                </c:pt>
                <c:pt idx="30">
                  <c:v>42494</c:v>
                </c:pt>
                <c:pt idx="31">
                  <c:v>42495</c:v>
                </c:pt>
                <c:pt idx="32">
                  <c:v>42496</c:v>
                </c:pt>
                <c:pt idx="33">
                  <c:v>42499</c:v>
                </c:pt>
                <c:pt idx="34">
                  <c:v>42500</c:v>
                </c:pt>
                <c:pt idx="35">
                  <c:v>42501</c:v>
                </c:pt>
                <c:pt idx="36">
                  <c:v>42502</c:v>
                </c:pt>
                <c:pt idx="37">
                  <c:v>42503</c:v>
                </c:pt>
                <c:pt idx="38">
                  <c:v>42506</c:v>
                </c:pt>
                <c:pt idx="39">
                  <c:v>42507</c:v>
                </c:pt>
                <c:pt idx="40">
                  <c:v>42508</c:v>
                </c:pt>
                <c:pt idx="41">
                  <c:v>42509</c:v>
                </c:pt>
                <c:pt idx="42">
                  <c:v>42510</c:v>
                </c:pt>
                <c:pt idx="43">
                  <c:v>42513</c:v>
                </c:pt>
                <c:pt idx="44">
                  <c:v>42514</c:v>
                </c:pt>
                <c:pt idx="45">
                  <c:v>42515</c:v>
                </c:pt>
                <c:pt idx="46">
                  <c:v>42516</c:v>
                </c:pt>
                <c:pt idx="47">
                  <c:v>42517</c:v>
                </c:pt>
                <c:pt idx="48">
                  <c:v>42520</c:v>
                </c:pt>
                <c:pt idx="49">
                  <c:v>42521</c:v>
                </c:pt>
                <c:pt idx="50">
                  <c:v>42522</c:v>
                </c:pt>
                <c:pt idx="51">
                  <c:v>42523</c:v>
                </c:pt>
                <c:pt idx="52">
                  <c:v>42524</c:v>
                </c:pt>
                <c:pt idx="53">
                  <c:v>42527</c:v>
                </c:pt>
                <c:pt idx="54">
                  <c:v>42528</c:v>
                </c:pt>
                <c:pt idx="55">
                  <c:v>42529</c:v>
                </c:pt>
                <c:pt idx="56">
                  <c:v>42534</c:v>
                </c:pt>
                <c:pt idx="57">
                  <c:v>42535</c:v>
                </c:pt>
                <c:pt idx="58">
                  <c:v>42536</c:v>
                </c:pt>
                <c:pt idx="59">
                  <c:v>42537</c:v>
                </c:pt>
                <c:pt idx="60">
                  <c:v>42538</c:v>
                </c:pt>
                <c:pt idx="61">
                  <c:v>42541</c:v>
                </c:pt>
                <c:pt idx="62">
                  <c:v>42542</c:v>
                </c:pt>
                <c:pt idx="63">
                  <c:v>42543</c:v>
                </c:pt>
                <c:pt idx="64">
                  <c:v>42544</c:v>
                </c:pt>
                <c:pt idx="65">
                  <c:v>42545</c:v>
                </c:pt>
                <c:pt idx="66">
                  <c:v>42548</c:v>
                </c:pt>
                <c:pt idx="67">
                  <c:v>42549</c:v>
                </c:pt>
                <c:pt idx="68">
                  <c:v>42550</c:v>
                </c:pt>
                <c:pt idx="69">
                  <c:v>42551</c:v>
                </c:pt>
                <c:pt idx="70">
                  <c:v>42552</c:v>
                </c:pt>
                <c:pt idx="71">
                  <c:v>42555</c:v>
                </c:pt>
                <c:pt idx="72">
                  <c:v>42556</c:v>
                </c:pt>
                <c:pt idx="73">
                  <c:v>42557</c:v>
                </c:pt>
                <c:pt idx="74">
                  <c:v>42558</c:v>
                </c:pt>
                <c:pt idx="75">
                  <c:v>42559</c:v>
                </c:pt>
                <c:pt idx="76">
                  <c:v>42562</c:v>
                </c:pt>
                <c:pt idx="77">
                  <c:v>42563</c:v>
                </c:pt>
                <c:pt idx="78">
                  <c:v>42564</c:v>
                </c:pt>
                <c:pt idx="79">
                  <c:v>42565</c:v>
                </c:pt>
                <c:pt idx="80">
                  <c:v>42566</c:v>
                </c:pt>
                <c:pt idx="81">
                  <c:v>42569</c:v>
                </c:pt>
                <c:pt idx="82">
                  <c:v>42570</c:v>
                </c:pt>
                <c:pt idx="83">
                  <c:v>42571</c:v>
                </c:pt>
                <c:pt idx="84">
                  <c:v>42572</c:v>
                </c:pt>
                <c:pt idx="85">
                  <c:v>42573</c:v>
                </c:pt>
                <c:pt idx="86">
                  <c:v>42576</c:v>
                </c:pt>
                <c:pt idx="87">
                  <c:v>42577</c:v>
                </c:pt>
                <c:pt idx="88">
                  <c:v>42578</c:v>
                </c:pt>
                <c:pt idx="89">
                  <c:v>42579</c:v>
                </c:pt>
                <c:pt idx="90">
                  <c:v>42580</c:v>
                </c:pt>
                <c:pt idx="91">
                  <c:v>42583</c:v>
                </c:pt>
                <c:pt idx="92">
                  <c:v>42584</c:v>
                </c:pt>
                <c:pt idx="93">
                  <c:v>42585</c:v>
                </c:pt>
                <c:pt idx="94">
                  <c:v>42586</c:v>
                </c:pt>
                <c:pt idx="95">
                  <c:v>42587</c:v>
                </c:pt>
                <c:pt idx="96">
                  <c:v>42590</c:v>
                </c:pt>
                <c:pt idx="97">
                  <c:v>42591</c:v>
                </c:pt>
                <c:pt idx="98">
                  <c:v>42592</c:v>
                </c:pt>
                <c:pt idx="99">
                  <c:v>42593</c:v>
                </c:pt>
                <c:pt idx="100">
                  <c:v>42594</c:v>
                </c:pt>
                <c:pt idx="101">
                  <c:v>42597</c:v>
                </c:pt>
                <c:pt idx="102">
                  <c:v>42598</c:v>
                </c:pt>
                <c:pt idx="103">
                  <c:v>42599</c:v>
                </c:pt>
                <c:pt idx="104">
                  <c:v>42600</c:v>
                </c:pt>
                <c:pt idx="105">
                  <c:v>42601</c:v>
                </c:pt>
                <c:pt idx="106">
                  <c:v>42604</c:v>
                </c:pt>
                <c:pt idx="107">
                  <c:v>42605</c:v>
                </c:pt>
                <c:pt idx="108">
                  <c:v>42606</c:v>
                </c:pt>
                <c:pt idx="109">
                  <c:v>42607</c:v>
                </c:pt>
                <c:pt idx="110">
                  <c:v>42608</c:v>
                </c:pt>
                <c:pt idx="111">
                  <c:v>42611</c:v>
                </c:pt>
                <c:pt idx="112">
                  <c:v>42612</c:v>
                </c:pt>
                <c:pt idx="113">
                  <c:v>42613</c:v>
                </c:pt>
                <c:pt idx="114">
                  <c:v>42614</c:v>
                </c:pt>
                <c:pt idx="115">
                  <c:v>42615</c:v>
                </c:pt>
                <c:pt idx="116">
                  <c:v>42618</c:v>
                </c:pt>
                <c:pt idx="117">
                  <c:v>42619</c:v>
                </c:pt>
                <c:pt idx="118">
                  <c:v>42620</c:v>
                </c:pt>
                <c:pt idx="119">
                  <c:v>42621</c:v>
                </c:pt>
                <c:pt idx="120">
                  <c:v>42622</c:v>
                </c:pt>
                <c:pt idx="121">
                  <c:v>42625</c:v>
                </c:pt>
                <c:pt idx="122">
                  <c:v>42626</c:v>
                </c:pt>
                <c:pt idx="123">
                  <c:v>42627</c:v>
                </c:pt>
                <c:pt idx="124">
                  <c:v>42632</c:v>
                </c:pt>
                <c:pt idx="125">
                  <c:v>42633</c:v>
                </c:pt>
                <c:pt idx="126">
                  <c:v>42634</c:v>
                </c:pt>
                <c:pt idx="127">
                  <c:v>42635</c:v>
                </c:pt>
                <c:pt idx="128">
                  <c:v>42636</c:v>
                </c:pt>
                <c:pt idx="129">
                  <c:v>42639</c:v>
                </c:pt>
                <c:pt idx="130">
                  <c:v>42640</c:v>
                </c:pt>
                <c:pt idx="131">
                  <c:v>42641</c:v>
                </c:pt>
                <c:pt idx="132">
                  <c:v>42642</c:v>
                </c:pt>
                <c:pt idx="133">
                  <c:v>42643</c:v>
                </c:pt>
                <c:pt idx="134">
                  <c:v>42653</c:v>
                </c:pt>
                <c:pt idx="135">
                  <c:v>42654</c:v>
                </c:pt>
                <c:pt idx="136">
                  <c:v>42655</c:v>
                </c:pt>
                <c:pt idx="137">
                  <c:v>42656</c:v>
                </c:pt>
                <c:pt idx="138">
                  <c:v>42657</c:v>
                </c:pt>
                <c:pt idx="139">
                  <c:v>42660</c:v>
                </c:pt>
                <c:pt idx="140">
                  <c:v>42661</c:v>
                </c:pt>
                <c:pt idx="141">
                  <c:v>42662</c:v>
                </c:pt>
                <c:pt idx="142">
                  <c:v>42663</c:v>
                </c:pt>
                <c:pt idx="143">
                  <c:v>42664</c:v>
                </c:pt>
                <c:pt idx="144">
                  <c:v>42667</c:v>
                </c:pt>
                <c:pt idx="145">
                  <c:v>42668</c:v>
                </c:pt>
                <c:pt idx="146">
                  <c:v>42669</c:v>
                </c:pt>
                <c:pt idx="147">
                  <c:v>42670</c:v>
                </c:pt>
                <c:pt idx="148">
                  <c:v>42671</c:v>
                </c:pt>
                <c:pt idx="149">
                  <c:v>42674</c:v>
                </c:pt>
                <c:pt idx="150">
                  <c:v>42675</c:v>
                </c:pt>
                <c:pt idx="151">
                  <c:v>42676</c:v>
                </c:pt>
                <c:pt idx="152">
                  <c:v>42677</c:v>
                </c:pt>
                <c:pt idx="153">
                  <c:v>42678</c:v>
                </c:pt>
                <c:pt idx="154">
                  <c:v>42681</c:v>
                </c:pt>
                <c:pt idx="155">
                  <c:v>42682</c:v>
                </c:pt>
                <c:pt idx="156">
                  <c:v>42683</c:v>
                </c:pt>
                <c:pt idx="157">
                  <c:v>42684</c:v>
                </c:pt>
                <c:pt idx="158">
                  <c:v>42685</c:v>
                </c:pt>
                <c:pt idx="159">
                  <c:v>42688</c:v>
                </c:pt>
                <c:pt idx="160">
                  <c:v>42689</c:v>
                </c:pt>
                <c:pt idx="161">
                  <c:v>42690</c:v>
                </c:pt>
                <c:pt idx="162">
                  <c:v>42691</c:v>
                </c:pt>
                <c:pt idx="163">
                  <c:v>42692</c:v>
                </c:pt>
                <c:pt idx="164">
                  <c:v>42695</c:v>
                </c:pt>
                <c:pt idx="165">
                  <c:v>42696</c:v>
                </c:pt>
                <c:pt idx="166">
                  <c:v>42697</c:v>
                </c:pt>
                <c:pt idx="167">
                  <c:v>42698</c:v>
                </c:pt>
                <c:pt idx="168">
                  <c:v>42699</c:v>
                </c:pt>
                <c:pt idx="169">
                  <c:v>42702</c:v>
                </c:pt>
                <c:pt idx="170">
                  <c:v>42703</c:v>
                </c:pt>
                <c:pt idx="171">
                  <c:v>42704</c:v>
                </c:pt>
                <c:pt idx="172">
                  <c:v>42705</c:v>
                </c:pt>
                <c:pt idx="173">
                  <c:v>42706</c:v>
                </c:pt>
                <c:pt idx="174">
                  <c:v>42709</c:v>
                </c:pt>
                <c:pt idx="175">
                  <c:v>42710</c:v>
                </c:pt>
                <c:pt idx="176">
                  <c:v>42711</c:v>
                </c:pt>
                <c:pt idx="177">
                  <c:v>42712</c:v>
                </c:pt>
                <c:pt idx="178">
                  <c:v>42713</c:v>
                </c:pt>
                <c:pt idx="179">
                  <c:v>42716</c:v>
                </c:pt>
                <c:pt idx="180">
                  <c:v>42717</c:v>
                </c:pt>
                <c:pt idx="181">
                  <c:v>42718</c:v>
                </c:pt>
                <c:pt idx="182">
                  <c:v>42719</c:v>
                </c:pt>
                <c:pt idx="183">
                  <c:v>42720</c:v>
                </c:pt>
                <c:pt idx="184">
                  <c:v>42723</c:v>
                </c:pt>
                <c:pt idx="185">
                  <c:v>42724</c:v>
                </c:pt>
                <c:pt idx="186">
                  <c:v>42725</c:v>
                </c:pt>
                <c:pt idx="187">
                  <c:v>42726</c:v>
                </c:pt>
                <c:pt idx="188">
                  <c:v>42727</c:v>
                </c:pt>
                <c:pt idx="189">
                  <c:v>42730</c:v>
                </c:pt>
                <c:pt idx="190">
                  <c:v>42731</c:v>
                </c:pt>
                <c:pt idx="191">
                  <c:v>42732</c:v>
                </c:pt>
                <c:pt idx="192">
                  <c:v>42733</c:v>
                </c:pt>
                <c:pt idx="193">
                  <c:v>42734</c:v>
                </c:pt>
                <c:pt idx="194">
                  <c:v>42738</c:v>
                </c:pt>
                <c:pt idx="195">
                  <c:v>42739</c:v>
                </c:pt>
                <c:pt idx="196">
                  <c:v>42740</c:v>
                </c:pt>
                <c:pt idx="197">
                  <c:v>42741</c:v>
                </c:pt>
                <c:pt idx="198">
                  <c:v>42744</c:v>
                </c:pt>
                <c:pt idx="199">
                  <c:v>42745</c:v>
                </c:pt>
                <c:pt idx="200">
                  <c:v>42746</c:v>
                </c:pt>
                <c:pt idx="201">
                  <c:v>42747</c:v>
                </c:pt>
                <c:pt idx="202">
                  <c:v>42748</c:v>
                </c:pt>
                <c:pt idx="203">
                  <c:v>42751</c:v>
                </c:pt>
                <c:pt idx="204">
                  <c:v>42752</c:v>
                </c:pt>
                <c:pt idx="205">
                  <c:v>42753</c:v>
                </c:pt>
                <c:pt idx="206">
                  <c:v>42754</c:v>
                </c:pt>
                <c:pt idx="207">
                  <c:v>42755</c:v>
                </c:pt>
                <c:pt idx="208">
                  <c:v>42758</c:v>
                </c:pt>
                <c:pt idx="209">
                  <c:v>42759</c:v>
                </c:pt>
                <c:pt idx="210">
                  <c:v>42760</c:v>
                </c:pt>
                <c:pt idx="211">
                  <c:v>42761</c:v>
                </c:pt>
                <c:pt idx="212">
                  <c:v>42769</c:v>
                </c:pt>
                <c:pt idx="213">
                  <c:v>42772</c:v>
                </c:pt>
                <c:pt idx="214">
                  <c:v>42773</c:v>
                </c:pt>
                <c:pt idx="215">
                  <c:v>42774</c:v>
                </c:pt>
                <c:pt idx="216">
                  <c:v>42775</c:v>
                </c:pt>
                <c:pt idx="217">
                  <c:v>42776</c:v>
                </c:pt>
                <c:pt idx="218">
                  <c:v>42779</c:v>
                </c:pt>
                <c:pt idx="219">
                  <c:v>42780</c:v>
                </c:pt>
                <c:pt idx="220">
                  <c:v>42781</c:v>
                </c:pt>
                <c:pt idx="221">
                  <c:v>42782</c:v>
                </c:pt>
                <c:pt idx="222">
                  <c:v>42783</c:v>
                </c:pt>
                <c:pt idx="223">
                  <c:v>42786</c:v>
                </c:pt>
                <c:pt idx="224">
                  <c:v>42787</c:v>
                </c:pt>
                <c:pt idx="225">
                  <c:v>42788</c:v>
                </c:pt>
                <c:pt idx="226">
                  <c:v>42789</c:v>
                </c:pt>
                <c:pt idx="227">
                  <c:v>42790</c:v>
                </c:pt>
                <c:pt idx="228">
                  <c:v>42793</c:v>
                </c:pt>
                <c:pt idx="229">
                  <c:v>42794</c:v>
                </c:pt>
                <c:pt idx="230">
                  <c:v>42795</c:v>
                </c:pt>
                <c:pt idx="231">
                  <c:v>42796</c:v>
                </c:pt>
                <c:pt idx="232">
                  <c:v>42797</c:v>
                </c:pt>
                <c:pt idx="233">
                  <c:v>42800</c:v>
                </c:pt>
                <c:pt idx="234">
                  <c:v>42801</c:v>
                </c:pt>
                <c:pt idx="235">
                  <c:v>42802</c:v>
                </c:pt>
                <c:pt idx="236">
                  <c:v>42803</c:v>
                </c:pt>
                <c:pt idx="237">
                  <c:v>42804</c:v>
                </c:pt>
                <c:pt idx="238">
                  <c:v>42807</c:v>
                </c:pt>
                <c:pt idx="239">
                  <c:v>42808</c:v>
                </c:pt>
                <c:pt idx="240">
                  <c:v>42809</c:v>
                </c:pt>
                <c:pt idx="241">
                  <c:v>42810</c:v>
                </c:pt>
                <c:pt idx="242">
                  <c:v>42811</c:v>
                </c:pt>
                <c:pt idx="243">
                  <c:v>42814</c:v>
                </c:pt>
                <c:pt idx="244">
                  <c:v>42815</c:v>
                </c:pt>
                <c:pt idx="245">
                  <c:v>42816</c:v>
                </c:pt>
                <c:pt idx="246">
                  <c:v>42817</c:v>
                </c:pt>
                <c:pt idx="247">
                  <c:v>42818</c:v>
                </c:pt>
                <c:pt idx="248">
                  <c:v>42821</c:v>
                </c:pt>
                <c:pt idx="249">
                  <c:v>42822</c:v>
                </c:pt>
                <c:pt idx="250">
                  <c:v>42823</c:v>
                </c:pt>
                <c:pt idx="251">
                  <c:v>42824</c:v>
                </c:pt>
                <c:pt idx="252">
                  <c:v>42825</c:v>
                </c:pt>
                <c:pt idx="253">
                  <c:v>42830</c:v>
                </c:pt>
                <c:pt idx="254">
                  <c:v>42831</c:v>
                </c:pt>
                <c:pt idx="255">
                  <c:v>42832</c:v>
                </c:pt>
                <c:pt idx="256">
                  <c:v>42835</c:v>
                </c:pt>
                <c:pt idx="257">
                  <c:v>42836</c:v>
                </c:pt>
                <c:pt idx="258">
                  <c:v>42837</c:v>
                </c:pt>
                <c:pt idx="259">
                  <c:v>42838</c:v>
                </c:pt>
                <c:pt idx="260">
                  <c:v>42839</c:v>
                </c:pt>
                <c:pt idx="261">
                  <c:v>42842</c:v>
                </c:pt>
                <c:pt idx="262">
                  <c:v>42843</c:v>
                </c:pt>
                <c:pt idx="263">
                  <c:v>42844</c:v>
                </c:pt>
                <c:pt idx="264">
                  <c:v>42845</c:v>
                </c:pt>
                <c:pt idx="265">
                  <c:v>42846</c:v>
                </c:pt>
                <c:pt idx="266">
                  <c:v>42849</c:v>
                </c:pt>
                <c:pt idx="267">
                  <c:v>42850</c:v>
                </c:pt>
                <c:pt idx="268">
                  <c:v>42851</c:v>
                </c:pt>
                <c:pt idx="269">
                  <c:v>42852</c:v>
                </c:pt>
                <c:pt idx="270">
                  <c:v>42853</c:v>
                </c:pt>
                <c:pt idx="271">
                  <c:v>42857</c:v>
                </c:pt>
                <c:pt idx="272">
                  <c:v>42858</c:v>
                </c:pt>
                <c:pt idx="273">
                  <c:v>42859</c:v>
                </c:pt>
                <c:pt idx="274">
                  <c:v>42860</c:v>
                </c:pt>
                <c:pt idx="275">
                  <c:v>42863</c:v>
                </c:pt>
                <c:pt idx="276">
                  <c:v>42864</c:v>
                </c:pt>
                <c:pt idx="277">
                  <c:v>42865</c:v>
                </c:pt>
                <c:pt idx="278">
                  <c:v>42866</c:v>
                </c:pt>
                <c:pt idx="279">
                  <c:v>42867</c:v>
                </c:pt>
                <c:pt idx="280">
                  <c:v>42870</c:v>
                </c:pt>
                <c:pt idx="281">
                  <c:v>42871</c:v>
                </c:pt>
                <c:pt idx="282">
                  <c:v>42872</c:v>
                </c:pt>
                <c:pt idx="283">
                  <c:v>42873</c:v>
                </c:pt>
                <c:pt idx="284">
                  <c:v>42874</c:v>
                </c:pt>
                <c:pt idx="285">
                  <c:v>42877</c:v>
                </c:pt>
                <c:pt idx="286">
                  <c:v>42878</c:v>
                </c:pt>
                <c:pt idx="287">
                  <c:v>42879</c:v>
                </c:pt>
                <c:pt idx="288">
                  <c:v>42880</c:v>
                </c:pt>
                <c:pt idx="289">
                  <c:v>42881</c:v>
                </c:pt>
                <c:pt idx="290">
                  <c:v>42886</c:v>
                </c:pt>
                <c:pt idx="291">
                  <c:v>42887</c:v>
                </c:pt>
                <c:pt idx="292">
                  <c:v>42888</c:v>
                </c:pt>
                <c:pt idx="293">
                  <c:v>42891</c:v>
                </c:pt>
                <c:pt idx="294">
                  <c:v>42892</c:v>
                </c:pt>
                <c:pt idx="295">
                  <c:v>42893</c:v>
                </c:pt>
                <c:pt idx="296">
                  <c:v>42894</c:v>
                </c:pt>
                <c:pt idx="297">
                  <c:v>42895</c:v>
                </c:pt>
                <c:pt idx="298">
                  <c:v>42898</c:v>
                </c:pt>
                <c:pt idx="299">
                  <c:v>42899</c:v>
                </c:pt>
                <c:pt idx="300">
                  <c:v>42900</c:v>
                </c:pt>
                <c:pt idx="301">
                  <c:v>42901</c:v>
                </c:pt>
                <c:pt idx="302">
                  <c:v>42902</c:v>
                </c:pt>
                <c:pt idx="303">
                  <c:v>42905</c:v>
                </c:pt>
                <c:pt idx="304">
                  <c:v>42906</c:v>
                </c:pt>
                <c:pt idx="305">
                  <c:v>42907</c:v>
                </c:pt>
                <c:pt idx="306">
                  <c:v>42908</c:v>
                </c:pt>
                <c:pt idx="307">
                  <c:v>42909</c:v>
                </c:pt>
                <c:pt idx="308">
                  <c:v>42912</c:v>
                </c:pt>
                <c:pt idx="309">
                  <c:v>42913</c:v>
                </c:pt>
                <c:pt idx="310">
                  <c:v>42914</c:v>
                </c:pt>
                <c:pt idx="311">
                  <c:v>42915</c:v>
                </c:pt>
                <c:pt idx="312">
                  <c:v>42916</c:v>
                </c:pt>
                <c:pt idx="313">
                  <c:v>42919</c:v>
                </c:pt>
                <c:pt idx="314">
                  <c:v>42920</c:v>
                </c:pt>
                <c:pt idx="315">
                  <c:v>42921</c:v>
                </c:pt>
                <c:pt idx="316">
                  <c:v>42922</c:v>
                </c:pt>
                <c:pt idx="317">
                  <c:v>42923</c:v>
                </c:pt>
                <c:pt idx="318">
                  <c:v>42926</c:v>
                </c:pt>
                <c:pt idx="319">
                  <c:v>42927</c:v>
                </c:pt>
                <c:pt idx="320">
                  <c:v>42928</c:v>
                </c:pt>
                <c:pt idx="321">
                  <c:v>42929</c:v>
                </c:pt>
                <c:pt idx="322">
                  <c:v>42930</c:v>
                </c:pt>
                <c:pt idx="323">
                  <c:v>42933</c:v>
                </c:pt>
                <c:pt idx="324">
                  <c:v>42934</c:v>
                </c:pt>
                <c:pt idx="325">
                  <c:v>42935</c:v>
                </c:pt>
                <c:pt idx="326">
                  <c:v>42936</c:v>
                </c:pt>
                <c:pt idx="327">
                  <c:v>42937</c:v>
                </c:pt>
                <c:pt idx="328">
                  <c:v>42940</c:v>
                </c:pt>
                <c:pt idx="329">
                  <c:v>42941</c:v>
                </c:pt>
                <c:pt idx="330">
                  <c:v>42942</c:v>
                </c:pt>
                <c:pt idx="331">
                  <c:v>42943</c:v>
                </c:pt>
                <c:pt idx="332">
                  <c:v>42944</c:v>
                </c:pt>
                <c:pt idx="333">
                  <c:v>42947</c:v>
                </c:pt>
                <c:pt idx="334">
                  <c:v>42948</c:v>
                </c:pt>
                <c:pt idx="335">
                  <c:v>42949</c:v>
                </c:pt>
                <c:pt idx="336">
                  <c:v>42950</c:v>
                </c:pt>
                <c:pt idx="337">
                  <c:v>42951</c:v>
                </c:pt>
                <c:pt idx="338">
                  <c:v>42954</c:v>
                </c:pt>
                <c:pt idx="339">
                  <c:v>42955</c:v>
                </c:pt>
                <c:pt idx="340">
                  <c:v>42956</c:v>
                </c:pt>
                <c:pt idx="341">
                  <c:v>42957</c:v>
                </c:pt>
                <c:pt idx="342">
                  <c:v>42958</c:v>
                </c:pt>
                <c:pt idx="343">
                  <c:v>42961</c:v>
                </c:pt>
                <c:pt idx="344">
                  <c:v>42962</c:v>
                </c:pt>
                <c:pt idx="345">
                  <c:v>42963</c:v>
                </c:pt>
                <c:pt idx="346">
                  <c:v>42964</c:v>
                </c:pt>
                <c:pt idx="347">
                  <c:v>42965</c:v>
                </c:pt>
                <c:pt idx="348">
                  <c:v>42968</c:v>
                </c:pt>
                <c:pt idx="349">
                  <c:v>42969</c:v>
                </c:pt>
                <c:pt idx="350">
                  <c:v>42970</c:v>
                </c:pt>
                <c:pt idx="351">
                  <c:v>42971</c:v>
                </c:pt>
                <c:pt idx="352">
                  <c:v>42972</c:v>
                </c:pt>
                <c:pt idx="353">
                  <c:v>42975</c:v>
                </c:pt>
                <c:pt idx="354">
                  <c:v>42976</c:v>
                </c:pt>
                <c:pt idx="355">
                  <c:v>42977</c:v>
                </c:pt>
                <c:pt idx="356">
                  <c:v>42978</c:v>
                </c:pt>
                <c:pt idx="357">
                  <c:v>42979</c:v>
                </c:pt>
                <c:pt idx="358">
                  <c:v>42982</c:v>
                </c:pt>
                <c:pt idx="359">
                  <c:v>42983</c:v>
                </c:pt>
                <c:pt idx="360">
                  <c:v>42984</c:v>
                </c:pt>
                <c:pt idx="361">
                  <c:v>42985</c:v>
                </c:pt>
                <c:pt idx="362">
                  <c:v>42986</c:v>
                </c:pt>
                <c:pt idx="363">
                  <c:v>42989</c:v>
                </c:pt>
                <c:pt idx="364">
                  <c:v>42990</c:v>
                </c:pt>
                <c:pt idx="365">
                  <c:v>42991</c:v>
                </c:pt>
                <c:pt idx="366">
                  <c:v>42992</c:v>
                </c:pt>
                <c:pt idx="367">
                  <c:v>42993</c:v>
                </c:pt>
                <c:pt idx="368">
                  <c:v>42996</c:v>
                </c:pt>
                <c:pt idx="369">
                  <c:v>42997</c:v>
                </c:pt>
                <c:pt idx="370">
                  <c:v>42998</c:v>
                </c:pt>
                <c:pt idx="371">
                  <c:v>42999</c:v>
                </c:pt>
                <c:pt idx="372">
                  <c:v>43000</c:v>
                </c:pt>
                <c:pt idx="373">
                  <c:v>43003</c:v>
                </c:pt>
                <c:pt idx="374">
                  <c:v>43004</c:v>
                </c:pt>
                <c:pt idx="375">
                  <c:v>43005</c:v>
                </c:pt>
                <c:pt idx="376">
                  <c:v>43006</c:v>
                </c:pt>
                <c:pt idx="377">
                  <c:v>43007</c:v>
                </c:pt>
                <c:pt idx="378">
                  <c:v>43017</c:v>
                </c:pt>
                <c:pt idx="379">
                  <c:v>43018</c:v>
                </c:pt>
                <c:pt idx="380">
                  <c:v>43019</c:v>
                </c:pt>
                <c:pt idx="381">
                  <c:v>43020</c:v>
                </c:pt>
                <c:pt idx="382">
                  <c:v>43021</c:v>
                </c:pt>
                <c:pt idx="383">
                  <c:v>43024</c:v>
                </c:pt>
                <c:pt idx="384">
                  <c:v>43025</c:v>
                </c:pt>
                <c:pt idx="385">
                  <c:v>43026</c:v>
                </c:pt>
                <c:pt idx="386">
                  <c:v>43027</c:v>
                </c:pt>
                <c:pt idx="387">
                  <c:v>43028</c:v>
                </c:pt>
                <c:pt idx="388">
                  <c:v>43031</c:v>
                </c:pt>
                <c:pt idx="389">
                  <c:v>43032</c:v>
                </c:pt>
                <c:pt idx="390">
                  <c:v>43033</c:v>
                </c:pt>
                <c:pt idx="391">
                  <c:v>43034</c:v>
                </c:pt>
                <c:pt idx="392">
                  <c:v>43035</c:v>
                </c:pt>
                <c:pt idx="393">
                  <c:v>43038</c:v>
                </c:pt>
                <c:pt idx="394">
                  <c:v>43039</c:v>
                </c:pt>
                <c:pt idx="395">
                  <c:v>43040</c:v>
                </c:pt>
                <c:pt idx="396">
                  <c:v>43041</c:v>
                </c:pt>
                <c:pt idx="397">
                  <c:v>43042</c:v>
                </c:pt>
                <c:pt idx="398">
                  <c:v>43045</c:v>
                </c:pt>
                <c:pt idx="399">
                  <c:v>43046</c:v>
                </c:pt>
                <c:pt idx="400">
                  <c:v>43047</c:v>
                </c:pt>
                <c:pt idx="401">
                  <c:v>43048</c:v>
                </c:pt>
                <c:pt idx="402">
                  <c:v>43049</c:v>
                </c:pt>
                <c:pt idx="403">
                  <c:v>43052</c:v>
                </c:pt>
                <c:pt idx="404">
                  <c:v>43053</c:v>
                </c:pt>
                <c:pt idx="405">
                  <c:v>43054</c:v>
                </c:pt>
                <c:pt idx="406">
                  <c:v>43055</c:v>
                </c:pt>
                <c:pt idx="407">
                  <c:v>43056</c:v>
                </c:pt>
                <c:pt idx="408">
                  <c:v>43059</c:v>
                </c:pt>
                <c:pt idx="409">
                  <c:v>43060</c:v>
                </c:pt>
                <c:pt idx="410">
                  <c:v>43061</c:v>
                </c:pt>
                <c:pt idx="411">
                  <c:v>43062</c:v>
                </c:pt>
                <c:pt idx="412">
                  <c:v>43063</c:v>
                </c:pt>
                <c:pt idx="413">
                  <c:v>43066</c:v>
                </c:pt>
                <c:pt idx="414">
                  <c:v>43067</c:v>
                </c:pt>
                <c:pt idx="415">
                  <c:v>43068</c:v>
                </c:pt>
                <c:pt idx="416">
                  <c:v>43069</c:v>
                </c:pt>
                <c:pt idx="417">
                  <c:v>43070</c:v>
                </c:pt>
                <c:pt idx="418">
                  <c:v>43073</c:v>
                </c:pt>
                <c:pt idx="419">
                  <c:v>43074</c:v>
                </c:pt>
                <c:pt idx="420">
                  <c:v>43075</c:v>
                </c:pt>
                <c:pt idx="421">
                  <c:v>43076</c:v>
                </c:pt>
                <c:pt idx="422">
                  <c:v>43077</c:v>
                </c:pt>
                <c:pt idx="423">
                  <c:v>43080</c:v>
                </c:pt>
                <c:pt idx="424">
                  <c:v>43081</c:v>
                </c:pt>
                <c:pt idx="425">
                  <c:v>43082</c:v>
                </c:pt>
                <c:pt idx="426">
                  <c:v>43083</c:v>
                </c:pt>
                <c:pt idx="427">
                  <c:v>43084</c:v>
                </c:pt>
                <c:pt idx="428">
                  <c:v>43087</c:v>
                </c:pt>
                <c:pt idx="429">
                  <c:v>43088</c:v>
                </c:pt>
                <c:pt idx="430">
                  <c:v>43089</c:v>
                </c:pt>
                <c:pt idx="431">
                  <c:v>43090</c:v>
                </c:pt>
                <c:pt idx="432">
                  <c:v>43091</c:v>
                </c:pt>
                <c:pt idx="433">
                  <c:v>43094</c:v>
                </c:pt>
                <c:pt idx="434">
                  <c:v>43095</c:v>
                </c:pt>
                <c:pt idx="435">
                  <c:v>43096</c:v>
                </c:pt>
                <c:pt idx="436">
                  <c:v>43097</c:v>
                </c:pt>
                <c:pt idx="437">
                  <c:v>43098</c:v>
                </c:pt>
                <c:pt idx="438">
                  <c:v>43102</c:v>
                </c:pt>
                <c:pt idx="439">
                  <c:v>43103</c:v>
                </c:pt>
                <c:pt idx="440">
                  <c:v>43104</c:v>
                </c:pt>
                <c:pt idx="441">
                  <c:v>43105</c:v>
                </c:pt>
                <c:pt idx="442">
                  <c:v>43108</c:v>
                </c:pt>
                <c:pt idx="443">
                  <c:v>43109</c:v>
                </c:pt>
                <c:pt idx="444">
                  <c:v>43110</c:v>
                </c:pt>
                <c:pt idx="445">
                  <c:v>43111</c:v>
                </c:pt>
                <c:pt idx="446">
                  <c:v>43112</c:v>
                </c:pt>
                <c:pt idx="447">
                  <c:v>43115</c:v>
                </c:pt>
                <c:pt idx="448">
                  <c:v>43116</c:v>
                </c:pt>
                <c:pt idx="449">
                  <c:v>43117</c:v>
                </c:pt>
                <c:pt idx="450">
                  <c:v>43118</c:v>
                </c:pt>
                <c:pt idx="451">
                  <c:v>43119</c:v>
                </c:pt>
                <c:pt idx="452">
                  <c:v>43122</c:v>
                </c:pt>
                <c:pt idx="453">
                  <c:v>43123</c:v>
                </c:pt>
                <c:pt idx="454">
                  <c:v>43124</c:v>
                </c:pt>
                <c:pt idx="455">
                  <c:v>43125</c:v>
                </c:pt>
                <c:pt idx="456">
                  <c:v>43126</c:v>
                </c:pt>
                <c:pt idx="457">
                  <c:v>43129</c:v>
                </c:pt>
                <c:pt idx="458">
                  <c:v>43130</c:v>
                </c:pt>
                <c:pt idx="459">
                  <c:v>43131</c:v>
                </c:pt>
                <c:pt idx="460">
                  <c:v>43132</c:v>
                </c:pt>
                <c:pt idx="461">
                  <c:v>43133</c:v>
                </c:pt>
                <c:pt idx="462">
                  <c:v>43136</c:v>
                </c:pt>
                <c:pt idx="463">
                  <c:v>43137</c:v>
                </c:pt>
                <c:pt idx="464">
                  <c:v>43138</c:v>
                </c:pt>
                <c:pt idx="465">
                  <c:v>43139</c:v>
                </c:pt>
                <c:pt idx="466">
                  <c:v>43140</c:v>
                </c:pt>
                <c:pt idx="467">
                  <c:v>43143</c:v>
                </c:pt>
                <c:pt idx="468">
                  <c:v>43144</c:v>
                </c:pt>
                <c:pt idx="469">
                  <c:v>43145</c:v>
                </c:pt>
                <c:pt idx="470">
                  <c:v>43153</c:v>
                </c:pt>
                <c:pt idx="471">
                  <c:v>43154</c:v>
                </c:pt>
                <c:pt idx="472">
                  <c:v>43157</c:v>
                </c:pt>
                <c:pt idx="473">
                  <c:v>43158</c:v>
                </c:pt>
                <c:pt idx="474">
                  <c:v>43159</c:v>
                </c:pt>
                <c:pt idx="475">
                  <c:v>43160</c:v>
                </c:pt>
                <c:pt idx="476">
                  <c:v>43161</c:v>
                </c:pt>
                <c:pt idx="477">
                  <c:v>43164</c:v>
                </c:pt>
                <c:pt idx="478">
                  <c:v>43165</c:v>
                </c:pt>
                <c:pt idx="479">
                  <c:v>43166</c:v>
                </c:pt>
                <c:pt idx="480">
                  <c:v>43167</c:v>
                </c:pt>
                <c:pt idx="481">
                  <c:v>43168</c:v>
                </c:pt>
                <c:pt idx="482">
                  <c:v>43171</c:v>
                </c:pt>
                <c:pt idx="483">
                  <c:v>43172</c:v>
                </c:pt>
                <c:pt idx="484">
                  <c:v>43173</c:v>
                </c:pt>
                <c:pt idx="485">
                  <c:v>43174</c:v>
                </c:pt>
                <c:pt idx="486">
                  <c:v>43175</c:v>
                </c:pt>
                <c:pt idx="487">
                  <c:v>43178</c:v>
                </c:pt>
                <c:pt idx="488">
                  <c:v>43179</c:v>
                </c:pt>
                <c:pt idx="489">
                  <c:v>43180</c:v>
                </c:pt>
                <c:pt idx="490">
                  <c:v>43181</c:v>
                </c:pt>
                <c:pt idx="491">
                  <c:v>43182</c:v>
                </c:pt>
                <c:pt idx="492">
                  <c:v>43185</c:v>
                </c:pt>
                <c:pt idx="493">
                  <c:v>43186</c:v>
                </c:pt>
                <c:pt idx="494">
                  <c:v>43187</c:v>
                </c:pt>
                <c:pt idx="495">
                  <c:v>43188</c:v>
                </c:pt>
                <c:pt idx="496">
                  <c:v>43189</c:v>
                </c:pt>
                <c:pt idx="497">
                  <c:v>43192</c:v>
                </c:pt>
                <c:pt idx="498">
                  <c:v>43193</c:v>
                </c:pt>
                <c:pt idx="499">
                  <c:v>43194</c:v>
                </c:pt>
                <c:pt idx="500">
                  <c:v>43199</c:v>
                </c:pt>
                <c:pt idx="501">
                  <c:v>43200</c:v>
                </c:pt>
                <c:pt idx="502">
                  <c:v>43201</c:v>
                </c:pt>
                <c:pt idx="503">
                  <c:v>43202</c:v>
                </c:pt>
                <c:pt idx="504">
                  <c:v>43203</c:v>
                </c:pt>
                <c:pt idx="505">
                  <c:v>43206</c:v>
                </c:pt>
                <c:pt idx="506">
                  <c:v>43207</c:v>
                </c:pt>
                <c:pt idx="507">
                  <c:v>43208</c:v>
                </c:pt>
                <c:pt idx="508">
                  <c:v>43209</c:v>
                </c:pt>
                <c:pt idx="509">
                  <c:v>43210</c:v>
                </c:pt>
                <c:pt idx="510">
                  <c:v>43213</c:v>
                </c:pt>
                <c:pt idx="511">
                  <c:v>43214</c:v>
                </c:pt>
                <c:pt idx="512">
                  <c:v>43215</c:v>
                </c:pt>
                <c:pt idx="513">
                  <c:v>43216</c:v>
                </c:pt>
                <c:pt idx="514">
                  <c:v>43217</c:v>
                </c:pt>
                <c:pt idx="515">
                  <c:v>43222</c:v>
                </c:pt>
                <c:pt idx="516">
                  <c:v>43223</c:v>
                </c:pt>
                <c:pt idx="517">
                  <c:v>43224</c:v>
                </c:pt>
                <c:pt idx="518">
                  <c:v>43227</c:v>
                </c:pt>
                <c:pt idx="519">
                  <c:v>43228</c:v>
                </c:pt>
                <c:pt idx="520">
                  <c:v>43229</c:v>
                </c:pt>
                <c:pt idx="521">
                  <c:v>43230</c:v>
                </c:pt>
                <c:pt idx="522">
                  <c:v>43231</c:v>
                </c:pt>
                <c:pt idx="523">
                  <c:v>43234</c:v>
                </c:pt>
                <c:pt idx="524">
                  <c:v>43235</c:v>
                </c:pt>
                <c:pt idx="525">
                  <c:v>43236</c:v>
                </c:pt>
                <c:pt idx="526">
                  <c:v>43237</c:v>
                </c:pt>
                <c:pt idx="527">
                  <c:v>43238</c:v>
                </c:pt>
                <c:pt idx="528">
                  <c:v>43241</c:v>
                </c:pt>
                <c:pt idx="529">
                  <c:v>43242</c:v>
                </c:pt>
                <c:pt idx="530">
                  <c:v>43243</c:v>
                </c:pt>
                <c:pt idx="531">
                  <c:v>43244</c:v>
                </c:pt>
                <c:pt idx="532">
                  <c:v>43245</c:v>
                </c:pt>
                <c:pt idx="533">
                  <c:v>43248</c:v>
                </c:pt>
                <c:pt idx="534">
                  <c:v>43249</c:v>
                </c:pt>
                <c:pt idx="535">
                  <c:v>43250</c:v>
                </c:pt>
                <c:pt idx="536">
                  <c:v>43251</c:v>
                </c:pt>
                <c:pt idx="537">
                  <c:v>43252</c:v>
                </c:pt>
                <c:pt idx="538">
                  <c:v>43255</c:v>
                </c:pt>
                <c:pt idx="539">
                  <c:v>43256</c:v>
                </c:pt>
                <c:pt idx="540">
                  <c:v>43257</c:v>
                </c:pt>
                <c:pt idx="541">
                  <c:v>43258</c:v>
                </c:pt>
                <c:pt idx="542">
                  <c:v>43259</c:v>
                </c:pt>
                <c:pt idx="543">
                  <c:v>43262</c:v>
                </c:pt>
                <c:pt idx="544">
                  <c:v>43263</c:v>
                </c:pt>
                <c:pt idx="545">
                  <c:v>43264</c:v>
                </c:pt>
                <c:pt idx="546">
                  <c:v>43265</c:v>
                </c:pt>
                <c:pt idx="547">
                  <c:v>43266</c:v>
                </c:pt>
                <c:pt idx="548">
                  <c:v>43270</c:v>
                </c:pt>
                <c:pt idx="549">
                  <c:v>43271</c:v>
                </c:pt>
                <c:pt idx="550">
                  <c:v>43272</c:v>
                </c:pt>
                <c:pt idx="551">
                  <c:v>43273</c:v>
                </c:pt>
                <c:pt idx="552">
                  <c:v>43276</c:v>
                </c:pt>
                <c:pt idx="553">
                  <c:v>43277</c:v>
                </c:pt>
                <c:pt idx="554">
                  <c:v>43278</c:v>
                </c:pt>
                <c:pt idx="555">
                  <c:v>43279</c:v>
                </c:pt>
                <c:pt idx="556">
                  <c:v>43280</c:v>
                </c:pt>
                <c:pt idx="557">
                  <c:v>43283</c:v>
                </c:pt>
                <c:pt idx="558">
                  <c:v>43284</c:v>
                </c:pt>
                <c:pt idx="559">
                  <c:v>43285</c:v>
                </c:pt>
                <c:pt idx="560">
                  <c:v>43286</c:v>
                </c:pt>
                <c:pt idx="561">
                  <c:v>43287</c:v>
                </c:pt>
                <c:pt idx="562">
                  <c:v>43290</c:v>
                </c:pt>
                <c:pt idx="563">
                  <c:v>43291</c:v>
                </c:pt>
                <c:pt idx="564">
                  <c:v>43292</c:v>
                </c:pt>
                <c:pt idx="565">
                  <c:v>43293</c:v>
                </c:pt>
                <c:pt idx="566">
                  <c:v>43294</c:v>
                </c:pt>
                <c:pt idx="567">
                  <c:v>43297</c:v>
                </c:pt>
                <c:pt idx="568">
                  <c:v>43298</c:v>
                </c:pt>
                <c:pt idx="569">
                  <c:v>43299</c:v>
                </c:pt>
                <c:pt idx="570">
                  <c:v>43300</c:v>
                </c:pt>
                <c:pt idx="571">
                  <c:v>43301</c:v>
                </c:pt>
                <c:pt idx="572">
                  <c:v>43304</c:v>
                </c:pt>
                <c:pt idx="573">
                  <c:v>43305</c:v>
                </c:pt>
                <c:pt idx="574">
                  <c:v>43306</c:v>
                </c:pt>
                <c:pt idx="575">
                  <c:v>43307</c:v>
                </c:pt>
                <c:pt idx="576">
                  <c:v>43308</c:v>
                </c:pt>
                <c:pt idx="577">
                  <c:v>43311</c:v>
                </c:pt>
                <c:pt idx="578">
                  <c:v>43312</c:v>
                </c:pt>
                <c:pt idx="579">
                  <c:v>43313</c:v>
                </c:pt>
                <c:pt idx="580">
                  <c:v>43314</c:v>
                </c:pt>
                <c:pt idx="581">
                  <c:v>43315</c:v>
                </c:pt>
                <c:pt idx="582">
                  <c:v>43318</c:v>
                </c:pt>
                <c:pt idx="583">
                  <c:v>43319</c:v>
                </c:pt>
                <c:pt idx="584">
                  <c:v>43320</c:v>
                </c:pt>
                <c:pt idx="585">
                  <c:v>43321</c:v>
                </c:pt>
                <c:pt idx="586">
                  <c:v>43322</c:v>
                </c:pt>
                <c:pt idx="587">
                  <c:v>43325</c:v>
                </c:pt>
                <c:pt idx="588">
                  <c:v>43326</c:v>
                </c:pt>
                <c:pt idx="589">
                  <c:v>43327</c:v>
                </c:pt>
                <c:pt idx="590">
                  <c:v>43328</c:v>
                </c:pt>
                <c:pt idx="591">
                  <c:v>43329</c:v>
                </c:pt>
                <c:pt idx="592">
                  <c:v>43332</c:v>
                </c:pt>
                <c:pt idx="593">
                  <c:v>43333</c:v>
                </c:pt>
                <c:pt idx="594">
                  <c:v>43334</c:v>
                </c:pt>
                <c:pt idx="595">
                  <c:v>43335</c:v>
                </c:pt>
                <c:pt idx="596">
                  <c:v>43336</c:v>
                </c:pt>
                <c:pt idx="597">
                  <c:v>43339</c:v>
                </c:pt>
                <c:pt idx="598">
                  <c:v>43340</c:v>
                </c:pt>
                <c:pt idx="599">
                  <c:v>43341</c:v>
                </c:pt>
                <c:pt idx="600">
                  <c:v>43342</c:v>
                </c:pt>
                <c:pt idx="601">
                  <c:v>43343</c:v>
                </c:pt>
                <c:pt idx="602">
                  <c:v>43346</c:v>
                </c:pt>
                <c:pt idx="603">
                  <c:v>43347</c:v>
                </c:pt>
                <c:pt idx="604">
                  <c:v>43348</c:v>
                </c:pt>
                <c:pt idx="605">
                  <c:v>43349</c:v>
                </c:pt>
                <c:pt idx="606">
                  <c:v>43350</c:v>
                </c:pt>
                <c:pt idx="607">
                  <c:v>43353</c:v>
                </c:pt>
                <c:pt idx="608">
                  <c:v>43354</c:v>
                </c:pt>
                <c:pt idx="609">
                  <c:v>43355</c:v>
                </c:pt>
                <c:pt idx="610">
                  <c:v>43356</c:v>
                </c:pt>
                <c:pt idx="611">
                  <c:v>43357</c:v>
                </c:pt>
                <c:pt idx="612">
                  <c:v>43360</c:v>
                </c:pt>
                <c:pt idx="613">
                  <c:v>43361</c:v>
                </c:pt>
                <c:pt idx="614">
                  <c:v>43362</c:v>
                </c:pt>
                <c:pt idx="615">
                  <c:v>43363</c:v>
                </c:pt>
                <c:pt idx="616">
                  <c:v>43364</c:v>
                </c:pt>
                <c:pt idx="617">
                  <c:v>43368</c:v>
                </c:pt>
                <c:pt idx="618">
                  <c:v>43369</c:v>
                </c:pt>
                <c:pt idx="619">
                  <c:v>43370</c:v>
                </c:pt>
                <c:pt idx="620">
                  <c:v>43371</c:v>
                </c:pt>
                <c:pt idx="621">
                  <c:v>43381</c:v>
                </c:pt>
                <c:pt idx="622">
                  <c:v>43382</c:v>
                </c:pt>
                <c:pt idx="623">
                  <c:v>43383</c:v>
                </c:pt>
                <c:pt idx="624">
                  <c:v>43384</c:v>
                </c:pt>
                <c:pt idx="625">
                  <c:v>43385</c:v>
                </c:pt>
                <c:pt idx="626">
                  <c:v>43388</c:v>
                </c:pt>
                <c:pt idx="627">
                  <c:v>43389</c:v>
                </c:pt>
                <c:pt idx="628">
                  <c:v>43390</c:v>
                </c:pt>
                <c:pt idx="629">
                  <c:v>43391</c:v>
                </c:pt>
                <c:pt idx="630">
                  <c:v>43392</c:v>
                </c:pt>
                <c:pt idx="631">
                  <c:v>43395</c:v>
                </c:pt>
                <c:pt idx="632">
                  <c:v>43396</c:v>
                </c:pt>
                <c:pt idx="633">
                  <c:v>43397</c:v>
                </c:pt>
                <c:pt idx="634">
                  <c:v>43398</c:v>
                </c:pt>
                <c:pt idx="635">
                  <c:v>43399</c:v>
                </c:pt>
                <c:pt idx="636">
                  <c:v>43402</c:v>
                </c:pt>
                <c:pt idx="637">
                  <c:v>43403</c:v>
                </c:pt>
                <c:pt idx="638">
                  <c:v>43404</c:v>
                </c:pt>
                <c:pt idx="639">
                  <c:v>43405</c:v>
                </c:pt>
                <c:pt idx="640">
                  <c:v>43406</c:v>
                </c:pt>
                <c:pt idx="641">
                  <c:v>43409</c:v>
                </c:pt>
                <c:pt idx="642">
                  <c:v>43410</c:v>
                </c:pt>
                <c:pt idx="643">
                  <c:v>43411</c:v>
                </c:pt>
                <c:pt idx="644">
                  <c:v>43412</c:v>
                </c:pt>
                <c:pt idx="645">
                  <c:v>43413</c:v>
                </c:pt>
                <c:pt idx="646">
                  <c:v>43416</c:v>
                </c:pt>
                <c:pt idx="647">
                  <c:v>43417</c:v>
                </c:pt>
                <c:pt idx="648">
                  <c:v>43418</c:v>
                </c:pt>
                <c:pt idx="649">
                  <c:v>43419</c:v>
                </c:pt>
                <c:pt idx="650">
                  <c:v>43420</c:v>
                </c:pt>
                <c:pt idx="651">
                  <c:v>43423</c:v>
                </c:pt>
                <c:pt idx="652">
                  <c:v>43424</c:v>
                </c:pt>
                <c:pt idx="653">
                  <c:v>43425</c:v>
                </c:pt>
                <c:pt idx="654">
                  <c:v>43426</c:v>
                </c:pt>
                <c:pt idx="655">
                  <c:v>43427</c:v>
                </c:pt>
                <c:pt idx="656">
                  <c:v>43430</c:v>
                </c:pt>
                <c:pt idx="657">
                  <c:v>43431</c:v>
                </c:pt>
                <c:pt idx="658">
                  <c:v>43432</c:v>
                </c:pt>
                <c:pt idx="659">
                  <c:v>43433</c:v>
                </c:pt>
                <c:pt idx="660">
                  <c:v>43434</c:v>
                </c:pt>
                <c:pt idx="661">
                  <c:v>43437</c:v>
                </c:pt>
                <c:pt idx="662">
                  <c:v>43438</c:v>
                </c:pt>
                <c:pt idx="663">
                  <c:v>43439</c:v>
                </c:pt>
                <c:pt idx="664">
                  <c:v>43440</c:v>
                </c:pt>
                <c:pt idx="665">
                  <c:v>43441</c:v>
                </c:pt>
                <c:pt idx="666">
                  <c:v>43444</c:v>
                </c:pt>
                <c:pt idx="667">
                  <c:v>43445</c:v>
                </c:pt>
                <c:pt idx="668">
                  <c:v>43446</c:v>
                </c:pt>
                <c:pt idx="669">
                  <c:v>43447</c:v>
                </c:pt>
                <c:pt idx="670">
                  <c:v>43448</c:v>
                </c:pt>
                <c:pt idx="671">
                  <c:v>43451</c:v>
                </c:pt>
                <c:pt idx="672">
                  <c:v>43452</c:v>
                </c:pt>
                <c:pt idx="673">
                  <c:v>43453</c:v>
                </c:pt>
                <c:pt idx="674">
                  <c:v>43454</c:v>
                </c:pt>
                <c:pt idx="675">
                  <c:v>43455</c:v>
                </c:pt>
                <c:pt idx="676">
                  <c:v>43458</c:v>
                </c:pt>
                <c:pt idx="677">
                  <c:v>43459</c:v>
                </c:pt>
                <c:pt idx="678">
                  <c:v>43460</c:v>
                </c:pt>
                <c:pt idx="679">
                  <c:v>43461</c:v>
                </c:pt>
                <c:pt idx="680">
                  <c:v>43462</c:v>
                </c:pt>
                <c:pt idx="681">
                  <c:v>43467</c:v>
                </c:pt>
                <c:pt idx="682">
                  <c:v>43468</c:v>
                </c:pt>
                <c:pt idx="683">
                  <c:v>43469</c:v>
                </c:pt>
                <c:pt idx="684">
                  <c:v>43472</c:v>
                </c:pt>
                <c:pt idx="685">
                  <c:v>43473</c:v>
                </c:pt>
                <c:pt idx="686">
                  <c:v>43474</c:v>
                </c:pt>
                <c:pt idx="687">
                  <c:v>43475</c:v>
                </c:pt>
                <c:pt idx="688">
                  <c:v>43476</c:v>
                </c:pt>
                <c:pt idx="689">
                  <c:v>43479</c:v>
                </c:pt>
                <c:pt idx="690">
                  <c:v>43480</c:v>
                </c:pt>
                <c:pt idx="691">
                  <c:v>43481</c:v>
                </c:pt>
                <c:pt idx="692">
                  <c:v>43482</c:v>
                </c:pt>
                <c:pt idx="693">
                  <c:v>43483</c:v>
                </c:pt>
                <c:pt idx="694">
                  <c:v>43486</c:v>
                </c:pt>
                <c:pt idx="695">
                  <c:v>43487</c:v>
                </c:pt>
                <c:pt idx="696">
                  <c:v>43488</c:v>
                </c:pt>
                <c:pt idx="697">
                  <c:v>43489</c:v>
                </c:pt>
                <c:pt idx="698">
                  <c:v>43490</c:v>
                </c:pt>
                <c:pt idx="699">
                  <c:v>43493</c:v>
                </c:pt>
                <c:pt idx="700">
                  <c:v>43494</c:v>
                </c:pt>
                <c:pt idx="701">
                  <c:v>43495</c:v>
                </c:pt>
                <c:pt idx="702">
                  <c:v>43496</c:v>
                </c:pt>
                <c:pt idx="703">
                  <c:v>43497</c:v>
                </c:pt>
                <c:pt idx="704">
                  <c:v>43507</c:v>
                </c:pt>
                <c:pt idx="705">
                  <c:v>43508</c:v>
                </c:pt>
                <c:pt idx="706">
                  <c:v>43509</c:v>
                </c:pt>
                <c:pt idx="707">
                  <c:v>43510</c:v>
                </c:pt>
                <c:pt idx="708">
                  <c:v>43511</c:v>
                </c:pt>
                <c:pt idx="709">
                  <c:v>43514</c:v>
                </c:pt>
                <c:pt idx="710">
                  <c:v>43515</c:v>
                </c:pt>
                <c:pt idx="711">
                  <c:v>43516</c:v>
                </c:pt>
                <c:pt idx="712">
                  <c:v>43517</c:v>
                </c:pt>
                <c:pt idx="713">
                  <c:v>43518</c:v>
                </c:pt>
                <c:pt idx="714">
                  <c:v>43521</c:v>
                </c:pt>
                <c:pt idx="715">
                  <c:v>43522</c:v>
                </c:pt>
                <c:pt idx="716">
                  <c:v>43523</c:v>
                </c:pt>
                <c:pt idx="717">
                  <c:v>43524</c:v>
                </c:pt>
                <c:pt idx="718">
                  <c:v>43525</c:v>
                </c:pt>
                <c:pt idx="719">
                  <c:v>43528</c:v>
                </c:pt>
                <c:pt idx="720">
                  <c:v>43529</c:v>
                </c:pt>
                <c:pt idx="721">
                  <c:v>43530</c:v>
                </c:pt>
                <c:pt idx="722">
                  <c:v>43531</c:v>
                </c:pt>
                <c:pt idx="723">
                  <c:v>43532</c:v>
                </c:pt>
                <c:pt idx="724">
                  <c:v>43535</c:v>
                </c:pt>
                <c:pt idx="725">
                  <c:v>43536</c:v>
                </c:pt>
                <c:pt idx="726">
                  <c:v>43537</c:v>
                </c:pt>
                <c:pt idx="727">
                  <c:v>43538</c:v>
                </c:pt>
                <c:pt idx="728">
                  <c:v>43539</c:v>
                </c:pt>
                <c:pt idx="729">
                  <c:v>43542</c:v>
                </c:pt>
                <c:pt idx="730">
                  <c:v>43543</c:v>
                </c:pt>
                <c:pt idx="731">
                  <c:v>43544</c:v>
                </c:pt>
                <c:pt idx="732">
                  <c:v>43545</c:v>
                </c:pt>
                <c:pt idx="733">
                  <c:v>43546</c:v>
                </c:pt>
                <c:pt idx="734">
                  <c:v>43549</c:v>
                </c:pt>
                <c:pt idx="735">
                  <c:v>43550</c:v>
                </c:pt>
                <c:pt idx="736">
                  <c:v>43551</c:v>
                </c:pt>
                <c:pt idx="737">
                  <c:v>43552</c:v>
                </c:pt>
                <c:pt idx="738">
                  <c:v>43553</c:v>
                </c:pt>
                <c:pt idx="739">
                  <c:v>43556</c:v>
                </c:pt>
                <c:pt idx="740">
                  <c:v>43557</c:v>
                </c:pt>
                <c:pt idx="741">
                  <c:v>43558</c:v>
                </c:pt>
                <c:pt idx="742">
                  <c:v>43559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43574</c:v>
                </c:pt>
                <c:pt idx="753">
                  <c:v>43577</c:v>
                </c:pt>
                <c:pt idx="754">
                  <c:v>43578</c:v>
                </c:pt>
                <c:pt idx="755">
                  <c:v>43579</c:v>
                </c:pt>
                <c:pt idx="756">
                  <c:v>43580</c:v>
                </c:pt>
                <c:pt idx="757">
                  <c:v>43581</c:v>
                </c:pt>
                <c:pt idx="758">
                  <c:v>43584</c:v>
                </c:pt>
                <c:pt idx="759">
                  <c:v>43585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43626</c:v>
                </c:pt>
                <c:pt idx="785">
                  <c:v>43627</c:v>
                </c:pt>
                <c:pt idx="786">
                  <c:v>43628</c:v>
                </c:pt>
                <c:pt idx="787">
                  <c:v>43629</c:v>
                </c:pt>
                <c:pt idx="788">
                  <c:v>43630</c:v>
                </c:pt>
                <c:pt idx="789">
                  <c:v>43633</c:v>
                </c:pt>
                <c:pt idx="790">
                  <c:v>43634</c:v>
                </c:pt>
                <c:pt idx="791">
                  <c:v>43635</c:v>
                </c:pt>
                <c:pt idx="792">
                  <c:v>43636</c:v>
                </c:pt>
                <c:pt idx="793">
                  <c:v>43637</c:v>
                </c:pt>
                <c:pt idx="794">
                  <c:v>43640</c:v>
                </c:pt>
                <c:pt idx="795">
                  <c:v>43641</c:v>
                </c:pt>
                <c:pt idx="796">
                  <c:v>43642</c:v>
                </c:pt>
                <c:pt idx="797">
                  <c:v>43643</c:v>
                </c:pt>
                <c:pt idx="798">
                  <c:v>43644</c:v>
                </c:pt>
                <c:pt idx="799">
                  <c:v>43647</c:v>
                </c:pt>
                <c:pt idx="800">
                  <c:v>43648</c:v>
                </c:pt>
                <c:pt idx="801">
                  <c:v>43649</c:v>
                </c:pt>
                <c:pt idx="802">
                  <c:v>43650</c:v>
                </c:pt>
                <c:pt idx="803">
                  <c:v>43651</c:v>
                </c:pt>
                <c:pt idx="804">
                  <c:v>43654</c:v>
                </c:pt>
                <c:pt idx="805">
                  <c:v>43655</c:v>
                </c:pt>
                <c:pt idx="806">
                  <c:v>43656</c:v>
                </c:pt>
                <c:pt idx="807">
                  <c:v>43657</c:v>
                </c:pt>
                <c:pt idx="808">
                  <c:v>43658</c:v>
                </c:pt>
                <c:pt idx="809">
                  <c:v>43661</c:v>
                </c:pt>
                <c:pt idx="810">
                  <c:v>43662</c:v>
                </c:pt>
                <c:pt idx="811">
                  <c:v>43663</c:v>
                </c:pt>
                <c:pt idx="812">
                  <c:v>43664</c:v>
                </c:pt>
                <c:pt idx="813">
                  <c:v>43665</c:v>
                </c:pt>
                <c:pt idx="814">
                  <c:v>43668</c:v>
                </c:pt>
                <c:pt idx="815">
                  <c:v>43669</c:v>
                </c:pt>
                <c:pt idx="816">
                  <c:v>43670</c:v>
                </c:pt>
                <c:pt idx="817">
                  <c:v>43671</c:v>
                </c:pt>
                <c:pt idx="818">
                  <c:v>43672</c:v>
                </c:pt>
                <c:pt idx="819">
                  <c:v>43675</c:v>
                </c:pt>
                <c:pt idx="820">
                  <c:v>43676</c:v>
                </c:pt>
                <c:pt idx="821">
                  <c:v>43677</c:v>
                </c:pt>
                <c:pt idx="822">
                  <c:v>43678</c:v>
                </c:pt>
                <c:pt idx="823">
                  <c:v>43679</c:v>
                </c:pt>
                <c:pt idx="824">
                  <c:v>43682</c:v>
                </c:pt>
                <c:pt idx="825">
                  <c:v>43683</c:v>
                </c:pt>
                <c:pt idx="826">
                  <c:v>43684</c:v>
                </c:pt>
                <c:pt idx="827">
                  <c:v>43685</c:v>
                </c:pt>
                <c:pt idx="828">
                  <c:v>43686</c:v>
                </c:pt>
                <c:pt idx="829">
                  <c:v>43689</c:v>
                </c:pt>
                <c:pt idx="830">
                  <c:v>43690</c:v>
                </c:pt>
                <c:pt idx="831">
                  <c:v>43691</c:v>
                </c:pt>
                <c:pt idx="832">
                  <c:v>43692</c:v>
                </c:pt>
                <c:pt idx="833">
                  <c:v>43693</c:v>
                </c:pt>
                <c:pt idx="834">
                  <c:v>43696</c:v>
                </c:pt>
                <c:pt idx="835">
                  <c:v>43697</c:v>
                </c:pt>
                <c:pt idx="836">
                  <c:v>43698</c:v>
                </c:pt>
                <c:pt idx="837">
                  <c:v>43699</c:v>
                </c:pt>
                <c:pt idx="838">
                  <c:v>43700</c:v>
                </c:pt>
                <c:pt idx="839">
                  <c:v>43703</c:v>
                </c:pt>
                <c:pt idx="840">
                  <c:v>43704</c:v>
                </c:pt>
                <c:pt idx="841">
                  <c:v>43705</c:v>
                </c:pt>
                <c:pt idx="842">
                  <c:v>43706</c:v>
                </c:pt>
                <c:pt idx="843">
                  <c:v>43707</c:v>
                </c:pt>
                <c:pt idx="844">
                  <c:v>43710</c:v>
                </c:pt>
                <c:pt idx="845">
                  <c:v>43711</c:v>
                </c:pt>
                <c:pt idx="846">
                  <c:v>43712</c:v>
                </c:pt>
                <c:pt idx="847">
                  <c:v>43713</c:v>
                </c:pt>
                <c:pt idx="848">
                  <c:v>43714</c:v>
                </c:pt>
                <c:pt idx="849">
                  <c:v>43717</c:v>
                </c:pt>
                <c:pt idx="850">
                  <c:v>43718</c:v>
                </c:pt>
                <c:pt idx="851">
                  <c:v>43719</c:v>
                </c:pt>
                <c:pt idx="852">
                  <c:v>43720</c:v>
                </c:pt>
                <c:pt idx="853">
                  <c:v>43724</c:v>
                </c:pt>
                <c:pt idx="854">
                  <c:v>43725</c:v>
                </c:pt>
                <c:pt idx="855">
                  <c:v>43726</c:v>
                </c:pt>
                <c:pt idx="856">
                  <c:v>43727</c:v>
                </c:pt>
                <c:pt idx="857">
                  <c:v>43728</c:v>
                </c:pt>
                <c:pt idx="858">
                  <c:v>43731</c:v>
                </c:pt>
                <c:pt idx="859">
                  <c:v>43732</c:v>
                </c:pt>
                <c:pt idx="860">
                  <c:v>43733</c:v>
                </c:pt>
                <c:pt idx="861">
                  <c:v>43734</c:v>
                </c:pt>
                <c:pt idx="862">
                  <c:v>43735</c:v>
                </c:pt>
                <c:pt idx="863">
                  <c:v>43738</c:v>
                </c:pt>
                <c:pt idx="864">
                  <c:v>43746</c:v>
                </c:pt>
                <c:pt idx="865">
                  <c:v>43747</c:v>
                </c:pt>
                <c:pt idx="866">
                  <c:v>43748</c:v>
                </c:pt>
                <c:pt idx="867">
                  <c:v>43749</c:v>
                </c:pt>
                <c:pt idx="868">
                  <c:v>43752</c:v>
                </c:pt>
                <c:pt idx="869">
                  <c:v>43753</c:v>
                </c:pt>
                <c:pt idx="870">
                  <c:v>43754</c:v>
                </c:pt>
                <c:pt idx="871">
                  <c:v>43755</c:v>
                </c:pt>
                <c:pt idx="872">
                  <c:v>43756</c:v>
                </c:pt>
                <c:pt idx="873">
                  <c:v>43759</c:v>
                </c:pt>
                <c:pt idx="874">
                  <c:v>43760</c:v>
                </c:pt>
                <c:pt idx="875">
                  <c:v>43761</c:v>
                </c:pt>
                <c:pt idx="876">
                  <c:v>43762</c:v>
                </c:pt>
                <c:pt idx="877">
                  <c:v>43763</c:v>
                </c:pt>
                <c:pt idx="878">
                  <c:v>43766</c:v>
                </c:pt>
                <c:pt idx="879">
                  <c:v>43767</c:v>
                </c:pt>
                <c:pt idx="880">
                  <c:v>43768</c:v>
                </c:pt>
                <c:pt idx="881">
                  <c:v>43769</c:v>
                </c:pt>
                <c:pt idx="882">
                  <c:v>43770</c:v>
                </c:pt>
                <c:pt idx="883">
                  <c:v>43773</c:v>
                </c:pt>
                <c:pt idx="884">
                  <c:v>43774</c:v>
                </c:pt>
                <c:pt idx="885">
                  <c:v>43775</c:v>
                </c:pt>
                <c:pt idx="886">
                  <c:v>43776</c:v>
                </c:pt>
                <c:pt idx="887">
                  <c:v>43777</c:v>
                </c:pt>
                <c:pt idx="888">
                  <c:v>43780</c:v>
                </c:pt>
                <c:pt idx="889">
                  <c:v>43781</c:v>
                </c:pt>
                <c:pt idx="890">
                  <c:v>43782</c:v>
                </c:pt>
                <c:pt idx="891">
                  <c:v>43783</c:v>
                </c:pt>
                <c:pt idx="892">
                  <c:v>43784</c:v>
                </c:pt>
                <c:pt idx="893">
                  <c:v>43787</c:v>
                </c:pt>
                <c:pt idx="894">
                  <c:v>43788</c:v>
                </c:pt>
                <c:pt idx="895">
                  <c:v>43789</c:v>
                </c:pt>
                <c:pt idx="896">
                  <c:v>43790</c:v>
                </c:pt>
                <c:pt idx="897">
                  <c:v>43791</c:v>
                </c:pt>
                <c:pt idx="898">
                  <c:v>43794</c:v>
                </c:pt>
                <c:pt idx="899">
                  <c:v>43795</c:v>
                </c:pt>
                <c:pt idx="900">
                  <c:v>43796</c:v>
                </c:pt>
                <c:pt idx="901">
                  <c:v>43797</c:v>
                </c:pt>
                <c:pt idx="902">
                  <c:v>43798</c:v>
                </c:pt>
                <c:pt idx="903">
                  <c:v>43801</c:v>
                </c:pt>
                <c:pt idx="904">
                  <c:v>43802</c:v>
                </c:pt>
                <c:pt idx="905">
                  <c:v>43803</c:v>
                </c:pt>
                <c:pt idx="906">
                  <c:v>43804</c:v>
                </c:pt>
                <c:pt idx="907">
                  <c:v>43805</c:v>
                </c:pt>
                <c:pt idx="908">
                  <c:v>43808</c:v>
                </c:pt>
                <c:pt idx="909">
                  <c:v>43809</c:v>
                </c:pt>
                <c:pt idx="910">
                  <c:v>43810</c:v>
                </c:pt>
                <c:pt idx="911">
                  <c:v>43811</c:v>
                </c:pt>
                <c:pt idx="912">
                  <c:v>43812</c:v>
                </c:pt>
                <c:pt idx="913">
                  <c:v>43815</c:v>
                </c:pt>
                <c:pt idx="914">
                  <c:v>43816</c:v>
                </c:pt>
                <c:pt idx="915">
                  <c:v>43817</c:v>
                </c:pt>
                <c:pt idx="916">
                  <c:v>43818</c:v>
                </c:pt>
                <c:pt idx="917">
                  <c:v>43819</c:v>
                </c:pt>
                <c:pt idx="918">
                  <c:v>43822</c:v>
                </c:pt>
                <c:pt idx="919">
                  <c:v>43823</c:v>
                </c:pt>
                <c:pt idx="920">
                  <c:v>43824</c:v>
                </c:pt>
                <c:pt idx="921">
                  <c:v>43825</c:v>
                </c:pt>
                <c:pt idx="922">
                  <c:v>43826</c:v>
                </c:pt>
                <c:pt idx="923">
                  <c:v>43829</c:v>
                </c:pt>
                <c:pt idx="924">
                  <c:v>43830</c:v>
                </c:pt>
                <c:pt idx="925">
                  <c:v>43832</c:v>
                </c:pt>
                <c:pt idx="926">
                  <c:v>43833</c:v>
                </c:pt>
                <c:pt idx="927">
                  <c:v>43836</c:v>
                </c:pt>
                <c:pt idx="928">
                  <c:v>43837</c:v>
                </c:pt>
                <c:pt idx="929">
                  <c:v>43838</c:v>
                </c:pt>
                <c:pt idx="930">
                  <c:v>43839</c:v>
                </c:pt>
                <c:pt idx="931">
                  <c:v>43840</c:v>
                </c:pt>
                <c:pt idx="932">
                  <c:v>43843</c:v>
                </c:pt>
                <c:pt idx="933">
                  <c:v>43844</c:v>
                </c:pt>
                <c:pt idx="934">
                  <c:v>43845</c:v>
                </c:pt>
                <c:pt idx="935">
                  <c:v>43846</c:v>
                </c:pt>
                <c:pt idx="936">
                  <c:v>43847</c:v>
                </c:pt>
                <c:pt idx="937">
                  <c:v>43850</c:v>
                </c:pt>
                <c:pt idx="938">
                  <c:v>43851</c:v>
                </c:pt>
                <c:pt idx="939">
                  <c:v>43852</c:v>
                </c:pt>
                <c:pt idx="940">
                  <c:v>43853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43928</c:v>
                </c:pt>
                <c:pt idx="986">
                  <c:v>43929</c:v>
                </c:pt>
                <c:pt idx="987">
                  <c:v>43930</c:v>
                </c:pt>
                <c:pt idx="988">
                  <c:v>43931</c:v>
                </c:pt>
                <c:pt idx="989">
                  <c:v>43934</c:v>
                </c:pt>
                <c:pt idx="990">
                  <c:v>43935</c:v>
                </c:pt>
                <c:pt idx="991">
                  <c:v>43936</c:v>
                </c:pt>
                <c:pt idx="992">
                  <c:v>43937</c:v>
                </c:pt>
                <c:pt idx="993">
                  <c:v>43938</c:v>
                </c:pt>
                <c:pt idx="994">
                  <c:v>43941</c:v>
                </c:pt>
                <c:pt idx="995">
                  <c:v>43942</c:v>
                </c:pt>
                <c:pt idx="996">
                  <c:v>43943</c:v>
                </c:pt>
                <c:pt idx="997">
                  <c:v>43944</c:v>
                </c:pt>
                <c:pt idx="998">
                  <c:v>43945</c:v>
                </c:pt>
                <c:pt idx="999">
                  <c:v>43948</c:v>
                </c:pt>
                <c:pt idx="1000">
                  <c:v>43949</c:v>
                </c:pt>
                <c:pt idx="1001">
                  <c:v>43950</c:v>
                </c:pt>
                <c:pt idx="1002">
                  <c:v>43951</c:v>
                </c:pt>
                <c:pt idx="1003">
                  <c:v>43957</c:v>
                </c:pt>
                <c:pt idx="1004">
                  <c:v>43958</c:v>
                </c:pt>
                <c:pt idx="1005">
                  <c:v>43959</c:v>
                </c:pt>
                <c:pt idx="1006">
                  <c:v>43962</c:v>
                </c:pt>
                <c:pt idx="1007">
                  <c:v>43963</c:v>
                </c:pt>
                <c:pt idx="1008">
                  <c:v>43964</c:v>
                </c:pt>
                <c:pt idx="1009">
                  <c:v>43965</c:v>
                </c:pt>
                <c:pt idx="1010">
                  <c:v>43966</c:v>
                </c:pt>
                <c:pt idx="1011">
                  <c:v>43969</c:v>
                </c:pt>
                <c:pt idx="1012">
                  <c:v>43970</c:v>
                </c:pt>
                <c:pt idx="1013">
                  <c:v>43971</c:v>
                </c:pt>
                <c:pt idx="1014">
                  <c:v>43972</c:v>
                </c:pt>
                <c:pt idx="1015">
                  <c:v>43973</c:v>
                </c:pt>
                <c:pt idx="1016">
                  <c:v>43976</c:v>
                </c:pt>
                <c:pt idx="1017">
                  <c:v>43977</c:v>
                </c:pt>
                <c:pt idx="1018">
                  <c:v>43978</c:v>
                </c:pt>
                <c:pt idx="1019">
                  <c:v>43979</c:v>
                </c:pt>
                <c:pt idx="1020">
                  <c:v>43980</c:v>
                </c:pt>
                <c:pt idx="1021">
                  <c:v>43983</c:v>
                </c:pt>
                <c:pt idx="1022">
                  <c:v>43984</c:v>
                </c:pt>
                <c:pt idx="1023">
                  <c:v>43985</c:v>
                </c:pt>
                <c:pt idx="1024">
                  <c:v>43986</c:v>
                </c:pt>
                <c:pt idx="1025">
                  <c:v>43987</c:v>
                </c:pt>
                <c:pt idx="1026">
                  <c:v>43990</c:v>
                </c:pt>
                <c:pt idx="1027">
                  <c:v>43991</c:v>
                </c:pt>
                <c:pt idx="1028">
                  <c:v>43992</c:v>
                </c:pt>
                <c:pt idx="1029">
                  <c:v>43993</c:v>
                </c:pt>
                <c:pt idx="1030">
                  <c:v>43994</c:v>
                </c:pt>
                <c:pt idx="1031">
                  <c:v>43997</c:v>
                </c:pt>
                <c:pt idx="1032">
                  <c:v>43998</c:v>
                </c:pt>
                <c:pt idx="1033">
                  <c:v>43999</c:v>
                </c:pt>
                <c:pt idx="1034">
                  <c:v>44000</c:v>
                </c:pt>
                <c:pt idx="1035">
                  <c:v>44001</c:v>
                </c:pt>
                <c:pt idx="1036">
                  <c:v>44004</c:v>
                </c:pt>
                <c:pt idx="1037">
                  <c:v>44005</c:v>
                </c:pt>
                <c:pt idx="1038">
                  <c:v>44006</c:v>
                </c:pt>
                <c:pt idx="1039">
                  <c:v>44011</c:v>
                </c:pt>
                <c:pt idx="1040">
                  <c:v>44012</c:v>
                </c:pt>
                <c:pt idx="1041">
                  <c:v>44013</c:v>
                </c:pt>
                <c:pt idx="1042">
                  <c:v>44014</c:v>
                </c:pt>
                <c:pt idx="1043">
                  <c:v>44015</c:v>
                </c:pt>
                <c:pt idx="1044">
                  <c:v>44018</c:v>
                </c:pt>
                <c:pt idx="1045">
                  <c:v>44019</c:v>
                </c:pt>
                <c:pt idx="1046">
                  <c:v>44020</c:v>
                </c:pt>
                <c:pt idx="1047">
                  <c:v>44021</c:v>
                </c:pt>
                <c:pt idx="1048">
                  <c:v>44022</c:v>
                </c:pt>
                <c:pt idx="1049">
                  <c:v>44025</c:v>
                </c:pt>
                <c:pt idx="1050">
                  <c:v>44026</c:v>
                </c:pt>
                <c:pt idx="1051">
                  <c:v>44027</c:v>
                </c:pt>
                <c:pt idx="1052">
                  <c:v>44028</c:v>
                </c:pt>
                <c:pt idx="1053">
                  <c:v>44029</c:v>
                </c:pt>
                <c:pt idx="1054">
                  <c:v>44032</c:v>
                </c:pt>
                <c:pt idx="1055">
                  <c:v>44033</c:v>
                </c:pt>
                <c:pt idx="1056">
                  <c:v>44034</c:v>
                </c:pt>
                <c:pt idx="1057">
                  <c:v>44035</c:v>
                </c:pt>
                <c:pt idx="1058">
                  <c:v>44036</c:v>
                </c:pt>
                <c:pt idx="1059">
                  <c:v>44039</c:v>
                </c:pt>
                <c:pt idx="1060">
                  <c:v>44040</c:v>
                </c:pt>
                <c:pt idx="1061">
                  <c:v>44041</c:v>
                </c:pt>
                <c:pt idx="1062">
                  <c:v>44042</c:v>
                </c:pt>
                <c:pt idx="1063">
                  <c:v>44043</c:v>
                </c:pt>
                <c:pt idx="1064">
                  <c:v>44046</c:v>
                </c:pt>
                <c:pt idx="1065">
                  <c:v>44047</c:v>
                </c:pt>
                <c:pt idx="1066">
                  <c:v>44048</c:v>
                </c:pt>
                <c:pt idx="1067">
                  <c:v>44049</c:v>
                </c:pt>
                <c:pt idx="1068">
                  <c:v>44050</c:v>
                </c:pt>
                <c:pt idx="1069">
                  <c:v>44053</c:v>
                </c:pt>
                <c:pt idx="1070">
                  <c:v>44054</c:v>
                </c:pt>
                <c:pt idx="1071">
                  <c:v>44055</c:v>
                </c:pt>
                <c:pt idx="1072">
                  <c:v>44056</c:v>
                </c:pt>
                <c:pt idx="1073">
                  <c:v>44057</c:v>
                </c:pt>
                <c:pt idx="1074">
                  <c:v>44060</c:v>
                </c:pt>
                <c:pt idx="1075">
                  <c:v>44061</c:v>
                </c:pt>
                <c:pt idx="1076">
                  <c:v>44062</c:v>
                </c:pt>
                <c:pt idx="1077">
                  <c:v>44063</c:v>
                </c:pt>
                <c:pt idx="1078">
                  <c:v>44064</c:v>
                </c:pt>
                <c:pt idx="1079">
                  <c:v>44067</c:v>
                </c:pt>
                <c:pt idx="1080">
                  <c:v>44068</c:v>
                </c:pt>
                <c:pt idx="1081">
                  <c:v>44069</c:v>
                </c:pt>
                <c:pt idx="1082">
                  <c:v>44070</c:v>
                </c:pt>
                <c:pt idx="1083">
                  <c:v>44071</c:v>
                </c:pt>
                <c:pt idx="1084">
                  <c:v>44074</c:v>
                </c:pt>
                <c:pt idx="1085">
                  <c:v>44075</c:v>
                </c:pt>
                <c:pt idx="1086">
                  <c:v>44076</c:v>
                </c:pt>
                <c:pt idx="1087">
                  <c:v>44077</c:v>
                </c:pt>
                <c:pt idx="1088">
                  <c:v>44078</c:v>
                </c:pt>
                <c:pt idx="1089">
                  <c:v>44081</c:v>
                </c:pt>
                <c:pt idx="1090">
                  <c:v>44082</c:v>
                </c:pt>
                <c:pt idx="1091">
                  <c:v>44083</c:v>
                </c:pt>
                <c:pt idx="1092">
                  <c:v>44084</c:v>
                </c:pt>
                <c:pt idx="1093">
                  <c:v>44085</c:v>
                </c:pt>
                <c:pt idx="1094">
                  <c:v>44088</c:v>
                </c:pt>
                <c:pt idx="1095">
                  <c:v>44089</c:v>
                </c:pt>
                <c:pt idx="1096">
                  <c:v>44090</c:v>
                </c:pt>
                <c:pt idx="1097">
                  <c:v>44091</c:v>
                </c:pt>
                <c:pt idx="1098">
                  <c:v>44092</c:v>
                </c:pt>
                <c:pt idx="1099">
                  <c:v>44095</c:v>
                </c:pt>
                <c:pt idx="1100">
                  <c:v>44096</c:v>
                </c:pt>
                <c:pt idx="1101">
                  <c:v>44097</c:v>
                </c:pt>
                <c:pt idx="1102">
                  <c:v>44098</c:v>
                </c:pt>
                <c:pt idx="1103">
                  <c:v>44099</c:v>
                </c:pt>
                <c:pt idx="1104">
                  <c:v>44102</c:v>
                </c:pt>
                <c:pt idx="1105">
                  <c:v>44103</c:v>
                </c:pt>
                <c:pt idx="1106">
                  <c:v>44104</c:v>
                </c:pt>
                <c:pt idx="1107">
                  <c:v>44113</c:v>
                </c:pt>
                <c:pt idx="1108">
                  <c:v>44116</c:v>
                </c:pt>
                <c:pt idx="1109">
                  <c:v>44117</c:v>
                </c:pt>
                <c:pt idx="1110">
                  <c:v>44118</c:v>
                </c:pt>
                <c:pt idx="1111">
                  <c:v>44119</c:v>
                </c:pt>
                <c:pt idx="1112">
                  <c:v>44120</c:v>
                </c:pt>
                <c:pt idx="1113">
                  <c:v>44123</c:v>
                </c:pt>
                <c:pt idx="1114">
                  <c:v>44124</c:v>
                </c:pt>
                <c:pt idx="1115">
                  <c:v>44125</c:v>
                </c:pt>
                <c:pt idx="1116">
                  <c:v>44126</c:v>
                </c:pt>
                <c:pt idx="1117">
                  <c:v>44127</c:v>
                </c:pt>
                <c:pt idx="1118">
                  <c:v>44130</c:v>
                </c:pt>
                <c:pt idx="1119">
                  <c:v>44131</c:v>
                </c:pt>
                <c:pt idx="1120">
                  <c:v>44132</c:v>
                </c:pt>
                <c:pt idx="1121">
                  <c:v>44133</c:v>
                </c:pt>
                <c:pt idx="1122">
                  <c:v>44134</c:v>
                </c:pt>
                <c:pt idx="1123">
                  <c:v>44137</c:v>
                </c:pt>
                <c:pt idx="1124">
                  <c:v>44138</c:v>
                </c:pt>
                <c:pt idx="1125">
                  <c:v>44139</c:v>
                </c:pt>
                <c:pt idx="1126">
                  <c:v>44140</c:v>
                </c:pt>
                <c:pt idx="1127">
                  <c:v>44141</c:v>
                </c:pt>
                <c:pt idx="1128">
                  <c:v>44144</c:v>
                </c:pt>
                <c:pt idx="1129">
                  <c:v>44145</c:v>
                </c:pt>
                <c:pt idx="1130">
                  <c:v>44146</c:v>
                </c:pt>
                <c:pt idx="1131">
                  <c:v>44147</c:v>
                </c:pt>
                <c:pt idx="1132">
                  <c:v>44148</c:v>
                </c:pt>
                <c:pt idx="1133">
                  <c:v>44151</c:v>
                </c:pt>
                <c:pt idx="1134">
                  <c:v>44152</c:v>
                </c:pt>
                <c:pt idx="1135">
                  <c:v>44153</c:v>
                </c:pt>
                <c:pt idx="1136">
                  <c:v>44154</c:v>
                </c:pt>
                <c:pt idx="1137">
                  <c:v>44155</c:v>
                </c:pt>
                <c:pt idx="1138">
                  <c:v>44158</c:v>
                </c:pt>
                <c:pt idx="1139">
                  <c:v>44159</c:v>
                </c:pt>
                <c:pt idx="1140">
                  <c:v>44160</c:v>
                </c:pt>
                <c:pt idx="1141">
                  <c:v>44161</c:v>
                </c:pt>
                <c:pt idx="1142">
                  <c:v>44162</c:v>
                </c:pt>
                <c:pt idx="1143">
                  <c:v>44165</c:v>
                </c:pt>
                <c:pt idx="1144">
                  <c:v>44166</c:v>
                </c:pt>
                <c:pt idx="1145">
                  <c:v>44167</c:v>
                </c:pt>
                <c:pt idx="1146">
                  <c:v>44168</c:v>
                </c:pt>
                <c:pt idx="1147">
                  <c:v>44169</c:v>
                </c:pt>
                <c:pt idx="1148">
                  <c:v>44172</c:v>
                </c:pt>
                <c:pt idx="1149">
                  <c:v>44173</c:v>
                </c:pt>
                <c:pt idx="1150">
                  <c:v>44174</c:v>
                </c:pt>
                <c:pt idx="1151">
                  <c:v>44175</c:v>
                </c:pt>
                <c:pt idx="1152">
                  <c:v>44176</c:v>
                </c:pt>
                <c:pt idx="1153">
                  <c:v>44179</c:v>
                </c:pt>
                <c:pt idx="1154">
                  <c:v>44180</c:v>
                </c:pt>
                <c:pt idx="1155">
                  <c:v>44181</c:v>
                </c:pt>
                <c:pt idx="1156">
                  <c:v>44182</c:v>
                </c:pt>
                <c:pt idx="1157">
                  <c:v>44183</c:v>
                </c:pt>
                <c:pt idx="1158">
                  <c:v>44186</c:v>
                </c:pt>
                <c:pt idx="1159">
                  <c:v>44187</c:v>
                </c:pt>
                <c:pt idx="1160">
                  <c:v>44188</c:v>
                </c:pt>
                <c:pt idx="1161">
                  <c:v>44189</c:v>
                </c:pt>
                <c:pt idx="1162">
                  <c:v>44190</c:v>
                </c:pt>
                <c:pt idx="1163">
                  <c:v>44193</c:v>
                </c:pt>
                <c:pt idx="1164">
                  <c:v>44194</c:v>
                </c:pt>
                <c:pt idx="1165">
                  <c:v>44195</c:v>
                </c:pt>
                <c:pt idx="1166">
                  <c:v>44196</c:v>
                </c:pt>
                <c:pt idx="1167">
                  <c:v>44200</c:v>
                </c:pt>
                <c:pt idx="1168">
                  <c:v>44201</c:v>
                </c:pt>
                <c:pt idx="1169">
                  <c:v>44202</c:v>
                </c:pt>
                <c:pt idx="1170">
                  <c:v>44203</c:v>
                </c:pt>
                <c:pt idx="1171">
                  <c:v>44204</c:v>
                </c:pt>
                <c:pt idx="1172">
                  <c:v>44207</c:v>
                </c:pt>
                <c:pt idx="1173">
                  <c:v>44208</c:v>
                </c:pt>
                <c:pt idx="1174">
                  <c:v>44209</c:v>
                </c:pt>
                <c:pt idx="1175">
                  <c:v>44210</c:v>
                </c:pt>
                <c:pt idx="1176">
                  <c:v>44211</c:v>
                </c:pt>
                <c:pt idx="1177">
                  <c:v>44214</c:v>
                </c:pt>
                <c:pt idx="1178">
                  <c:v>44215</c:v>
                </c:pt>
                <c:pt idx="1179">
                  <c:v>44216</c:v>
                </c:pt>
                <c:pt idx="1180">
                  <c:v>44217</c:v>
                </c:pt>
                <c:pt idx="1181">
                  <c:v>44218</c:v>
                </c:pt>
                <c:pt idx="1182">
                  <c:v>44221</c:v>
                </c:pt>
                <c:pt idx="1183">
                  <c:v>44222</c:v>
                </c:pt>
                <c:pt idx="1184">
                  <c:v>44223</c:v>
                </c:pt>
                <c:pt idx="1185">
                  <c:v>44224</c:v>
                </c:pt>
                <c:pt idx="1186">
                  <c:v>44225</c:v>
                </c:pt>
                <c:pt idx="1187">
                  <c:v>44228</c:v>
                </c:pt>
                <c:pt idx="1188">
                  <c:v>44229</c:v>
                </c:pt>
                <c:pt idx="1189">
                  <c:v>44230</c:v>
                </c:pt>
                <c:pt idx="1190">
                  <c:v>44231</c:v>
                </c:pt>
                <c:pt idx="1191">
                  <c:v>44232</c:v>
                </c:pt>
                <c:pt idx="1192">
                  <c:v>44235</c:v>
                </c:pt>
                <c:pt idx="1193">
                  <c:v>44236</c:v>
                </c:pt>
                <c:pt idx="1194">
                  <c:v>44237</c:v>
                </c:pt>
                <c:pt idx="1195">
                  <c:v>44245</c:v>
                </c:pt>
                <c:pt idx="1196">
                  <c:v>44246</c:v>
                </c:pt>
                <c:pt idx="1197">
                  <c:v>44249</c:v>
                </c:pt>
                <c:pt idx="1198">
                  <c:v>44250</c:v>
                </c:pt>
                <c:pt idx="1199">
                  <c:v>44251</c:v>
                </c:pt>
                <c:pt idx="1200">
                  <c:v>44252</c:v>
                </c:pt>
                <c:pt idx="1201">
                  <c:v>44253</c:v>
                </c:pt>
                <c:pt idx="1202">
                  <c:v>44256</c:v>
                </c:pt>
                <c:pt idx="1203">
                  <c:v>44257</c:v>
                </c:pt>
                <c:pt idx="1204">
                  <c:v>44258</c:v>
                </c:pt>
                <c:pt idx="1205">
                  <c:v>44259</c:v>
                </c:pt>
                <c:pt idx="1206">
                  <c:v>44260</c:v>
                </c:pt>
                <c:pt idx="1207">
                  <c:v>44263</c:v>
                </c:pt>
                <c:pt idx="1208">
                  <c:v>44264</c:v>
                </c:pt>
                <c:pt idx="1209">
                  <c:v>44265</c:v>
                </c:pt>
                <c:pt idx="1210">
                  <c:v>44266</c:v>
                </c:pt>
                <c:pt idx="1211">
                  <c:v>44267</c:v>
                </c:pt>
                <c:pt idx="1212">
                  <c:v>44270</c:v>
                </c:pt>
                <c:pt idx="1213">
                  <c:v>44271</c:v>
                </c:pt>
                <c:pt idx="1214">
                  <c:v>44272</c:v>
                </c:pt>
                <c:pt idx="1215">
                  <c:v>44273</c:v>
                </c:pt>
                <c:pt idx="1216">
                  <c:v>44274</c:v>
                </c:pt>
                <c:pt idx="1217">
                  <c:v>44277</c:v>
                </c:pt>
                <c:pt idx="1218">
                  <c:v>44278</c:v>
                </c:pt>
                <c:pt idx="1219">
                  <c:v>44279</c:v>
                </c:pt>
                <c:pt idx="1220">
                  <c:v>44280</c:v>
                </c:pt>
                <c:pt idx="1221">
                  <c:v>44281</c:v>
                </c:pt>
                <c:pt idx="1222">
                  <c:v>44284</c:v>
                </c:pt>
                <c:pt idx="1223">
                  <c:v>44285</c:v>
                </c:pt>
                <c:pt idx="1224">
                  <c:v>44286</c:v>
                </c:pt>
                <c:pt idx="1225">
                  <c:v>44287</c:v>
                </c:pt>
                <c:pt idx="1226">
                  <c:v>44288</c:v>
                </c:pt>
                <c:pt idx="1227">
                  <c:v>44292</c:v>
                </c:pt>
                <c:pt idx="1228">
                  <c:v>44293</c:v>
                </c:pt>
                <c:pt idx="1229">
                  <c:v>44294</c:v>
                </c:pt>
                <c:pt idx="1230">
                  <c:v>44295</c:v>
                </c:pt>
                <c:pt idx="1231">
                  <c:v>44298</c:v>
                </c:pt>
                <c:pt idx="1232">
                  <c:v>44299</c:v>
                </c:pt>
                <c:pt idx="1233">
                  <c:v>44300</c:v>
                </c:pt>
                <c:pt idx="1234">
                  <c:v>44301</c:v>
                </c:pt>
                <c:pt idx="1235">
                  <c:v>44302</c:v>
                </c:pt>
                <c:pt idx="1236">
                  <c:v>44305</c:v>
                </c:pt>
                <c:pt idx="1237">
                  <c:v>44306</c:v>
                </c:pt>
                <c:pt idx="1238">
                  <c:v>44307</c:v>
                </c:pt>
                <c:pt idx="1239">
                  <c:v>44308</c:v>
                </c:pt>
                <c:pt idx="1240">
                  <c:v>44309</c:v>
                </c:pt>
                <c:pt idx="1241">
                  <c:v>44312</c:v>
                </c:pt>
                <c:pt idx="1242">
                  <c:v>44313</c:v>
                </c:pt>
                <c:pt idx="1243">
                  <c:v>44314</c:v>
                </c:pt>
                <c:pt idx="1244">
                  <c:v>44315</c:v>
                </c:pt>
                <c:pt idx="1245">
                  <c:v>44316</c:v>
                </c:pt>
                <c:pt idx="1246">
                  <c:v>44322</c:v>
                </c:pt>
                <c:pt idx="1247">
                  <c:v>44323</c:v>
                </c:pt>
                <c:pt idx="1248">
                  <c:v>44326</c:v>
                </c:pt>
                <c:pt idx="1249">
                  <c:v>44327</c:v>
                </c:pt>
                <c:pt idx="1250">
                  <c:v>44328</c:v>
                </c:pt>
                <c:pt idx="1251">
                  <c:v>44329</c:v>
                </c:pt>
                <c:pt idx="1252">
                  <c:v>44330</c:v>
                </c:pt>
                <c:pt idx="1253">
                  <c:v>44333</c:v>
                </c:pt>
                <c:pt idx="1254">
                  <c:v>44334</c:v>
                </c:pt>
                <c:pt idx="1255">
                  <c:v>44335</c:v>
                </c:pt>
                <c:pt idx="1256">
                  <c:v>44336</c:v>
                </c:pt>
                <c:pt idx="1257">
                  <c:v>44337</c:v>
                </c:pt>
                <c:pt idx="1258">
                  <c:v>44340</c:v>
                </c:pt>
                <c:pt idx="1259">
                  <c:v>44341</c:v>
                </c:pt>
                <c:pt idx="1260">
                  <c:v>44342</c:v>
                </c:pt>
                <c:pt idx="1261">
                  <c:v>44343</c:v>
                </c:pt>
                <c:pt idx="1262">
                  <c:v>44344</c:v>
                </c:pt>
                <c:pt idx="1263">
                  <c:v>44347</c:v>
                </c:pt>
                <c:pt idx="1264">
                  <c:v>44348</c:v>
                </c:pt>
                <c:pt idx="1265">
                  <c:v>44349</c:v>
                </c:pt>
                <c:pt idx="1266">
                  <c:v>44350</c:v>
                </c:pt>
                <c:pt idx="1267">
                  <c:v>44351</c:v>
                </c:pt>
                <c:pt idx="1268">
                  <c:v>44354</c:v>
                </c:pt>
                <c:pt idx="1269">
                  <c:v>44355</c:v>
                </c:pt>
                <c:pt idx="1270">
                  <c:v>44356</c:v>
                </c:pt>
                <c:pt idx="1271">
                  <c:v>44357</c:v>
                </c:pt>
                <c:pt idx="1272">
                  <c:v>44358</c:v>
                </c:pt>
                <c:pt idx="1273">
                  <c:v>44362</c:v>
                </c:pt>
                <c:pt idx="1274">
                  <c:v>44363</c:v>
                </c:pt>
                <c:pt idx="1275">
                  <c:v>44364</c:v>
                </c:pt>
                <c:pt idx="1276">
                  <c:v>44365</c:v>
                </c:pt>
                <c:pt idx="1277">
                  <c:v>44368</c:v>
                </c:pt>
                <c:pt idx="1278">
                  <c:v>44369</c:v>
                </c:pt>
                <c:pt idx="1279">
                  <c:v>44370</c:v>
                </c:pt>
                <c:pt idx="1280">
                  <c:v>44371</c:v>
                </c:pt>
                <c:pt idx="1281">
                  <c:v>44372</c:v>
                </c:pt>
                <c:pt idx="1282">
                  <c:v>44375</c:v>
                </c:pt>
                <c:pt idx="1283">
                  <c:v>44376</c:v>
                </c:pt>
                <c:pt idx="1284">
                  <c:v>44377</c:v>
                </c:pt>
                <c:pt idx="1285">
                  <c:v>44378</c:v>
                </c:pt>
                <c:pt idx="1286">
                  <c:v>44379</c:v>
                </c:pt>
                <c:pt idx="1287">
                  <c:v>44382</c:v>
                </c:pt>
                <c:pt idx="1288">
                  <c:v>44383</c:v>
                </c:pt>
                <c:pt idx="1289">
                  <c:v>44384</c:v>
                </c:pt>
                <c:pt idx="1290">
                  <c:v>44385</c:v>
                </c:pt>
                <c:pt idx="1291">
                  <c:v>44386</c:v>
                </c:pt>
                <c:pt idx="1292">
                  <c:v>44389</c:v>
                </c:pt>
                <c:pt idx="1293">
                  <c:v>44390</c:v>
                </c:pt>
                <c:pt idx="1294">
                  <c:v>44391</c:v>
                </c:pt>
                <c:pt idx="1295">
                  <c:v>44392</c:v>
                </c:pt>
                <c:pt idx="1296">
                  <c:v>44393</c:v>
                </c:pt>
                <c:pt idx="1297">
                  <c:v>44396</c:v>
                </c:pt>
                <c:pt idx="1298">
                  <c:v>44397</c:v>
                </c:pt>
                <c:pt idx="1299">
                  <c:v>44398</c:v>
                </c:pt>
                <c:pt idx="1300">
                  <c:v>44399</c:v>
                </c:pt>
                <c:pt idx="1301">
                  <c:v>44400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</c:numCache>
            </c:numRef>
          </c:cat>
          <c:val>
            <c:numRef>
              <c:f>[0]!Vix</c:f>
              <c:numCache>
                <c:formatCode>General</c:formatCode>
                <c:ptCount val="1307"/>
                <c:pt idx="0">
                  <c:v>31.623688251502621</c:v>
                </c:pt>
                <c:pt idx="1">
                  <c:v>33.109723464132493</c:v>
                </c:pt>
                <c:pt idx="2">
                  <c:v>33.510247036645893</c:v>
                </c:pt>
                <c:pt idx="3">
                  <c:v>31.78476022569475</c:v>
                </c:pt>
                <c:pt idx="4">
                  <c:v>29.333649849464901</c:v>
                </c:pt>
                <c:pt idx="5">
                  <c:v>27.955452660453009</c:v>
                </c:pt>
                <c:pt idx="6">
                  <c:v>28.080941833613579</c:v>
                </c:pt>
                <c:pt idx="7">
                  <c:v>27.443079078309911</c:v>
                </c:pt>
                <c:pt idx="8">
                  <c:v>27.780653625453699</c:v>
                </c:pt>
                <c:pt idx="9">
                  <c:v>27.2884412296665</c:v>
                </c:pt>
                <c:pt idx="10">
                  <c:v>26.841245563903492</c:v>
                </c:pt>
                <c:pt idx="11">
                  <c:v>26.816994047880751</c:v>
                </c:pt>
                <c:pt idx="12">
                  <c:v>25.62536652433111</c:v>
                </c:pt>
                <c:pt idx="13">
                  <c:v>24.530404634603471</c:v>
                </c:pt>
                <c:pt idx="14">
                  <c:v>24.220405707429361</c:v>
                </c:pt>
                <c:pt idx="15">
                  <c:v>23.49560565089368</c:v>
                </c:pt>
                <c:pt idx="16">
                  <c:v>23.364200461883879</c:v>
                </c:pt>
                <c:pt idx="17">
                  <c:v>22.819188266364911</c:v>
                </c:pt>
                <c:pt idx="18">
                  <c:v>22.84552001734486</c:v>
                </c:pt>
                <c:pt idx="19">
                  <c:v>23.051981009197782</c:v>
                </c:pt>
                <c:pt idx="20">
                  <c:v>22.388121041411491</c:v>
                </c:pt>
                <c:pt idx="21">
                  <c:v>24.29937538603161</c:v>
                </c:pt>
                <c:pt idx="22">
                  <c:v>23.402681223472889</c:v>
                </c:pt>
                <c:pt idx="23">
                  <c:v>22.59346843618497</c:v>
                </c:pt>
                <c:pt idx="24">
                  <c:v>22.071992961762291</c:v>
                </c:pt>
                <c:pt idx="25">
                  <c:v>22.460905529243171</c:v>
                </c:pt>
                <c:pt idx="26">
                  <c:v>22.431232317090341</c:v>
                </c:pt>
                <c:pt idx="27">
                  <c:v>21.428763354314881</c:v>
                </c:pt>
                <c:pt idx="28">
                  <c:v>20.630430518495949</c:v>
                </c:pt>
                <c:pt idx="29">
                  <c:v>20.582450478348111</c:v>
                </c:pt>
                <c:pt idx="30">
                  <c:v>20.040708122573069</c:v>
                </c:pt>
                <c:pt idx="31">
                  <c:v>19.73443165260306</c:v>
                </c:pt>
                <c:pt idx="32">
                  <c:v>20.445680510281601</c:v>
                </c:pt>
                <c:pt idx="33">
                  <c:v>23.11204323399858</c:v>
                </c:pt>
                <c:pt idx="34">
                  <c:v>21.971525502906641</c:v>
                </c:pt>
                <c:pt idx="35">
                  <c:v>20.60664804675255</c:v>
                </c:pt>
                <c:pt idx="36">
                  <c:v>20.678806893052919</c:v>
                </c:pt>
                <c:pt idx="37">
                  <c:v>20.019540973663901</c:v>
                </c:pt>
                <c:pt idx="38">
                  <c:v>19.7380069608501</c:v>
                </c:pt>
                <c:pt idx="39">
                  <c:v>19.292472371535681</c:v>
                </c:pt>
                <c:pt idx="40">
                  <c:v>20.947435897076961</c:v>
                </c:pt>
                <c:pt idx="41">
                  <c:v>19.811012639517099</c:v>
                </c:pt>
                <c:pt idx="42">
                  <c:v>18.698322543574559</c:v>
                </c:pt>
                <c:pt idx="43">
                  <c:v>17.053589797010641</c:v>
                </c:pt>
                <c:pt idx="44">
                  <c:v>16.833812728349208</c:v>
                </c:pt>
                <c:pt idx="45">
                  <c:v>17.51608987987753</c:v>
                </c:pt>
                <c:pt idx="46">
                  <c:v>16.050723053952719</c:v>
                </c:pt>
                <c:pt idx="47">
                  <c:v>15.5058365507911</c:v>
                </c:pt>
                <c:pt idx="48">
                  <c:v>15.83562089815149</c:v>
                </c:pt>
                <c:pt idx="49">
                  <c:v>18.25174528434292</c:v>
                </c:pt>
                <c:pt idx="50">
                  <c:v>18.15116013809811</c:v>
                </c:pt>
                <c:pt idx="51">
                  <c:v>17.8864494320866</c:v>
                </c:pt>
                <c:pt idx="52">
                  <c:v>17.987945577103979</c:v>
                </c:pt>
                <c:pt idx="53">
                  <c:v>18.139799958651381</c:v>
                </c:pt>
                <c:pt idx="54">
                  <c:v>17.964467503425841</c:v>
                </c:pt>
                <c:pt idx="55">
                  <c:v>18.245864938483731</c:v>
                </c:pt>
                <c:pt idx="56">
                  <c:v>19.501890698243081</c:v>
                </c:pt>
                <c:pt idx="57">
                  <c:v>18.972669200637831</c:v>
                </c:pt>
                <c:pt idx="58">
                  <c:v>19.782844662736242</c:v>
                </c:pt>
                <c:pt idx="59">
                  <c:v>19.27874394841816</c:v>
                </c:pt>
                <c:pt idx="60">
                  <c:v>18.3344564517264</c:v>
                </c:pt>
                <c:pt idx="61">
                  <c:v>18.496889788465371</c:v>
                </c:pt>
                <c:pt idx="62">
                  <c:v>18.114867639738371</c:v>
                </c:pt>
                <c:pt idx="63">
                  <c:v>18.423324175745481</c:v>
                </c:pt>
                <c:pt idx="64">
                  <c:v>18.62731026240127</c:v>
                </c:pt>
                <c:pt idx="65">
                  <c:v>18.728969942529861</c:v>
                </c:pt>
                <c:pt idx="66">
                  <c:v>17.47262437293104</c:v>
                </c:pt>
                <c:pt idx="67">
                  <c:v>16.64059485655843</c:v>
                </c:pt>
                <c:pt idx="68">
                  <c:v>16.109888746990318</c:v>
                </c:pt>
                <c:pt idx="69">
                  <c:v>15.72323067453836</c:v>
                </c:pt>
                <c:pt idx="70">
                  <c:v>15.44046184299336</c:v>
                </c:pt>
                <c:pt idx="71">
                  <c:v>15.342167261636691</c:v>
                </c:pt>
                <c:pt idx="72">
                  <c:v>15.857699024188589</c:v>
                </c:pt>
                <c:pt idx="73">
                  <c:v>15.833725360643371</c:v>
                </c:pt>
                <c:pt idx="74">
                  <c:v>16.464794071060641</c:v>
                </c:pt>
                <c:pt idx="75">
                  <c:v>16.44275392765195</c:v>
                </c:pt>
                <c:pt idx="76">
                  <c:v>16.221531940136678</c:v>
                </c:pt>
                <c:pt idx="77">
                  <c:v>15.8881279022856</c:v>
                </c:pt>
                <c:pt idx="78">
                  <c:v>17.001678326585239</c:v>
                </c:pt>
                <c:pt idx="79">
                  <c:v>16.763917748524619</c:v>
                </c:pt>
                <c:pt idx="80">
                  <c:v>16.879965927005081</c:v>
                </c:pt>
                <c:pt idx="81">
                  <c:v>17.597651619419711</c:v>
                </c:pt>
                <c:pt idx="82">
                  <c:v>17.541079481218841</c:v>
                </c:pt>
                <c:pt idx="83">
                  <c:v>18.954268897964202</c:v>
                </c:pt>
                <c:pt idx="84">
                  <c:v>18.730076617253641</c:v>
                </c:pt>
                <c:pt idx="85">
                  <c:v>18.186072676438119</c:v>
                </c:pt>
                <c:pt idx="86">
                  <c:v>17.10778076798907</c:v>
                </c:pt>
                <c:pt idx="87">
                  <c:v>16.578842772931939</c:v>
                </c:pt>
                <c:pt idx="88">
                  <c:v>17.275345326610989</c:v>
                </c:pt>
                <c:pt idx="89">
                  <c:v>16.154126797131031</c:v>
                </c:pt>
                <c:pt idx="90">
                  <c:v>16.04122830209981</c:v>
                </c:pt>
                <c:pt idx="91">
                  <c:v>16.10232325063598</c:v>
                </c:pt>
                <c:pt idx="92">
                  <c:v>15.60780260420964</c:v>
                </c:pt>
                <c:pt idx="93">
                  <c:v>15.213523025808049</c:v>
                </c:pt>
                <c:pt idx="94">
                  <c:v>14.850997577499321</c:v>
                </c:pt>
                <c:pt idx="95">
                  <c:v>14.58507296276073</c:v>
                </c:pt>
                <c:pt idx="96">
                  <c:v>14.488808487921631</c:v>
                </c:pt>
                <c:pt idx="97">
                  <c:v>14.053761034550311</c:v>
                </c:pt>
                <c:pt idx="98">
                  <c:v>14.090482447578619</c:v>
                </c:pt>
                <c:pt idx="99">
                  <c:v>14.22185475098518</c:v>
                </c:pt>
                <c:pt idx="100">
                  <c:v>14.24598829799428</c:v>
                </c:pt>
                <c:pt idx="101">
                  <c:v>16.428515778207011</c:v>
                </c:pt>
                <c:pt idx="102">
                  <c:v>16.629019853433441</c:v>
                </c:pt>
                <c:pt idx="103">
                  <c:v>19.738204949013159</c:v>
                </c:pt>
                <c:pt idx="104">
                  <c:v>19.855271527116859</c:v>
                </c:pt>
                <c:pt idx="105">
                  <c:v>19.747382241039929</c:v>
                </c:pt>
                <c:pt idx="106">
                  <c:v>19.19922923796123</c:v>
                </c:pt>
                <c:pt idx="107">
                  <c:v>18.583419329665379</c:v>
                </c:pt>
                <c:pt idx="108">
                  <c:v>18.369171461318778</c:v>
                </c:pt>
                <c:pt idx="109">
                  <c:v>18.218793165055359</c:v>
                </c:pt>
                <c:pt idx="110">
                  <c:v>17.90549375644019</c:v>
                </c:pt>
                <c:pt idx="111">
                  <c:v>17.511861990697589</c:v>
                </c:pt>
                <c:pt idx="112">
                  <c:v>17.426785585963142</c:v>
                </c:pt>
                <c:pt idx="113">
                  <c:v>17.715405539586861</c:v>
                </c:pt>
                <c:pt idx="114">
                  <c:v>17.71071328818088</c:v>
                </c:pt>
                <c:pt idx="115">
                  <c:v>17.670692759799021</c:v>
                </c:pt>
                <c:pt idx="116">
                  <c:v>17.56063278890651</c:v>
                </c:pt>
                <c:pt idx="117">
                  <c:v>17.35976984666668</c:v>
                </c:pt>
                <c:pt idx="118">
                  <c:v>17.389006804970482</c:v>
                </c:pt>
                <c:pt idx="119">
                  <c:v>16.955970506412541</c:v>
                </c:pt>
                <c:pt idx="120">
                  <c:v>15.9185427058393</c:v>
                </c:pt>
                <c:pt idx="121">
                  <c:v>16.138974685704369</c:v>
                </c:pt>
                <c:pt idx="122">
                  <c:v>14.931419157158039</c:v>
                </c:pt>
                <c:pt idx="123">
                  <c:v>14.918202647453681</c:v>
                </c:pt>
                <c:pt idx="124">
                  <c:v>14.762930254922839</c:v>
                </c:pt>
                <c:pt idx="125">
                  <c:v>14.36821709075668</c:v>
                </c:pt>
                <c:pt idx="126">
                  <c:v>15.644030479141261</c:v>
                </c:pt>
                <c:pt idx="127">
                  <c:v>14.49700921853943</c:v>
                </c:pt>
                <c:pt idx="128">
                  <c:v>13.94282839225839</c:v>
                </c:pt>
                <c:pt idx="129">
                  <c:v>13.497211049487211</c:v>
                </c:pt>
                <c:pt idx="130">
                  <c:v>13.75179148252683</c:v>
                </c:pt>
                <c:pt idx="131">
                  <c:v>13.86117112050859</c:v>
                </c:pt>
                <c:pt idx="132">
                  <c:v>12.55642340711438</c:v>
                </c:pt>
                <c:pt idx="133">
                  <c:v>13.634877360184881</c:v>
                </c:pt>
                <c:pt idx="134">
                  <c:v>14.0997668449454</c:v>
                </c:pt>
                <c:pt idx="135">
                  <c:v>13.45009819535314</c:v>
                </c:pt>
                <c:pt idx="136">
                  <c:v>13.455222374107001</c:v>
                </c:pt>
                <c:pt idx="137">
                  <c:v>13.163347106071839</c:v>
                </c:pt>
                <c:pt idx="138">
                  <c:v>12.59093455625869</c:v>
                </c:pt>
                <c:pt idx="139">
                  <c:v>12.37596193907024</c:v>
                </c:pt>
                <c:pt idx="140">
                  <c:v>12.46340364231707</c:v>
                </c:pt>
                <c:pt idx="141">
                  <c:v>13.96268328597499</c:v>
                </c:pt>
                <c:pt idx="142">
                  <c:v>13.34949198447122</c:v>
                </c:pt>
                <c:pt idx="143">
                  <c:v>13.11933483452251</c:v>
                </c:pt>
                <c:pt idx="144">
                  <c:v>13.24907148406561</c:v>
                </c:pt>
                <c:pt idx="145">
                  <c:v>13.523408260026541</c:v>
                </c:pt>
                <c:pt idx="146">
                  <c:v>13.79409704649377</c:v>
                </c:pt>
                <c:pt idx="147">
                  <c:v>13.474756249796391</c:v>
                </c:pt>
                <c:pt idx="148">
                  <c:v>13.58615639962024</c:v>
                </c:pt>
                <c:pt idx="149">
                  <c:v>13.62596303773525</c:v>
                </c:pt>
                <c:pt idx="150">
                  <c:v>13.803680575864989</c:v>
                </c:pt>
                <c:pt idx="151">
                  <c:v>14.20785333823701</c:v>
                </c:pt>
                <c:pt idx="152">
                  <c:v>15.06754635743777</c:v>
                </c:pt>
                <c:pt idx="153">
                  <c:v>15.169559275507151</c:v>
                </c:pt>
                <c:pt idx="154">
                  <c:v>16.297894497429709</c:v>
                </c:pt>
                <c:pt idx="155">
                  <c:v>16.036861316297841</c:v>
                </c:pt>
                <c:pt idx="156">
                  <c:v>15.635209011395929</c:v>
                </c:pt>
                <c:pt idx="157">
                  <c:v>14.199984885662969</c:v>
                </c:pt>
                <c:pt idx="158">
                  <c:v>13.83848499235024</c:v>
                </c:pt>
                <c:pt idx="159">
                  <c:v>14.451414498816799</c:v>
                </c:pt>
                <c:pt idx="160">
                  <c:v>14.42347721939783</c:v>
                </c:pt>
                <c:pt idx="161">
                  <c:v>16.616977150197521</c:v>
                </c:pt>
                <c:pt idx="162">
                  <c:v>16.079395943459911</c:v>
                </c:pt>
                <c:pt idx="163">
                  <c:v>15.69943719838095</c:v>
                </c:pt>
                <c:pt idx="164">
                  <c:v>14.582351082490931</c:v>
                </c:pt>
                <c:pt idx="165">
                  <c:v>15.201093706449219</c:v>
                </c:pt>
                <c:pt idx="166">
                  <c:v>15.171928866614749</c:v>
                </c:pt>
                <c:pt idx="167">
                  <c:v>14.63649373143531</c:v>
                </c:pt>
                <c:pt idx="168">
                  <c:v>14.33570482457049</c:v>
                </c:pt>
                <c:pt idx="169">
                  <c:v>15.636347820573929</c:v>
                </c:pt>
                <c:pt idx="170">
                  <c:v>14.892137601306519</c:v>
                </c:pt>
                <c:pt idx="171">
                  <c:v>16.407224469304101</c:v>
                </c:pt>
                <c:pt idx="172">
                  <c:v>15.83525946149155</c:v>
                </c:pt>
                <c:pt idx="173">
                  <c:v>16.193050606248519</c:v>
                </c:pt>
                <c:pt idx="174">
                  <c:v>16.331891599146541</c:v>
                </c:pt>
                <c:pt idx="175">
                  <c:v>15.67643835672612</c:v>
                </c:pt>
                <c:pt idx="176">
                  <c:v>15.137879990648109</c:v>
                </c:pt>
                <c:pt idx="177">
                  <c:v>14.13064003886206</c:v>
                </c:pt>
                <c:pt idx="178">
                  <c:v>14.55246313832513</c:v>
                </c:pt>
                <c:pt idx="179">
                  <c:v>15.42049943194008</c:v>
                </c:pt>
                <c:pt idx="180">
                  <c:v>15.4354862150157</c:v>
                </c:pt>
                <c:pt idx="181">
                  <c:v>15.858116696586601</c:v>
                </c:pt>
                <c:pt idx="182">
                  <c:v>17.178869624688179</c:v>
                </c:pt>
                <c:pt idx="183">
                  <c:v>16.461067647478639</c:v>
                </c:pt>
                <c:pt idx="184">
                  <c:v>16.589610696144099</c:v>
                </c:pt>
                <c:pt idx="185">
                  <c:v>17.726608490695511</c:v>
                </c:pt>
                <c:pt idx="186">
                  <c:v>18.305800639389592</c:v>
                </c:pt>
                <c:pt idx="187">
                  <c:v>18.36699368874056</c:v>
                </c:pt>
                <c:pt idx="188">
                  <c:v>17.677256653196221</c:v>
                </c:pt>
                <c:pt idx="189">
                  <c:v>17.33412128472969</c:v>
                </c:pt>
                <c:pt idx="190">
                  <c:v>18.02901354727139</c:v>
                </c:pt>
                <c:pt idx="191">
                  <c:v>17.895475386005359</c:v>
                </c:pt>
                <c:pt idx="192">
                  <c:v>16.97853809554708</c:v>
                </c:pt>
                <c:pt idx="193">
                  <c:v>16.86438639808669</c:v>
                </c:pt>
                <c:pt idx="194">
                  <c:v>15.87418225378409</c:v>
                </c:pt>
                <c:pt idx="195">
                  <c:v>14.75034768428756</c:v>
                </c:pt>
                <c:pt idx="196">
                  <c:v>14.7391674277369</c:v>
                </c:pt>
                <c:pt idx="197">
                  <c:v>14.4765760036163</c:v>
                </c:pt>
                <c:pt idx="198">
                  <c:v>14.14138757087451</c:v>
                </c:pt>
                <c:pt idx="199">
                  <c:v>13.829717403769941</c:v>
                </c:pt>
                <c:pt idx="200">
                  <c:v>13.768315332198449</c:v>
                </c:pt>
                <c:pt idx="201">
                  <c:v>13.56887382326151</c:v>
                </c:pt>
                <c:pt idx="202">
                  <c:v>13.294660693053411</c:v>
                </c:pt>
                <c:pt idx="203">
                  <c:v>13.32489204145041</c:v>
                </c:pt>
                <c:pt idx="204">
                  <c:v>12.31574559073319</c:v>
                </c:pt>
                <c:pt idx="205">
                  <c:v>13.12169372144397</c:v>
                </c:pt>
                <c:pt idx="206">
                  <c:v>12.85892444775347</c:v>
                </c:pt>
                <c:pt idx="207">
                  <c:v>12.277738728104129</c:v>
                </c:pt>
                <c:pt idx="208">
                  <c:v>11.664391585413791</c:v>
                </c:pt>
                <c:pt idx="209">
                  <c:v>11.636713660183799</c:v>
                </c:pt>
                <c:pt idx="210">
                  <c:v>11.43827919959177</c:v>
                </c:pt>
                <c:pt idx="211">
                  <c:v>11.32427967085302</c:v>
                </c:pt>
                <c:pt idx="212">
                  <c:v>12.43487523198786</c:v>
                </c:pt>
                <c:pt idx="213">
                  <c:v>12.52273574674413</c:v>
                </c:pt>
                <c:pt idx="214">
                  <c:v>11.92470872837098</c:v>
                </c:pt>
                <c:pt idx="215">
                  <c:v>12.785552255587749</c:v>
                </c:pt>
                <c:pt idx="216">
                  <c:v>12.617635450570949</c:v>
                </c:pt>
                <c:pt idx="217">
                  <c:v>12.446372925639951</c:v>
                </c:pt>
                <c:pt idx="218">
                  <c:v>12.07005674000929</c:v>
                </c:pt>
                <c:pt idx="219">
                  <c:v>11.375833654723021</c:v>
                </c:pt>
                <c:pt idx="220">
                  <c:v>11.94092878753251</c:v>
                </c:pt>
                <c:pt idx="221">
                  <c:v>11.91046190918153</c:v>
                </c:pt>
                <c:pt idx="222">
                  <c:v>12.220626695627439</c:v>
                </c:pt>
                <c:pt idx="223">
                  <c:v>12.084440001575169</c:v>
                </c:pt>
                <c:pt idx="224">
                  <c:v>12.298376370152591</c:v>
                </c:pt>
                <c:pt idx="225">
                  <c:v>11.89446229892439</c:v>
                </c:pt>
                <c:pt idx="226">
                  <c:v>11.056038900900489</c:v>
                </c:pt>
                <c:pt idx="227">
                  <c:v>11.2159209276523</c:v>
                </c:pt>
                <c:pt idx="228">
                  <c:v>11.992309903717469</c:v>
                </c:pt>
                <c:pt idx="229">
                  <c:v>11.941096737068269</c:v>
                </c:pt>
                <c:pt idx="230">
                  <c:v>11.71435174937954</c:v>
                </c:pt>
                <c:pt idx="231">
                  <c:v>12.033117036021</c:v>
                </c:pt>
                <c:pt idx="232">
                  <c:v>11.228573197366501</c:v>
                </c:pt>
                <c:pt idx="233">
                  <c:v>11.686121238638741</c:v>
                </c:pt>
                <c:pt idx="234">
                  <c:v>11.60488198289303</c:v>
                </c:pt>
                <c:pt idx="235">
                  <c:v>10.801592896326071</c:v>
                </c:pt>
                <c:pt idx="236">
                  <c:v>10.45551941560468</c:v>
                </c:pt>
                <c:pt idx="237">
                  <c:v>10.202641830166289</c:v>
                </c:pt>
                <c:pt idx="238">
                  <c:v>10.63911497975025</c:v>
                </c:pt>
                <c:pt idx="239">
                  <c:v>10.716091860494</c:v>
                </c:pt>
                <c:pt idx="240">
                  <c:v>13.102313948207231</c:v>
                </c:pt>
                <c:pt idx="241">
                  <c:v>12.09506885024587</c:v>
                </c:pt>
                <c:pt idx="242">
                  <c:v>11.602636595833779</c:v>
                </c:pt>
                <c:pt idx="243">
                  <c:v>11.163145560159339</c:v>
                </c:pt>
                <c:pt idx="244">
                  <c:v>11.07539992288063</c:v>
                </c:pt>
                <c:pt idx="245">
                  <c:v>10.848373654313271</c:v>
                </c:pt>
                <c:pt idx="246">
                  <c:v>10.012598071261991</c:v>
                </c:pt>
                <c:pt idx="247">
                  <c:v>9.8934650691040371</c:v>
                </c:pt>
                <c:pt idx="248">
                  <c:v>10.25771135868764</c:v>
                </c:pt>
                <c:pt idx="249">
                  <c:v>10.351078448884911</c:v>
                </c:pt>
                <c:pt idx="250">
                  <c:v>10.03904773911875</c:v>
                </c:pt>
                <c:pt idx="251">
                  <c:v>9.9061381156062023</c:v>
                </c:pt>
                <c:pt idx="252">
                  <c:v>9.6546870549313386</c:v>
                </c:pt>
                <c:pt idx="253">
                  <c:v>10.073461338745391</c:v>
                </c:pt>
                <c:pt idx="254">
                  <c:v>10.09320360489334</c:v>
                </c:pt>
                <c:pt idx="255">
                  <c:v>10.05595525801729</c:v>
                </c:pt>
                <c:pt idx="256">
                  <c:v>10.12526896852447</c:v>
                </c:pt>
                <c:pt idx="257">
                  <c:v>9.9812646521542163</c:v>
                </c:pt>
                <c:pt idx="258">
                  <c:v>9.9934992483600489</c:v>
                </c:pt>
                <c:pt idx="259">
                  <c:v>9.9889169534773909</c:v>
                </c:pt>
                <c:pt idx="260">
                  <c:v>10.4221912825689</c:v>
                </c:pt>
                <c:pt idx="261">
                  <c:v>10.252236772940851</c:v>
                </c:pt>
                <c:pt idx="262">
                  <c:v>10.260013580454901</c:v>
                </c:pt>
                <c:pt idx="263">
                  <c:v>11.282070144428261</c:v>
                </c:pt>
                <c:pt idx="264">
                  <c:v>10.85072144388444</c:v>
                </c:pt>
                <c:pt idx="265">
                  <c:v>10.193799251208111</c:v>
                </c:pt>
                <c:pt idx="266">
                  <c:v>10.078099390201031</c:v>
                </c:pt>
                <c:pt idx="267">
                  <c:v>9.6693574740410728</c:v>
                </c:pt>
                <c:pt idx="268">
                  <c:v>9.2938984549308792</c:v>
                </c:pt>
                <c:pt idx="269">
                  <c:v>9.0999381428499539</c:v>
                </c:pt>
                <c:pt idx="270">
                  <c:v>9.1333424962565779</c:v>
                </c:pt>
                <c:pt idx="271">
                  <c:v>9.0985515063978557</c:v>
                </c:pt>
                <c:pt idx="272">
                  <c:v>9.0691141317031647</c:v>
                </c:pt>
                <c:pt idx="273">
                  <c:v>9.015974808563973</c:v>
                </c:pt>
                <c:pt idx="274">
                  <c:v>9.3061443793011893</c:v>
                </c:pt>
                <c:pt idx="275">
                  <c:v>9.2596523648081757</c:v>
                </c:pt>
                <c:pt idx="276">
                  <c:v>8.8550888964331911</c:v>
                </c:pt>
                <c:pt idx="277">
                  <c:v>8.37953600845103</c:v>
                </c:pt>
                <c:pt idx="278">
                  <c:v>8.3181070547652745</c:v>
                </c:pt>
                <c:pt idx="279">
                  <c:v>8.7299775488917284</c:v>
                </c:pt>
                <c:pt idx="280">
                  <c:v>8.8699672317829137</c:v>
                </c:pt>
                <c:pt idx="281">
                  <c:v>8.6673045629419718</c:v>
                </c:pt>
                <c:pt idx="282">
                  <c:v>9.9199659694098177</c:v>
                </c:pt>
                <c:pt idx="283">
                  <c:v>9.9094154419148062</c:v>
                </c:pt>
                <c:pt idx="284">
                  <c:v>10.03583534615662</c:v>
                </c:pt>
                <c:pt idx="285">
                  <c:v>9.4044908174481243</c:v>
                </c:pt>
                <c:pt idx="286">
                  <c:v>9.4019907767168185</c:v>
                </c:pt>
                <c:pt idx="287">
                  <c:v>9.3718947723786119</c:v>
                </c:pt>
                <c:pt idx="288">
                  <c:v>13.1335342891383</c:v>
                </c:pt>
                <c:pt idx="289">
                  <c:v>11.37150121139625</c:v>
                </c:pt>
                <c:pt idx="290">
                  <c:v>12.02143428558554</c:v>
                </c:pt>
                <c:pt idx="291">
                  <c:v>12.12280821839172</c:v>
                </c:pt>
                <c:pt idx="292">
                  <c:v>12.6228572184767</c:v>
                </c:pt>
                <c:pt idx="293">
                  <c:v>11.83721309498763</c:v>
                </c:pt>
                <c:pt idx="294">
                  <c:v>12.388610227338511</c:v>
                </c:pt>
                <c:pt idx="295">
                  <c:v>13.524383717242671</c:v>
                </c:pt>
                <c:pt idx="296">
                  <c:v>14.18423254284024</c:v>
                </c:pt>
                <c:pt idx="297">
                  <c:v>14.95243881400709</c:v>
                </c:pt>
                <c:pt idx="298">
                  <c:v>15.399513299982489</c:v>
                </c:pt>
                <c:pt idx="299">
                  <c:v>15.03984202363489</c:v>
                </c:pt>
                <c:pt idx="300">
                  <c:v>14.257857976395981</c:v>
                </c:pt>
                <c:pt idx="301">
                  <c:v>13.76972552025426</c:v>
                </c:pt>
                <c:pt idx="302">
                  <c:v>13.202928934687129</c:v>
                </c:pt>
                <c:pt idx="303">
                  <c:v>13.71607741722619</c:v>
                </c:pt>
                <c:pt idx="304">
                  <c:v>13.8833257524937</c:v>
                </c:pt>
                <c:pt idx="305">
                  <c:v>14.316070978727501</c:v>
                </c:pt>
                <c:pt idx="306">
                  <c:v>14.50144370869323</c:v>
                </c:pt>
                <c:pt idx="307">
                  <c:v>14.59119617946844</c:v>
                </c:pt>
                <c:pt idx="308">
                  <c:v>15.3855108430129</c:v>
                </c:pt>
                <c:pt idx="309">
                  <c:v>14.86314224536266</c:v>
                </c:pt>
                <c:pt idx="310">
                  <c:v>15.04977079141141</c:v>
                </c:pt>
                <c:pt idx="311">
                  <c:v>14.473910541955661</c:v>
                </c:pt>
                <c:pt idx="312">
                  <c:v>14.409003845190981</c:v>
                </c:pt>
                <c:pt idx="313">
                  <c:v>13.94141752802048</c:v>
                </c:pt>
                <c:pt idx="314">
                  <c:v>13.124499189891109</c:v>
                </c:pt>
                <c:pt idx="315">
                  <c:v>14.23705336411278</c:v>
                </c:pt>
                <c:pt idx="316">
                  <c:v>13.828502046775579</c:v>
                </c:pt>
                <c:pt idx="317">
                  <c:v>13.88124187835199</c:v>
                </c:pt>
                <c:pt idx="318">
                  <c:v>13.90428207965245</c:v>
                </c:pt>
                <c:pt idx="319">
                  <c:v>13.734527115930369</c:v>
                </c:pt>
                <c:pt idx="320">
                  <c:v>14.78084159351334</c:v>
                </c:pt>
                <c:pt idx="321">
                  <c:v>14.791152785770549</c:v>
                </c:pt>
                <c:pt idx="322">
                  <c:v>15.77438433670096</c:v>
                </c:pt>
                <c:pt idx="323">
                  <c:v>17.354942806262709</c:v>
                </c:pt>
                <c:pt idx="324">
                  <c:v>16.930518337044479</c:v>
                </c:pt>
                <c:pt idx="325">
                  <c:v>17.245708260786959</c:v>
                </c:pt>
                <c:pt idx="326">
                  <c:v>18.320908641345909</c:v>
                </c:pt>
                <c:pt idx="327">
                  <c:v>16.95183496306997</c:v>
                </c:pt>
                <c:pt idx="328">
                  <c:v>15.71826505417914</c:v>
                </c:pt>
                <c:pt idx="329">
                  <c:v>15.39140548230824</c:v>
                </c:pt>
                <c:pt idx="330">
                  <c:v>15.94952716816282</c:v>
                </c:pt>
                <c:pt idx="331">
                  <c:v>15.88858720110729</c:v>
                </c:pt>
                <c:pt idx="332">
                  <c:v>15.57472042405543</c:v>
                </c:pt>
                <c:pt idx="333">
                  <c:v>15.75842769624567</c:v>
                </c:pt>
                <c:pt idx="334">
                  <c:v>15.071414759615489</c:v>
                </c:pt>
                <c:pt idx="335">
                  <c:v>14.83629875483051</c:v>
                </c:pt>
                <c:pt idx="336">
                  <c:v>15.276733936663829</c:v>
                </c:pt>
                <c:pt idx="337">
                  <c:v>14.952700230169111</c:v>
                </c:pt>
                <c:pt idx="338">
                  <c:v>15.37735300835778</c:v>
                </c:pt>
                <c:pt idx="339">
                  <c:v>15.016042608018131</c:v>
                </c:pt>
                <c:pt idx="340">
                  <c:v>14.262314886144891</c:v>
                </c:pt>
                <c:pt idx="341">
                  <c:v>13.69574297654961</c:v>
                </c:pt>
                <c:pt idx="342">
                  <c:v>14.612302844405949</c:v>
                </c:pt>
                <c:pt idx="343">
                  <c:v>14.26767533053305</c:v>
                </c:pt>
                <c:pt idx="344">
                  <c:v>14.011074166841571</c:v>
                </c:pt>
                <c:pt idx="345">
                  <c:v>16.30507008875167</c:v>
                </c:pt>
                <c:pt idx="346">
                  <c:v>16.016218645201789</c:v>
                </c:pt>
                <c:pt idx="347">
                  <c:v>15.55089359764338</c:v>
                </c:pt>
                <c:pt idx="348">
                  <c:v>14.55124763276544</c:v>
                </c:pt>
                <c:pt idx="349">
                  <c:v>13.678296887987891</c:v>
                </c:pt>
                <c:pt idx="350">
                  <c:v>14.17726159854573</c:v>
                </c:pt>
                <c:pt idx="351">
                  <c:v>13.61314312311068</c:v>
                </c:pt>
                <c:pt idx="352">
                  <c:v>14.51298522770697</c:v>
                </c:pt>
                <c:pt idx="353">
                  <c:v>14.333271880305951</c:v>
                </c:pt>
                <c:pt idx="354">
                  <c:v>14.94741594962912</c:v>
                </c:pt>
                <c:pt idx="355">
                  <c:v>14.674779488211041</c:v>
                </c:pt>
                <c:pt idx="356">
                  <c:v>14.6018732066489</c:v>
                </c:pt>
                <c:pt idx="357">
                  <c:v>14.515363143792159</c:v>
                </c:pt>
                <c:pt idx="358">
                  <c:v>15.01886253660553</c:v>
                </c:pt>
                <c:pt idx="359">
                  <c:v>15.00880919770445</c:v>
                </c:pt>
                <c:pt idx="360">
                  <c:v>15.23699243583914</c:v>
                </c:pt>
                <c:pt idx="361">
                  <c:v>14.715286979593101</c:v>
                </c:pt>
                <c:pt idx="362">
                  <c:v>14.46853201430546</c:v>
                </c:pt>
                <c:pt idx="363">
                  <c:v>15.118778107566261</c:v>
                </c:pt>
                <c:pt idx="364">
                  <c:v>15.186128589846071</c:v>
                </c:pt>
                <c:pt idx="365">
                  <c:v>15.31460969473398</c:v>
                </c:pt>
                <c:pt idx="366">
                  <c:v>14.074962517045639</c:v>
                </c:pt>
                <c:pt idx="367">
                  <c:v>13.62557067215859</c:v>
                </c:pt>
                <c:pt idx="368">
                  <c:v>13.713636165193771</c:v>
                </c:pt>
                <c:pt idx="369">
                  <c:v>12.954142969640509</c:v>
                </c:pt>
                <c:pt idx="370">
                  <c:v>13.77376034376344</c:v>
                </c:pt>
                <c:pt idx="371">
                  <c:v>13.58537120505189</c:v>
                </c:pt>
                <c:pt idx="372">
                  <c:v>13.210718190737181</c:v>
                </c:pt>
                <c:pt idx="373">
                  <c:v>12.83274463164115</c:v>
                </c:pt>
                <c:pt idx="374">
                  <c:v>12.73177834914406</c:v>
                </c:pt>
                <c:pt idx="375">
                  <c:v>12.319727421213431</c:v>
                </c:pt>
                <c:pt idx="376">
                  <c:v>10.5379434539787</c:v>
                </c:pt>
                <c:pt idx="377">
                  <c:v>10.94404806094858</c:v>
                </c:pt>
                <c:pt idx="378">
                  <c:v>11.595945301334091</c:v>
                </c:pt>
                <c:pt idx="379">
                  <c:v>11.65024761701852</c:v>
                </c:pt>
                <c:pt idx="380">
                  <c:v>11.065421117293649</c:v>
                </c:pt>
                <c:pt idx="381">
                  <c:v>10.688480723897371</c:v>
                </c:pt>
                <c:pt idx="382">
                  <c:v>10.67229908945697</c:v>
                </c:pt>
                <c:pt idx="383">
                  <c:v>10.55918007977262</c:v>
                </c:pt>
                <c:pt idx="384">
                  <c:v>10.65718867280488</c:v>
                </c:pt>
                <c:pt idx="385">
                  <c:v>11.068147862460661</c:v>
                </c:pt>
                <c:pt idx="386">
                  <c:v>11.11188038939366</c:v>
                </c:pt>
                <c:pt idx="387">
                  <c:v>10.973182377604511</c:v>
                </c:pt>
                <c:pt idx="388">
                  <c:v>10.332192103328801</c:v>
                </c:pt>
                <c:pt idx="389">
                  <c:v>11.59062189525544</c:v>
                </c:pt>
                <c:pt idx="390">
                  <c:v>11.35987768210275</c:v>
                </c:pt>
                <c:pt idx="391">
                  <c:v>11.166169944383491</c:v>
                </c:pt>
                <c:pt idx="392">
                  <c:v>10.723671434705491</c:v>
                </c:pt>
                <c:pt idx="393">
                  <c:v>11.59986299255762</c:v>
                </c:pt>
                <c:pt idx="394">
                  <c:v>10.94882738741879</c:v>
                </c:pt>
                <c:pt idx="395">
                  <c:v>10.63930204799825</c:v>
                </c:pt>
                <c:pt idx="396">
                  <c:v>10.577392779453721</c:v>
                </c:pt>
                <c:pt idx="397">
                  <c:v>10.41753193915253</c:v>
                </c:pt>
                <c:pt idx="398">
                  <c:v>10.692022527062351</c:v>
                </c:pt>
                <c:pt idx="399">
                  <c:v>10.419072344206061</c:v>
                </c:pt>
                <c:pt idx="400">
                  <c:v>10.762597011547751</c:v>
                </c:pt>
                <c:pt idx="401">
                  <c:v>10.871533191888419</c:v>
                </c:pt>
                <c:pt idx="402">
                  <c:v>11.43970161956536</c:v>
                </c:pt>
                <c:pt idx="403">
                  <c:v>11.5329734083675</c:v>
                </c:pt>
                <c:pt idx="404">
                  <c:v>12.22961303945444</c:v>
                </c:pt>
                <c:pt idx="405">
                  <c:v>14.5785860523051</c:v>
                </c:pt>
                <c:pt idx="406">
                  <c:v>14.08349461405629</c:v>
                </c:pt>
                <c:pt idx="407">
                  <c:v>14.614407687366841</c:v>
                </c:pt>
                <c:pt idx="408">
                  <c:v>16.202636221515331</c:v>
                </c:pt>
                <c:pt idx="409">
                  <c:v>15.965757141484969</c:v>
                </c:pt>
                <c:pt idx="410">
                  <c:v>16.602157588636128</c:v>
                </c:pt>
                <c:pt idx="411">
                  <c:v>17.162949713612079</c:v>
                </c:pt>
                <c:pt idx="412">
                  <c:v>17.761532890788349</c:v>
                </c:pt>
                <c:pt idx="413">
                  <c:v>18.053514959359209</c:v>
                </c:pt>
                <c:pt idx="414">
                  <c:v>17.762268685619521</c:v>
                </c:pt>
                <c:pt idx="415">
                  <c:v>18.281554966952552</c:v>
                </c:pt>
                <c:pt idx="416">
                  <c:v>19.056763548511341</c:v>
                </c:pt>
                <c:pt idx="417">
                  <c:v>20.174754895268212</c:v>
                </c:pt>
                <c:pt idx="418">
                  <c:v>17.92168051317805</c:v>
                </c:pt>
                <c:pt idx="419">
                  <c:v>17.240906347720891</c:v>
                </c:pt>
                <c:pt idx="420">
                  <c:v>17.693960300892542</c:v>
                </c:pt>
                <c:pt idx="421">
                  <c:v>16.623884932549299</c:v>
                </c:pt>
                <c:pt idx="422">
                  <c:v>16.195217601441851</c:v>
                </c:pt>
                <c:pt idx="423">
                  <c:v>16.170753556915209</c:v>
                </c:pt>
                <c:pt idx="424">
                  <c:v>16.20435112061126</c:v>
                </c:pt>
                <c:pt idx="425">
                  <c:v>15.958274614814361</c:v>
                </c:pt>
                <c:pt idx="426">
                  <c:v>15.85777005226806</c:v>
                </c:pt>
                <c:pt idx="427">
                  <c:v>15.31685397154361</c:v>
                </c:pt>
                <c:pt idx="428">
                  <c:v>16.00785559122199</c:v>
                </c:pt>
                <c:pt idx="429">
                  <c:v>15.79014921625817</c:v>
                </c:pt>
                <c:pt idx="430">
                  <c:v>17.177358719691359</c:v>
                </c:pt>
                <c:pt idx="431">
                  <c:v>17.060065235539341</c:v>
                </c:pt>
                <c:pt idx="432">
                  <c:v>16.901140500904059</c:v>
                </c:pt>
                <c:pt idx="433">
                  <c:v>16.147900698136951</c:v>
                </c:pt>
                <c:pt idx="434">
                  <c:v>16.620391110267221</c:v>
                </c:pt>
                <c:pt idx="435">
                  <c:v>17.988431763238221</c:v>
                </c:pt>
                <c:pt idx="436">
                  <c:v>15.940134136412979</c:v>
                </c:pt>
                <c:pt idx="437">
                  <c:v>14.53533992853913</c:v>
                </c:pt>
                <c:pt idx="438">
                  <c:v>14.861205539285811</c:v>
                </c:pt>
                <c:pt idx="439">
                  <c:v>14.5176662993611</c:v>
                </c:pt>
                <c:pt idx="440">
                  <c:v>14.31564019524698</c:v>
                </c:pt>
                <c:pt idx="441">
                  <c:v>14.063709152501669</c:v>
                </c:pt>
                <c:pt idx="442">
                  <c:v>14.7379821345185</c:v>
                </c:pt>
                <c:pt idx="443">
                  <c:v>13.991930109946001</c:v>
                </c:pt>
                <c:pt idx="444">
                  <c:v>14.2103510602517</c:v>
                </c:pt>
                <c:pt idx="445">
                  <c:v>14.55818758875335</c:v>
                </c:pt>
                <c:pt idx="446">
                  <c:v>14.28123949930484</c:v>
                </c:pt>
                <c:pt idx="447">
                  <c:v>15.52952284098459</c:v>
                </c:pt>
                <c:pt idx="448">
                  <c:v>16.07758444912238</c:v>
                </c:pt>
                <c:pt idx="449">
                  <c:v>19.742317336498228</c:v>
                </c:pt>
                <c:pt idx="450">
                  <c:v>22.093193970352608</c:v>
                </c:pt>
                <c:pt idx="451">
                  <c:v>21.8176992402827</c:v>
                </c:pt>
                <c:pt idx="452">
                  <c:v>20.97584419194305</c:v>
                </c:pt>
                <c:pt idx="453">
                  <c:v>21.138696394999371</c:v>
                </c:pt>
                <c:pt idx="454">
                  <c:v>22.742225347850219</c:v>
                </c:pt>
                <c:pt idx="455">
                  <c:v>20.00155679019603</c:v>
                </c:pt>
                <c:pt idx="456">
                  <c:v>17.961445145899742</c:v>
                </c:pt>
                <c:pt idx="457">
                  <c:v>18.501230015576549</c:v>
                </c:pt>
                <c:pt idx="458">
                  <c:v>16.10278725580233</c:v>
                </c:pt>
                <c:pt idx="459">
                  <c:v>17.169027360149428</c:v>
                </c:pt>
                <c:pt idx="460">
                  <c:v>16.783801700618611</c:v>
                </c:pt>
                <c:pt idx="461">
                  <c:v>17.041038680986858</c:v>
                </c:pt>
                <c:pt idx="462">
                  <c:v>18.57349466611193</c:v>
                </c:pt>
                <c:pt idx="463">
                  <c:v>22.280661241804211</c:v>
                </c:pt>
                <c:pt idx="464">
                  <c:v>24.275213012407232</c:v>
                </c:pt>
                <c:pt idx="465">
                  <c:v>25.922689014796301</c:v>
                </c:pt>
                <c:pt idx="466">
                  <c:v>34.845078446398539</c:v>
                </c:pt>
                <c:pt idx="467">
                  <c:v>29.401617210012969</c:v>
                </c:pt>
                <c:pt idx="468">
                  <c:v>28.458678428643069</c:v>
                </c:pt>
                <c:pt idx="469">
                  <c:v>28.08259783543302</c:v>
                </c:pt>
                <c:pt idx="470">
                  <c:v>28.017950941372479</c:v>
                </c:pt>
                <c:pt idx="471">
                  <c:v>25.007601129732421</c:v>
                </c:pt>
                <c:pt idx="472">
                  <c:v>24.48491953505933</c:v>
                </c:pt>
                <c:pt idx="473">
                  <c:v>25.731960766550639</c:v>
                </c:pt>
                <c:pt idx="474">
                  <c:v>26.120661356434841</c:v>
                </c:pt>
                <c:pt idx="475">
                  <c:v>23.93014053920891</c:v>
                </c:pt>
                <c:pt idx="476">
                  <c:v>23.745408477085579</c:v>
                </c:pt>
                <c:pt idx="477">
                  <c:v>22.328663447526409</c:v>
                </c:pt>
                <c:pt idx="478">
                  <c:v>21.066097735623991</c:v>
                </c:pt>
                <c:pt idx="479">
                  <c:v>22.00346628612083</c:v>
                </c:pt>
                <c:pt idx="480">
                  <c:v>21.07560112733843</c:v>
                </c:pt>
                <c:pt idx="481">
                  <c:v>20.52726556854407</c:v>
                </c:pt>
                <c:pt idx="482">
                  <c:v>21.410888202437171</c:v>
                </c:pt>
                <c:pt idx="483">
                  <c:v>21.83677500555596</c:v>
                </c:pt>
                <c:pt idx="484">
                  <c:v>21.074527903323819</c:v>
                </c:pt>
                <c:pt idx="485">
                  <c:v>20.510422892467719</c:v>
                </c:pt>
                <c:pt idx="486">
                  <c:v>20.849276263359769</c:v>
                </c:pt>
                <c:pt idx="487">
                  <c:v>21.031106926870649</c:v>
                </c:pt>
                <c:pt idx="488">
                  <c:v>20.896938644252948</c:v>
                </c:pt>
                <c:pt idx="489">
                  <c:v>22.91003716295403</c:v>
                </c:pt>
                <c:pt idx="490">
                  <c:v>22.373814341066609</c:v>
                </c:pt>
                <c:pt idx="491">
                  <c:v>26.2851991845986</c:v>
                </c:pt>
                <c:pt idx="492">
                  <c:v>24.771113926559099</c:v>
                </c:pt>
                <c:pt idx="493">
                  <c:v>23.739740882870048</c:v>
                </c:pt>
                <c:pt idx="494">
                  <c:v>24.902760686277929</c:v>
                </c:pt>
                <c:pt idx="495">
                  <c:v>25.072136206657191</c:v>
                </c:pt>
                <c:pt idx="496">
                  <c:v>25.022035525022311</c:v>
                </c:pt>
                <c:pt idx="497">
                  <c:v>24.79158884524907</c:v>
                </c:pt>
                <c:pt idx="498">
                  <c:v>24.704489461786341</c:v>
                </c:pt>
                <c:pt idx="499">
                  <c:v>24.450181016809399</c:v>
                </c:pt>
                <c:pt idx="500">
                  <c:v>24.98360859563639</c:v>
                </c:pt>
                <c:pt idx="501">
                  <c:v>23.456439354097238</c:v>
                </c:pt>
                <c:pt idx="502">
                  <c:v>23.95139795197743</c:v>
                </c:pt>
                <c:pt idx="503">
                  <c:v>24.38064792591938</c:v>
                </c:pt>
                <c:pt idx="504">
                  <c:v>24.66410802138336</c:v>
                </c:pt>
                <c:pt idx="505">
                  <c:v>25.543102490269771</c:v>
                </c:pt>
                <c:pt idx="506">
                  <c:v>25.64556520987831</c:v>
                </c:pt>
                <c:pt idx="507">
                  <c:v>27.10908849261601</c:v>
                </c:pt>
                <c:pt idx="508">
                  <c:v>25.18917569185831</c:v>
                </c:pt>
                <c:pt idx="509">
                  <c:v>23.984443460652869</c:v>
                </c:pt>
                <c:pt idx="510">
                  <c:v>22.853532269590261</c:v>
                </c:pt>
                <c:pt idx="511">
                  <c:v>23.100679765753171</c:v>
                </c:pt>
                <c:pt idx="512">
                  <c:v>22.78435069107832</c:v>
                </c:pt>
                <c:pt idx="513">
                  <c:v>22.95406360274411</c:v>
                </c:pt>
                <c:pt idx="514">
                  <c:v>23.759194353394172</c:v>
                </c:pt>
                <c:pt idx="515">
                  <c:v>25.421391346865569</c:v>
                </c:pt>
                <c:pt idx="516">
                  <c:v>25.629974454605279</c:v>
                </c:pt>
                <c:pt idx="517">
                  <c:v>25.953814936560729</c:v>
                </c:pt>
                <c:pt idx="518">
                  <c:v>25.645915012670709</c:v>
                </c:pt>
                <c:pt idx="519">
                  <c:v>24.5942207589441</c:v>
                </c:pt>
                <c:pt idx="520">
                  <c:v>24.066229113927839</c:v>
                </c:pt>
                <c:pt idx="521">
                  <c:v>22.678012734522799</c:v>
                </c:pt>
                <c:pt idx="522">
                  <c:v>22.236563252081169</c:v>
                </c:pt>
                <c:pt idx="523">
                  <c:v>20.88804752081748</c:v>
                </c:pt>
                <c:pt idx="524">
                  <c:v>19.945380001735831</c:v>
                </c:pt>
                <c:pt idx="525">
                  <c:v>24.060384043014739</c:v>
                </c:pt>
                <c:pt idx="526">
                  <c:v>22.184060399943402</c:v>
                </c:pt>
                <c:pt idx="527">
                  <c:v>21.313832594561571</c:v>
                </c:pt>
                <c:pt idx="528">
                  <c:v>20.167683630813059</c:v>
                </c:pt>
                <c:pt idx="529">
                  <c:v>19.68722670917969</c:v>
                </c:pt>
                <c:pt idx="530">
                  <c:v>20.042892055803989</c:v>
                </c:pt>
                <c:pt idx="531">
                  <c:v>19.015749150638051</c:v>
                </c:pt>
                <c:pt idx="532">
                  <c:v>18.74744169018317</c:v>
                </c:pt>
                <c:pt idx="533">
                  <c:v>18.14845427976331</c:v>
                </c:pt>
                <c:pt idx="534">
                  <c:v>18.59127055369078</c:v>
                </c:pt>
                <c:pt idx="535">
                  <c:v>21.514089979809739</c:v>
                </c:pt>
                <c:pt idx="536">
                  <c:v>20.298078518267339</c:v>
                </c:pt>
                <c:pt idx="537">
                  <c:v>20.42194488855813</c:v>
                </c:pt>
                <c:pt idx="538">
                  <c:v>19.394963588497351</c:v>
                </c:pt>
                <c:pt idx="539">
                  <c:v>19.126682771540061</c:v>
                </c:pt>
                <c:pt idx="540">
                  <c:v>18.769692262468471</c:v>
                </c:pt>
                <c:pt idx="541">
                  <c:v>18.17222855321695</c:v>
                </c:pt>
                <c:pt idx="542">
                  <c:v>19.452766954248489</c:v>
                </c:pt>
                <c:pt idx="543">
                  <c:v>20.124709439551989</c:v>
                </c:pt>
                <c:pt idx="544">
                  <c:v>19.028764187967418</c:v>
                </c:pt>
                <c:pt idx="545">
                  <c:v>19.38254100236983</c:v>
                </c:pt>
                <c:pt idx="546">
                  <c:v>19.786324662768031</c:v>
                </c:pt>
                <c:pt idx="547">
                  <c:v>20.238685461007741</c:v>
                </c:pt>
                <c:pt idx="548">
                  <c:v>23.939748797785018</c:v>
                </c:pt>
                <c:pt idx="549">
                  <c:v>22.95502163149072</c:v>
                </c:pt>
                <c:pt idx="550">
                  <c:v>21.402423909775031</c:v>
                </c:pt>
                <c:pt idx="551">
                  <c:v>20.735313342695019</c:v>
                </c:pt>
                <c:pt idx="552">
                  <c:v>20.884043122674051</c:v>
                </c:pt>
                <c:pt idx="553">
                  <c:v>21.32861100969285</c:v>
                </c:pt>
                <c:pt idx="554">
                  <c:v>23.028558790746029</c:v>
                </c:pt>
                <c:pt idx="555">
                  <c:v>23.559196070007431</c:v>
                </c:pt>
                <c:pt idx="556">
                  <c:v>21.8300846834601</c:v>
                </c:pt>
                <c:pt idx="557">
                  <c:v>25.54623233776903</c:v>
                </c:pt>
                <c:pt idx="558">
                  <c:v>26.332324353386539</c:v>
                </c:pt>
                <c:pt idx="559">
                  <c:v>26.9387926483092</c:v>
                </c:pt>
                <c:pt idx="560">
                  <c:v>27.262367505933248</c:v>
                </c:pt>
                <c:pt idx="561">
                  <c:v>26.230877843690401</c:v>
                </c:pt>
                <c:pt idx="562">
                  <c:v>23.623927111734321</c:v>
                </c:pt>
                <c:pt idx="563">
                  <c:v>23.53737389727516</c:v>
                </c:pt>
                <c:pt idx="564">
                  <c:v>25.61048975449571</c:v>
                </c:pt>
                <c:pt idx="565">
                  <c:v>24.063683017223919</c:v>
                </c:pt>
                <c:pt idx="566">
                  <c:v>23.841866505437078</c:v>
                </c:pt>
                <c:pt idx="567">
                  <c:v>23.672684863151069</c:v>
                </c:pt>
                <c:pt idx="568">
                  <c:v>23.220916767770468</c:v>
                </c:pt>
                <c:pt idx="569">
                  <c:v>24.046105328011269</c:v>
                </c:pt>
                <c:pt idx="570">
                  <c:v>22.854777315274099</c:v>
                </c:pt>
                <c:pt idx="571">
                  <c:v>22.347153338505539</c:v>
                </c:pt>
                <c:pt idx="572">
                  <c:v>22.509940851704339</c:v>
                </c:pt>
                <c:pt idx="573">
                  <c:v>23.78042751970586</c:v>
                </c:pt>
                <c:pt idx="574">
                  <c:v>24.01816739421848</c:v>
                </c:pt>
                <c:pt idx="575">
                  <c:v>23.190566750319149</c:v>
                </c:pt>
                <c:pt idx="576">
                  <c:v>22.13449009182337</c:v>
                </c:pt>
                <c:pt idx="577">
                  <c:v>22.507189802271672</c:v>
                </c:pt>
                <c:pt idx="578">
                  <c:v>22.41623088306007</c:v>
                </c:pt>
                <c:pt idx="579">
                  <c:v>24.180695326151451</c:v>
                </c:pt>
                <c:pt idx="580">
                  <c:v>25.170203278876041</c:v>
                </c:pt>
                <c:pt idx="581">
                  <c:v>25.252498224677002</c:v>
                </c:pt>
                <c:pt idx="582">
                  <c:v>26.056341423972579</c:v>
                </c:pt>
                <c:pt idx="583">
                  <c:v>25.564188842668589</c:v>
                </c:pt>
                <c:pt idx="584">
                  <c:v>25.80063189108898</c:v>
                </c:pt>
                <c:pt idx="585">
                  <c:v>25.724723742728539</c:v>
                </c:pt>
                <c:pt idx="586">
                  <c:v>24.954692804880491</c:v>
                </c:pt>
                <c:pt idx="587">
                  <c:v>25.6984787885809</c:v>
                </c:pt>
                <c:pt idx="588">
                  <c:v>25.577205245762801</c:v>
                </c:pt>
                <c:pt idx="589">
                  <c:v>30.587319505797591</c:v>
                </c:pt>
                <c:pt idx="590">
                  <c:v>30.548826956183749</c:v>
                </c:pt>
                <c:pt idx="591">
                  <c:v>30.317564369040561</c:v>
                </c:pt>
                <c:pt idx="592">
                  <c:v>29.674909063083</c:v>
                </c:pt>
                <c:pt idx="593">
                  <c:v>26.667837593803331</c:v>
                </c:pt>
                <c:pt idx="594">
                  <c:v>25.22642302919515</c:v>
                </c:pt>
                <c:pt idx="595">
                  <c:v>23.773195862199501</c:v>
                </c:pt>
                <c:pt idx="596">
                  <c:v>23.288492243753641</c:v>
                </c:pt>
                <c:pt idx="597">
                  <c:v>22.361424264217501</c:v>
                </c:pt>
                <c:pt idx="598">
                  <c:v>22.422462229293011</c:v>
                </c:pt>
                <c:pt idx="599">
                  <c:v>22.777775270897571</c:v>
                </c:pt>
                <c:pt idx="600">
                  <c:v>22.965912766873512</c:v>
                </c:pt>
                <c:pt idx="601">
                  <c:v>22.75247895477904</c:v>
                </c:pt>
                <c:pt idx="602">
                  <c:v>23.309717293848902</c:v>
                </c:pt>
                <c:pt idx="603">
                  <c:v>22.518173802494299</c:v>
                </c:pt>
                <c:pt idx="604">
                  <c:v>23.746022356425069</c:v>
                </c:pt>
                <c:pt idx="605">
                  <c:v>24.007406146594619</c:v>
                </c:pt>
                <c:pt idx="606">
                  <c:v>23.887618300554159</c:v>
                </c:pt>
                <c:pt idx="607">
                  <c:v>24.764769134683149</c:v>
                </c:pt>
                <c:pt idx="608">
                  <c:v>24.293322574521561</c:v>
                </c:pt>
                <c:pt idx="609">
                  <c:v>24.221223696720489</c:v>
                </c:pt>
                <c:pt idx="610">
                  <c:v>23.420081432069299</c:v>
                </c:pt>
                <c:pt idx="611">
                  <c:v>21.942189047269771</c:v>
                </c:pt>
                <c:pt idx="612">
                  <c:v>21.283104481465781</c:v>
                </c:pt>
                <c:pt idx="613">
                  <c:v>20.681099870092279</c:v>
                </c:pt>
                <c:pt idx="614">
                  <c:v>21.0474728373202</c:v>
                </c:pt>
                <c:pt idx="615">
                  <c:v>19.897500203164249</c:v>
                </c:pt>
                <c:pt idx="616">
                  <c:v>20.317029805528549</c:v>
                </c:pt>
                <c:pt idx="617">
                  <c:v>20.808916989232191</c:v>
                </c:pt>
                <c:pt idx="618">
                  <c:v>21.541045815077059</c:v>
                </c:pt>
                <c:pt idx="619">
                  <c:v>20.854092283696229</c:v>
                </c:pt>
                <c:pt idx="620">
                  <c:v>21.187025068787019</c:v>
                </c:pt>
                <c:pt idx="621">
                  <c:v>23.327739554898859</c:v>
                </c:pt>
                <c:pt idx="622">
                  <c:v>23.431713012277921</c:v>
                </c:pt>
                <c:pt idx="623">
                  <c:v>23.403974264971339</c:v>
                </c:pt>
                <c:pt idx="624">
                  <c:v>25.794422790096569</c:v>
                </c:pt>
                <c:pt idx="625">
                  <c:v>26.191303089562791</c:v>
                </c:pt>
                <c:pt idx="626">
                  <c:v>27.231954457868579</c:v>
                </c:pt>
                <c:pt idx="627">
                  <c:v>26.815893964778049</c:v>
                </c:pt>
                <c:pt idx="628">
                  <c:v>31.117603291163629</c:v>
                </c:pt>
                <c:pt idx="629">
                  <c:v>32.657225371281058</c:v>
                </c:pt>
                <c:pt idx="630">
                  <c:v>30.675598347345179</c:v>
                </c:pt>
                <c:pt idx="631">
                  <c:v>29.46566622083208</c:v>
                </c:pt>
                <c:pt idx="632">
                  <c:v>30.72100888267115</c:v>
                </c:pt>
                <c:pt idx="633">
                  <c:v>30.314570198978458</c:v>
                </c:pt>
                <c:pt idx="634">
                  <c:v>31.040699206918219</c:v>
                </c:pt>
                <c:pt idx="635">
                  <c:v>31.529506005392449</c:v>
                </c:pt>
                <c:pt idx="636">
                  <c:v>31.994770138331539</c:v>
                </c:pt>
                <c:pt idx="637">
                  <c:v>32.106083307160141</c:v>
                </c:pt>
                <c:pt idx="638">
                  <c:v>31.397480421733629</c:v>
                </c:pt>
                <c:pt idx="639">
                  <c:v>30.340136522929019</c:v>
                </c:pt>
                <c:pt idx="640">
                  <c:v>28.770628755906131</c:v>
                </c:pt>
                <c:pt idx="641">
                  <c:v>30.553858994994769</c:v>
                </c:pt>
                <c:pt idx="642">
                  <c:v>31.293740177076721</c:v>
                </c:pt>
                <c:pt idx="643">
                  <c:v>31.327076734229799</c:v>
                </c:pt>
                <c:pt idx="644">
                  <c:v>30.814538857137489</c:v>
                </c:pt>
                <c:pt idx="645">
                  <c:v>31.129915219927572</c:v>
                </c:pt>
                <c:pt idx="646">
                  <c:v>31.812305629036199</c:v>
                </c:pt>
                <c:pt idx="647">
                  <c:v>31.027218731547318</c:v>
                </c:pt>
                <c:pt idx="648">
                  <c:v>30.508956477468011</c:v>
                </c:pt>
                <c:pt idx="649">
                  <c:v>29.798738988266969</c:v>
                </c:pt>
                <c:pt idx="650">
                  <c:v>29.11534891953719</c:v>
                </c:pt>
                <c:pt idx="651">
                  <c:v>28.503186176339739</c:v>
                </c:pt>
                <c:pt idx="652">
                  <c:v>27.674891646362418</c:v>
                </c:pt>
                <c:pt idx="653">
                  <c:v>29.53725953466536</c:v>
                </c:pt>
                <c:pt idx="654">
                  <c:v>28.38488325338983</c:v>
                </c:pt>
                <c:pt idx="655">
                  <c:v>27.197470664654691</c:v>
                </c:pt>
                <c:pt idx="656">
                  <c:v>26.15388096544266</c:v>
                </c:pt>
                <c:pt idx="657">
                  <c:v>25.137632569091679</c:v>
                </c:pt>
                <c:pt idx="658">
                  <c:v>24.238379664765159</c:v>
                </c:pt>
                <c:pt idx="659">
                  <c:v>24.112378944716191</c:v>
                </c:pt>
                <c:pt idx="660">
                  <c:v>25.024584026457521</c:v>
                </c:pt>
                <c:pt idx="661">
                  <c:v>22.710209842769959</c:v>
                </c:pt>
                <c:pt idx="662">
                  <c:v>21.007159458089291</c:v>
                </c:pt>
                <c:pt idx="663">
                  <c:v>21.03267926919942</c:v>
                </c:pt>
                <c:pt idx="664">
                  <c:v>20.959933128928331</c:v>
                </c:pt>
                <c:pt idx="665">
                  <c:v>19.671787371721312</c:v>
                </c:pt>
                <c:pt idx="666">
                  <c:v>20.445611118251271</c:v>
                </c:pt>
                <c:pt idx="667">
                  <c:v>20.31672883798818</c:v>
                </c:pt>
                <c:pt idx="668">
                  <c:v>19.9567833129022</c:v>
                </c:pt>
                <c:pt idx="669">
                  <c:v>19.483612952244151</c:v>
                </c:pt>
                <c:pt idx="670">
                  <c:v>19.22849373960322</c:v>
                </c:pt>
                <c:pt idx="671">
                  <c:v>20.141776017139399</c:v>
                </c:pt>
                <c:pt idx="672">
                  <c:v>20.809419472750879</c:v>
                </c:pt>
                <c:pt idx="673">
                  <c:v>22.292468968362101</c:v>
                </c:pt>
                <c:pt idx="674">
                  <c:v>24.36270909453831</c:v>
                </c:pt>
                <c:pt idx="675">
                  <c:v>25.276576553980352</c:v>
                </c:pt>
                <c:pt idx="676">
                  <c:v>23.292619455215139</c:v>
                </c:pt>
                <c:pt idx="677">
                  <c:v>24.25933826477284</c:v>
                </c:pt>
                <c:pt idx="678">
                  <c:v>23.354601567692839</c:v>
                </c:pt>
                <c:pt idx="679">
                  <c:v>22.962593016430262</c:v>
                </c:pt>
                <c:pt idx="680">
                  <c:v>22.71143567902417</c:v>
                </c:pt>
                <c:pt idx="681">
                  <c:v>22.489782737068591</c:v>
                </c:pt>
                <c:pt idx="682">
                  <c:v>22.183181204044381</c:v>
                </c:pt>
                <c:pt idx="683">
                  <c:v>21.459107364607611</c:v>
                </c:pt>
                <c:pt idx="684">
                  <c:v>21.87839919657733</c:v>
                </c:pt>
                <c:pt idx="685">
                  <c:v>20.909635981716729</c:v>
                </c:pt>
                <c:pt idx="686">
                  <c:v>19.150140554573049</c:v>
                </c:pt>
                <c:pt idx="687">
                  <c:v>18.930312589980879</c:v>
                </c:pt>
                <c:pt idx="688">
                  <c:v>18.309981294267509</c:v>
                </c:pt>
                <c:pt idx="689">
                  <c:v>18.728139104960839</c:v>
                </c:pt>
                <c:pt idx="690">
                  <c:v>17.905542450833089</c:v>
                </c:pt>
                <c:pt idx="691">
                  <c:v>19.613730850569659</c:v>
                </c:pt>
                <c:pt idx="692">
                  <c:v>20.191103797870198</c:v>
                </c:pt>
                <c:pt idx="693">
                  <c:v>20.5056819759265</c:v>
                </c:pt>
                <c:pt idx="694">
                  <c:v>21.279348748563621</c:v>
                </c:pt>
                <c:pt idx="695">
                  <c:v>19.366860953417191</c:v>
                </c:pt>
                <c:pt idx="696">
                  <c:v>18.52025352737855</c:v>
                </c:pt>
                <c:pt idx="697">
                  <c:v>16.58613760237672</c:v>
                </c:pt>
                <c:pt idx="698">
                  <c:v>16.02074423105746</c:v>
                </c:pt>
                <c:pt idx="699">
                  <c:v>16.782977846395749</c:v>
                </c:pt>
                <c:pt idx="700">
                  <c:v>18.130443015977409</c:v>
                </c:pt>
                <c:pt idx="701">
                  <c:v>18.753245542625699</c:v>
                </c:pt>
                <c:pt idx="702">
                  <c:v>18.563115492897701</c:v>
                </c:pt>
                <c:pt idx="703">
                  <c:v>18.976205234160791</c:v>
                </c:pt>
                <c:pt idx="704">
                  <c:v>19.366827136843479</c:v>
                </c:pt>
                <c:pt idx="705">
                  <c:v>18.937783424814519</c:v>
                </c:pt>
                <c:pt idx="706">
                  <c:v>20.29252622478726</c:v>
                </c:pt>
                <c:pt idx="707">
                  <c:v>21.445352942750809</c:v>
                </c:pt>
                <c:pt idx="708">
                  <c:v>20.84255269536613</c:v>
                </c:pt>
                <c:pt idx="709">
                  <c:v>21.815422687979321</c:v>
                </c:pt>
                <c:pt idx="710">
                  <c:v>22.88913028644258</c:v>
                </c:pt>
                <c:pt idx="711">
                  <c:v>25.08985798432445</c:v>
                </c:pt>
                <c:pt idx="712">
                  <c:v>24.30809014852883</c:v>
                </c:pt>
                <c:pt idx="713">
                  <c:v>23.289600903402381</c:v>
                </c:pt>
                <c:pt idx="714">
                  <c:v>25.261186152854481</c:v>
                </c:pt>
                <c:pt idx="715">
                  <c:v>31.02340282169283</c:v>
                </c:pt>
                <c:pt idx="716">
                  <c:v>30.944777081020518</c:v>
                </c:pt>
                <c:pt idx="717">
                  <c:v>28.625924135738291</c:v>
                </c:pt>
                <c:pt idx="718">
                  <c:v>27.495178012892659</c:v>
                </c:pt>
                <c:pt idx="719">
                  <c:v>29.788762157768019</c:v>
                </c:pt>
                <c:pt idx="720">
                  <c:v>30.611598688960989</c:v>
                </c:pt>
                <c:pt idx="721">
                  <c:v>31.609122943284579</c:v>
                </c:pt>
                <c:pt idx="722">
                  <c:v>32.845386619322177</c:v>
                </c:pt>
                <c:pt idx="723">
                  <c:v>33.12570555325928</c:v>
                </c:pt>
                <c:pt idx="724">
                  <c:v>30.36865260968661</c:v>
                </c:pt>
                <c:pt idx="725">
                  <c:v>30.380847315954661</c:v>
                </c:pt>
                <c:pt idx="726">
                  <c:v>30.318702710281809</c:v>
                </c:pt>
                <c:pt idx="727">
                  <c:v>29.124976400476591</c:v>
                </c:pt>
                <c:pt idx="728">
                  <c:v>27.382673431552881</c:v>
                </c:pt>
                <c:pt idx="729">
                  <c:v>28.209251985985851</c:v>
                </c:pt>
                <c:pt idx="730">
                  <c:v>28.89716582336014</c:v>
                </c:pt>
                <c:pt idx="731">
                  <c:v>31.083076595504689</c:v>
                </c:pt>
                <c:pt idx="732">
                  <c:v>31.583097979824021</c:v>
                </c:pt>
                <c:pt idx="733">
                  <c:v>30.738924544097141</c:v>
                </c:pt>
                <c:pt idx="734">
                  <c:v>27.451609528407548</c:v>
                </c:pt>
                <c:pt idx="735">
                  <c:v>25.840598881774941</c:v>
                </c:pt>
                <c:pt idx="736">
                  <c:v>24.91989980792577</c:v>
                </c:pt>
                <c:pt idx="737">
                  <c:v>23.588198195849671</c:v>
                </c:pt>
                <c:pt idx="738">
                  <c:v>24.612871172990818</c:v>
                </c:pt>
                <c:pt idx="739">
                  <c:v>26.571415548589659</c:v>
                </c:pt>
                <c:pt idx="740">
                  <c:v>28.973229868272121</c:v>
                </c:pt>
                <c:pt idx="741">
                  <c:v>28.428855690831941</c:v>
                </c:pt>
                <c:pt idx="742">
                  <c:v>30.155555132720149</c:v>
                </c:pt>
                <c:pt idx="743">
                  <c:v>32.230984089718568</c:v>
                </c:pt>
                <c:pt idx="744">
                  <c:v>30.400608987638041</c:v>
                </c:pt>
                <c:pt idx="745">
                  <c:v>30.599384516962822</c:v>
                </c:pt>
                <c:pt idx="746">
                  <c:v>30.514397006857649</c:v>
                </c:pt>
                <c:pt idx="747">
                  <c:v>27.942686174482329</c:v>
                </c:pt>
                <c:pt idx="748">
                  <c:v>28.02957842765478</c:v>
                </c:pt>
                <c:pt idx="749">
                  <c:v>27.84780773472</c:v>
                </c:pt>
                <c:pt idx="750">
                  <c:v>31.11165376061145</c:v>
                </c:pt>
                <c:pt idx="751">
                  <c:v>30.6054237287481</c:v>
                </c:pt>
                <c:pt idx="752">
                  <c:v>29.695061199404542</c:v>
                </c:pt>
                <c:pt idx="753">
                  <c:v>29.67198966131669</c:v>
                </c:pt>
                <c:pt idx="754">
                  <c:v>27.77377510047609</c:v>
                </c:pt>
                <c:pt idx="755">
                  <c:v>27.222484790065131</c:v>
                </c:pt>
                <c:pt idx="756">
                  <c:v>26.937357259256348</c:v>
                </c:pt>
                <c:pt idx="757">
                  <c:v>26.156676192995459</c:v>
                </c:pt>
                <c:pt idx="758">
                  <c:v>25.622136880090761</c:v>
                </c:pt>
                <c:pt idx="759">
                  <c:v>25.80808577914275</c:v>
                </c:pt>
                <c:pt idx="760">
                  <c:v>29.53882535616059</c:v>
                </c:pt>
                <c:pt idx="761">
                  <c:v>26.490795363200601</c:v>
                </c:pt>
                <c:pt idx="762">
                  <c:v>27.432174364942721</c:v>
                </c:pt>
                <c:pt idx="763">
                  <c:v>29.19291760046324</c:v>
                </c:pt>
                <c:pt idx="764">
                  <c:v>29.135627305469061</c:v>
                </c:pt>
                <c:pt idx="765">
                  <c:v>27.932570387355661</c:v>
                </c:pt>
                <c:pt idx="766">
                  <c:v>26.969698554475841</c:v>
                </c:pt>
                <c:pt idx="767">
                  <c:v>29.86314187728928</c:v>
                </c:pt>
                <c:pt idx="768">
                  <c:v>28.12954874801969</c:v>
                </c:pt>
                <c:pt idx="769">
                  <c:v>27.539131009113419</c:v>
                </c:pt>
                <c:pt idx="770">
                  <c:v>26.09413334010388</c:v>
                </c:pt>
                <c:pt idx="771">
                  <c:v>24.72373639649086</c:v>
                </c:pt>
                <c:pt idx="772">
                  <c:v>23.544352455537091</c:v>
                </c:pt>
                <c:pt idx="773">
                  <c:v>23.31565860192752</c:v>
                </c:pt>
                <c:pt idx="774">
                  <c:v>23.366462311283641</c:v>
                </c:pt>
                <c:pt idx="775">
                  <c:v>23.490113483216369</c:v>
                </c:pt>
                <c:pt idx="776">
                  <c:v>22.339335212612522</c:v>
                </c:pt>
                <c:pt idx="777">
                  <c:v>21.69216970894858</c:v>
                </c:pt>
                <c:pt idx="778">
                  <c:v>21.576679386342981</c:v>
                </c:pt>
                <c:pt idx="779">
                  <c:v>22.268959072959479</c:v>
                </c:pt>
                <c:pt idx="780">
                  <c:v>22.65468238472009</c:v>
                </c:pt>
                <c:pt idx="781">
                  <c:v>23.24181332975196</c:v>
                </c:pt>
                <c:pt idx="782">
                  <c:v>22.88407217992722</c:v>
                </c:pt>
                <c:pt idx="783">
                  <c:v>22.907080641447969</c:v>
                </c:pt>
                <c:pt idx="784">
                  <c:v>21.690828088610122</c:v>
                </c:pt>
                <c:pt idx="785">
                  <c:v>20.729414985200549</c:v>
                </c:pt>
                <c:pt idx="786">
                  <c:v>21.167444976449879</c:v>
                </c:pt>
                <c:pt idx="787">
                  <c:v>20.62492184230927</c:v>
                </c:pt>
                <c:pt idx="788">
                  <c:v>20.603319693249869</c:v>
                </c:pt>
                <c:pt idx="789">
                  <c:v>20.64651702096193</c:v>
                </c:pt>
                <c:pt idx="790">
                  <c:v>19.938062366121809</c:v>
                </c:pt>
                <c:pt idx="791">
                  <c:v>20.285057802368119</c:v>
                </c:pt>
                <c:pt idx="792">
                  <c:v>23.924807113289049</c:v>
                </c:pt>
                <c:pt idx="793">
                  <c:v>26.305915417675902</c:v>
                </c:pt>
                <c:pt idx="794">
                  <c:v>26.20478505102836</c:v>
                </c:pt>
                <c:pt idx="795">
                  <c:v>26.293267398981939</c:v>
                </c:pt>
                <c:pt idx="796">
                  <c:v>26.288360678179391</c:v>
                </c:pt>
                <c:pt idx="797">
                  <c:v>26.50793919294923</c:v>
                </c:pt>
                <c:pt idx="798">
                  <c:v>27.516896059272369</c:v>
                </c:pt>
                <c:pt idx="799">
                  <c:v>25.195892776910259</c:v>
                </c:pt>
                <c:pt idx="800">
                  <c:v>24.675237846654159</c:v>
                </c:pt>
                <c:pt idx="801">
                  <c:v>23.68849124641623</c:v>
                </c:pt>
                <c:pt idx="802">
                  <c:v>23.222661315165318</c:v>
                </c:pt>
                <c:pt idx="803">
                  <c:v>23.952911483702419</c:v>
                </c:pt>
                <c:pt idx="804">
                  <c:v>23.100822738688638</c:v>
                </c:pt>
                <c:pt idx="805">
                  <c:v>22.08807825298771</c:v>
                </c:pt>
                <c:pt idx="806">
                  <c:v>22.122239856633669</c:v>
                </c:pt>
                <c:pt idx="807">
                  <c:v>22.449806873626351</c:v>
                </c:pt>
                <c:pt idx="808">
                  <c:v>22.361556985816861</c:v>
                </c:pt>
                <c:pt idx="809">
                  <c:v>22.51989273512514</c:v>
                </c:pt>
                <c:pt idx="810">
                  <c:v>22.792934278639631</c:v>
                </c:pt>
                <c:pt idx="811">
                  <c:v>26.164579338959769</c:v>
                </c:pt>
                <c:pt idx="812">
                  <c:v>25.745001487312429</c:v>
                </c:pt>
                <c:pt idx="813">
                  <c:v>26.523655343021229</c:v>
                </c:pt>
                <c:pt idx="814">
                  <c:v>24.236330492698141</c:v>
                </c:pt>
                <c:pt idx="815">
                  <c:v>22.696259169383492</c:v>
                </c:pt>
                <c:pt idx="816">
                  <c:v>21.394200428912651</c:v>
                </c:pt>
                <c:pt idx="817">
                  <c:v>19.942957990286502</c:v>
                </c:pt>
                <c:pt idx="818">
                  <c:v>19.859294395608401</c:v>
                </c:pt>
                <c:pt idx="819">
                  <c:v>19.601571878523629</c:v>
                </c:pt>
                <c:pt idx="820">
                  <c:v>19.78084736830511</c:v>
                </c:pt>
                <c:pt idx="821">
                  <c:v>20.195873127657119</c:v>
                </c:pt>
                <c:pt idx="822">
                  <c:v>18.127972926000179</c:v>
                </c:pt>
                <c:pt idx="823">
                  <c:v>18.692735038656831</c:v>
                </c:pt>
                <c:pt idx="824">
                  <c:v>20.59804371253453</c:v>
                </c:pt>
                <c:pt idx="825">
                  <c:v>22.213843145463571</c:v>
                </c:pt>
                <c:pt idx="826">
                  <c:v>21.42030658925685</c:v>
                </c:pt>
                <c:pt idx="827">
                  <c:v>20.92802781858498</c:v>
                </c:pt>
                <c:pt idx="828">
                  <c:v>20.31620923108996</c:v>
                </c:pt>
                <c:pt idx="829">
                  <c:v>20.7346579531008</c:v>
                </c:pt>
                <c:pt idx="830">
                  <c:v>20.644550637712872</c:v>
                </c:pt>
                <c:pt idx="831">
                  <c:v>19.967196786245129</c:v>
                </c:pt>
                <c:pt idx="832">
                  <c:v>20.59974395616895</c:v>
                </c:pt>
                <c:pt idx="833">
                  <c:v>20.521061095229321</c:v>
                </c:pt>
                <c:pt idx="834">
                  <c:v>21.153732477347098</c:v>
                </c:pt>
                <c:pt idx="835">
                  <c:v>20.99972130905558</c:v>
                </c:pt>
                <c:pt idx="836">
                  <c:v>21.74150311752874</c:v>
                </c:pt>
                <c:pt idx="837">
                  <c:v>21.227433328996511</c:v>
                </c:pt>
                <c:pt idx="838">
                  <c:v>21.235277589320031</c:v>
                </c:pt>
                <c:pt idx="839">
                  <c:v>21.46517174272363</c:v>
                </c:pt>
                <c:pt idx="840">
                  <c:v>20.36775610627933</c:v>
                </c:pt>
                <c:pt idx="841">
                  <c:v>20.140850163070379</c:v>
                </c:pt>
                <c:pt idx="842">
                  <c:v>19.22373522014647</c:v>
                </c:pt>
                <c:pt idx="843">
                  <c:v>19.324580971110279</c:v>
                </c:pt>
                <c:pt idx="844">
                  <c:v>18.588132023963801</c:v>
                </c:pt>
                <c:pt idx="845">
                  <c:v>18.586194935713959</c:v>
                </c:pt>
                <c:pt idx="846">
                  <c:v>18.055134379828299</c:v>
                </c:pt>
                <c:pt idx="847">
                  <c:v>18.884966770578739</c:v>
                </c:pt>
                <c:pt idx="848">
                  <c:v>19.465134966873642</c:v>
                </c:pt>
                <c:pt idx="849">
                  <c:v>20.487973269973981</c:v>
                </c:pt>
                <c:pt idx="850">
                  <c:v>20.033233104098091</c:v>
                </c:pt>
                <c:pt idx="851">
                  <c:v>19.944069259533219</c:v>
                </c:pt>
                <c:pt idx="852">
                  <c:v>19.272366112099849</c:v>
                </c:pt>
                <c:pt idx="853">
                  <c:v>18.957195662440188</c:v>
                </c:pt>
                <c:pt idx="854">
                  <c:v>18.387011389911109</c:v>
                </c:pt>
                <c:pt idx="855">
                  <c:v>19.400562786974689</c:v>
                </c:pt>
                <c:pt idx="856">
                  <c:v>19.028765007557279</c:v>
                </c:pt>
                <c:pt idx="857">
                  <c:v>18.076369523021668</c:v>
                </c:pt>
                <c:pt idx="858">
                  <c:v>17.159517923158528</c:v>
                </c:pt>
                <c:pt idx="859">
                  <c:v>16.86027404815934</c:v>
                </c:pt>
                <c:pt idx="860">
                  <c:v>17.080650302267561</c:v>
                </c:pt>
                <c:pt idx="861">
                  <c:v>17.096581884422051</c:v>
                </c:pt>
                <c:pt idx="862">
                  <c:v>17.542618607664082</c:v>
                </c:pt>
                <c:pt idx="863">
                  <c:v>17.747530083061701</c:v>
                </c:pt>
                <c:pt idx="864">
                  <c:v>16.371420481042829</c:v>
                </c:pt>
                <c:pt idx="865">
                  <c:v>15.61691474694639</c:v>
                </c:pt>
                <c:pt idx="866">
                  <c:v>15.804338446214359</c:v>
                </c:pt>
                <c:pt idx="867">
                  <c:v>16.13181207418792</c:v>
                </c:pt>
                <c:pt idx="868">
                  <c:v>15.091759059765719</c:v>
                </c:pt>
                <c:pt idx="869">
                  <c:v>14.6045629869362</c:v>
                </c:pt>
                <c:pt idx="870">
                  <c:v>17.07269329103389</c:v>
                </c:pt>
                <c:pt idx="871">
                  <c:v>17.332826182811029</c:v>
                </c:pt>
                <c:pt idx="872">
                  <c:v>17.5388032455357</c:v>
                </c:pt>
                <c:pt idx="873">
                  <c:v>16.274750941152831</c:v>
                </c:pt>
                <c:pt idx="874">
                  <c:v>15.774279197520951</c:v>
                </c:pt>
                <c:pt idx="875">
                  <c:v>15.78742916286439</c:v>
                </c:pt>
                <c:pt idx="876">
                  <c:v>15.18265494690238</c:v>
                </c:pt>
                <c:pt idx="877">
                  <c:v>14.605892896068131</c:v>
                </c:pt>
                <c:pt idx="878">
                  <c:v>14.072003157104639</c:v>
                </c:pt>
                <c:pt idx="879">
                  <c:v>14.30641814640302</c:v>
                </c:pt>
                <c:pt idx="880">
                  <c:v>14.58149366870852</c:v>
                </c:pt>
                <c:pt idx="881">
                  <c:v>14.762283480105291</c:v>
                </c:pt>
                <c:pt idx="882">
                  <c:v>14.023121654520599</c:v>
                </c:pt>
                <c:pt idx="883">
                  <c:v>14.08183393467211</c:v>
                </c:pt>
                <c:pt idx="884">
                  <c:v>14.31719763117184</c:v>
                </c:pt>
                <c:pt idx="885">
                  <c:v>14.12029669487865</c:v>
                </c:pt>
                <c:pt idx="886">
                  <c:v>14.34227628930425</c:v>
                </c:pt>
                <c:pt idx="887">
                  <c:v>14.624391935506271</c:v>
                </c:pt>
                <c:pt idx="888">
                  <c:v>15.53727785784972</c:v>
                </c:pt>
                <c:pt idx="889">
                  <c:v>15.03212690549851</c:v>
                </c:pt>
                <c:pt idx="890">
                  <c:v>15.27542529724056</c:v>
                </c:pt>
                <c:pt idx="891">
                  <c:v>15.56191763694182</c:v>
                </c:pt>
                <c:pt idx="892">
                  <c:v>15.533951898054809</c:v>
                </c:pt>
                <c:pt idx="893">
                  <c:v>14.693557534420989</c:v>
                </c:pt>
                <c:pt idx="894">
                  <c:v>13.88884688562559</c:v>
                </c:pt>
                <c:pt idx="895">
                  <c:v>15.012552643632169</c:v>
                </c:pt>
                <c:pt idx="896">
                  <c:v>14.968630491676629</c:v>
                </c:pt>
                <c:pt idx="897">
                  <c:v>15.3304053485887</c:v>
                </c:pt>
                <c:pt idx="898">
                  <c:v>14.60465799910491</c:v>
                </c:pt>
                <c:pt idx="899">
                  <c:v>14.61047439228402</c:v>
                </c:pt>
                <c:pt idx="900">
                  <c:v>14.296862251948999</c:v>
                </c:pt>
                <c:pt idx="901">
                  <c:v>13.64521926837268</c:v>
                </c:pt>
                <c:pt idx="902">
                  <c:v>14.1681366241821</c:v>
                </c:pt>
                <c:pt idx="903">
                  <c:v>13.61882318312877</c:v>
                </c:pt>
                <c:pt idx="904">
                  <c:v>13.3804637200135</c:v>
                </c:pt>
                <c:pt idx="905">
                  <c:v>13.40997198741937</c:v>
                </c:pt>
                <c:pt idx="906">
                  <c:v>12.777790623829871</c:v>
                </c:pt>
                <c:pt idx="907">
                  <c:v>12.217338236978719</c:v>
                </c:pt>
                <c:pt idx="908">
                  <c:v>12.402768819654341</c:v>
                </c:pt>
                <c:pt idx="909">
                  <c:v>12.26618119177877</c:v>
                </c:pt>
                <c:pt idx="910">
                  <c:v>12.505773166467881</c:v>
                </c:pt>
                <c:pt idx="911">
                  <c:v>12.167795947014319</c:v>
                </c:pt>
                <c:pt idx="912">
                  <c:v>14.15757713009708</c:v>
                </c:pt>
                <c:pt idx="913">
                  <c:v>13.48336021982267</c:v>
                </c:pt>
                <c:pt idx="914">
                  <c:v>14.23941476487264</c:v>
                </c:pt>
                <c:pt idx="915">
                  <c:v>15.73318082973651</c:v>
                </c:pt>
                <c:pt idx="916">
                  <c:v>16.175164566097909</c:v>
                </c:pt>
                <c:pt idx="917">
                  <c:v>15.619812466311791</c:v>
                </c:pt>
                <c:pt idx="918">
                  <c:v>13.98576249074315</c:v>
                </c:pt>
                <c:pt idx="919">
                  <c:v>13.690710982138549</c:v>
                </c:pt>
                <c:pt idx="920">
                  <c:v>13.309050056262491</c:v>
                </c:pt>
                <c:pt idx="921">
                  <c:v>13.467690069846901</c:v>
                </c:pt>
                <c:pt idx="922">
                  <c:v>13.787716894155441</c:v>
                </c:pt>
                <c:pt idx="923">
                  <c:v>14.779218177020629</c:v>
                </c:pt>
                <c:pt idx="924">
                  <c:v>15.28676204437097</c:v>
                </c:pt>
                <c:pt idx="925">
                  <c:v>15.713852159121579</c:v>
                </c:pt>
                <c:pt idx="926">
                  <c:v>15.213415176279691</c:v>
                </c:pt>
                <c:pt idx="927">
                  <c:v>15.87353552905201</c:v>
                </c:pt>
                <c:pt idx="928">
                  <c:v>16.084274915658689</c:v>
                </c:pt>
                <c:pt idx="929">
                  <c:v>16.29081756985893</c:v>
                </c:pt>
                <c:pt idx="930">
                  <c:v>15.553686627238401</c:v>
                </c:pt>
                <c:pt idx="931">
                  <c:v>15.1168980041178</c:v>
                </c:pt>
                <c:pt idx="932">
                  <c:v>15.26930166106464</c:v>
                </c:pt>
                <c:pt idx="933">
                  <c:v>14.39783809084752</c:v>
                </c:pt>
                <c:pt idx="934">
                  <c:v>17.093681824126811</c:v>
                </c:pt>
                <c:pt idx="935">
                  <c:v>16.228204597503851</c:v>
                </c:pt>
                <c:pt idx="936">
                  <c:v>15.42851178688583</c:v>
                </c:pt>
                <c:pt idx="937">
                  <c:v>15.383152152124209</c:v>
                </c:pt>
                <c:pt idx="938">
                  <c:v>17.47705095287283</c:v>
                </c:pt>
                <c:pt idx="939">
                  <c:v>16.444064013127988</c:v>
                </c:pt>
                <c:pt idx="940">
                  <c:v>18.12231996360584</c:v>
                </c:pt>
                <c:pt idx="941">
                  <c:v>23.46748708613433</c:v>
                </c:pt>
                <c:pt idx="942">
                  <c:v>20.81913497331513</c:v>
                </c:pt>
                <c:pt idx="943">
                  <c:v>20.96325435529312</c:v>
                </c:pt>
                <c:pt idx="944">
                  <c:v>22.28626674953928</c:v>
                </c:pt>
                <c:pt idx="945">
                  <c:v>21.89125379989882</c:v>
                </c:pt>
                <c:pt idx="946">
                  <c:v>20.12140385764803</c:v>
                </c:pt>
                <c:pt idx="947">
                  <c:v>19.293128572162619</c:v>
                </c:pt>
                <c:pt idx="948">
                  <c:v>19.759909819560999</c:v>
                </c:pt>
                <c:pt idx="949">
                  <c:v>18.84811417105167</c:v>
                </c:pt>
                <c:pt idx="950">
                  <c:v>18.969655936014689</c:v>
                </c:pt>
                <c:pt idx="951">
                  <c:v>19.147464533817619</c:v>
                </c:pt>
                <c:pt idx="952">
                  <c:v>21.053787376580988</c:v>
                </c:pt>
                <c:pt idx="953">
                  <c:v>20.934443355448568</c:v>
                </c:pt>
                <c:pt idx="954">
                  <c:v>21.879523799480928</c:v>
                </c:pt>
                <c:pt idx="955">
                  <c:v>22.84136271331236</c:v>
                </c:pt>
                <c:pt idx="956">
                  <c:v>23.2367796093944</c:v>
                </c:pt>
                <c:pt idx="957">
                  <c:v>23.911178932705958</c:v>
                </c:pt>
                <c:pt idx="958">
                  <c:v>20.500689451399712</c:v>
                </c:pt>
                <c:pt idx="959">
                  <c:v>23.723325696142709</c:v>
                </c:pt>
                <c:pt idx="960">
                  <c:v>21.19368619871813</c:v>
                </c:pt>
                <c:pt idx="961">
                  <c:v>20.82013503437928</c:v>
                </c:pt>
                <c:pt idx="962">
                  <c:v>20.847063653629441</c:v>
                </c:pt>
                <c:pt idx="963">
                  <c:v>21.566603613130908</c:v>
                </c:pt>
                <c:pt idx="964">
                  <c:v>22.904970907702261</c:v>
                </c:pt>
                <c:pt idx="965">
                  <c:v>28.050362107108551</c:v>
                </c:pt>
                <c:pt idx="966">
                  <c:v>27.54934920616417</c:v>
                </c:pt>
                <c:pt idx="967">
                  <c:v>27.42370110329237</c:v>
                </c:pt>
                <c:pt idx="968">
                  <c:v>29.842855363813332</c:v>
                </c:pt>
                <c:pt idx="969">
                  <c:v>34.890097345295253</c:v>
                </c:pt>
                <c:pt idx="970">
                  <c:v>34.657275621113612</c:v>
                </c:pt>
                <c:pt idx="971">
                  <c:v>37.890422740133907</c:v>
                </c:pt>
                <c:pt idx="972">
                  <c:v>33.4228421529454</c:v>
                </c:pt>
                <c:pt idx="973">
                  <c:v>36.815106652815707</c:v>
                </c:pt>
                <c:pt idx="974">
                  <c:v>34.45232808284203</c:v>
                </c:pt>
                <c:pt idx="975">
                  <c:v>35.999581491625108</c:v>
                </c:pt>
                <c:pt idx="976">
                  <c:v>34.331021646380101</c:v>
                </c:pt>
                <c:pt idx="977">
                  <c:v>33.639737489314278</c:v>
                </c:pt>
                <c:pt idx="978">
                  <c:v>32.535653350054467</c:v>
                </c:pt>
                <c:pt idx="979">
                  <c:v>32.66489034274769</c:v>
                </c:pt>
                <c:pt idx="980">
                  <c:v>31.592197597708179</c:v>
                </c:pt>
                <c:pt idx="981">
                  <c:v>29.358995963210621</c:v>
                </c:pt>
                <c:pt idx="982">
                  <c:v>27.628247341225102</c:v>
                </c:pt>
                <c:pt idx="983">
                  <c:v>26.453036773998839</c:v>
                </c:pt>
                <c:pt idx="984">
                  <c:v>27.35363249138128</c:v>
                </c:pt>
                <c:pt idx="985">
                  <c:v>25.04955589099826</c:v>
                </c:pt>
                <c:pt idx="986">
                  <c:v>23.846321948034529</c:v>
                </c:pt>
                <c:pt idx="987">
                  <c:v>22.693537760810418</c:v>
                </c:pt>
                <c:pt idx="988">
                  <c:v>21.92953792233558</c:v>
                </c:pt>
                <c:pt idx="989">
                  <c:v>20.456070341696751</c:v>
                </c:pt>
                <c:pt idx="990">
                  <c:v>19.705062881310418</c:v>
                </c:pt>
                <c:pt idx="991">
                  <c:v>23.88126764209013</c:v>
                </c:pt>
                <c:pt idx="992">
                  <c:v>23.265976882041539</c:v>
                </c:pt>
                <c:pt idx="993">
                  <c:v>22.977299965565471</c:v>
                </c:pt>
                <c:pt idx="994">
                  <c:v>22.65881803910392</c:v>
                </c:pt>
                <c:pt idx="995">
                  <c:v>22.341385140423</c:v>
                </c:pt>
                <c:pt idx="996">
                  <c:v>21.711836293870739</c:v>
                </c:pt>
                <c:pt idx="997">
                  <c:v>20.629095086001389</c:v>
                </c:pt>
                <c:pt idx="998">
                  <c:v>19.957000196329961</c:v>
                </c:pt>
                <c:pt idx="999">
                  <c:v>18.427004454576299</c:v>
                </c:pt>
                <c:pt idx="1000">
                  <c:v>18.49277438382941</c:v>
                </c:pt>
                <c:pt idx="1001">
                  <c:v>19.320800739443719</c:v>
                </c:pt>
                <c:pt idx="1002">
                  <c:v>21.412309155716859</c:v>
                </c:pt>
                <c:pt idx="1003">
                  <c:v>20.61595387727569</c:v>
                </c:pt>
                <c:pt idx="1004">
                  <c:v>19.542764711700048</c:v>
                </c:pt>
                <c:pt idx="1005">
                  <c:v>18.635906559774138</c:v>
                </c:pt>
                <c:pt idx="1006">
                  <c:v>18.96421893750453</c:v>
                </c:pt>
                <c:pt idx="1007">
                  <c:v>19.14020156701325</c:v>
                </c:pt>
                <c:pt idx="1008">
                  <c:v>18.960344231355801</c:v>
                </c:pt>
                <c:pt idx="1009">
                  <c:v>19.089858638760951</c:v>
                </c:pt>
                <c:pt idx="1010">
                  <c:v>18.55812948342723</c:v>
                </c:pt>
                <c:pt idx="1011">
                  <c:v>18.224408774927031</c:v>
                </c:pt>
                <c:pt idx="1012">
                  <c:v>17.408808746136149</c:v>
                </c:pt>
                <c:pt idx="1013">
                  <c:v>18.889600502137359</c:v>
                </c:pt>
                <c:pt idx="1014">
                  <c:v>19.74201202079507</c:v>
                </c:pt>
                <c:pt idx="1015">
                  <c:v>22.673923582816052</c:v>
                </c:pt>
                <c:pt idx="1016">
                  <c:v>19.239370494174331</c:v>
                </c:pt>
                <c:pt idx="1017">
                  <c:v>18.588411759069619</c:v>
                </c:pt>
                <c:pt idx="1018">
                  <c:v>19.509392275931251</c:v>
                </c:pt>
                <c:pt idx="1019">
                  <c:v>19.149000811980251</c:v>
                </c:pt>
                <c:pt idx="1020">
                  <c:v>19.408546262760989</c:v>
                </c:pt>
                <c:pt idx="1021">
                  <c:v>17.265230200435791</c:v>
                </c:pt>
                <c:pt idx="1022">
                  <c:v>17.357714047713142</c:v>
                </c:pt>
                <c:pt idx="1023">
                  <c:v>17.928852217298651</c:v>
                </c:pt>
                <c:pt idx="1024">
                  <c:v>18.110168256284311</c:v>
                </c:pt>
                <c:pt idx="1025">
                  <c:v>17.35594902982006</c:v>
                </c:pt>
                <c:pt idx="1026">
                  <c:v>17.351620997381911</c:v>
                </c:pt>
                <c:pt idx="1027">
                  <c:v>17.599597508964202</c:v>
                </c:pt>
                <c:pt idx="1028">
                  <c:v>17.812012828074071</c:v>
                </c:pt>
                <c:pt idx="1029">
                  <c:v>18.34121906360992</c:v>
                </c:pt>
                <c:pt idx="1030">
                  <c:v>17.907873791639659</c:v>
                </c:pt>
                <c:pt idx="1031">
                  <c:v>19.262135770343569</c:v>
                </c:pt>
                <c:pt idx="1032">
                  <c:v>17.50502484068738</c:v>
                </c:pt>
                <c:pt idx="1033">
                  <c:v>19.241955128093871</c:v>
                </c:pt>
                <c:pt idx="1034">
                  <c:v>19.24333046000438</c:v>
                </c:pt>
                <c:pt idx="1035">
                  <c:v>19.367343412350639</c:v>
                </c:pt>
                <c:pt idx="1036">
                  <c:v>19.74235500738687</c:v>
                </c:pt>
                <c:pt idx="1037">
                  <c:v>20.12905335597582</c:v>
                </c:pt>
                <c:pt idx="1038">
                  <c:v>19.821433866219749</c:v>
                </c:pt>
                <c:pt idx="1039">
                  <c:v>18.406287869083499</c:v>
                </c:pt>
                <c:pt idx="1040">
                  <c:v>17.53660410449486</c:v>
                </c:pt>
                <c:pt idx="1041">
                  <c:v>18.492339084293381</c:v>
                </c:pt>
                <c:pt idx="1042">
                  <c:v>22.216094066840309</c:v>
                </c:pt>
                <c:pt idx="1043">
                  <c:v>24.20248777916127</c:v>
                </c:pt>
                <c:pt idx="1044">
                  <c:v>32.575674321626579</c:v>
                </c:pt>
                <c:pt idx="1045">
                  <c:v>31.955067069885839</c:v>
                </c:pt>
                <c:pt idx="1046">
                  <c:v>33.007560651660199</c:v>
                </c:pt>
                <c:pt idx="1047">
                  <c:v>33.067158790329763</c:v>
                </c:pt>
                <c:pt idx="1048">
                  <c:v>32.054063608065299</c:v>
                </c:pt>
                <c:pt idx="1049">
                  <c:v>29.100192613700742</c:v>
                </c:pt>
                <c:pt idx="1050">
                  <c:v>29.19495068695473</c:v>
                </c:pt>
                <c:pt idx="1051">
                  <c:v>34.675337518912229</c:v>
                </c:pt>
                <c:pt idx="1052">
                  <c:v>36.874447139525479</c:v>
                </c:pt>
                <c:pt idx="1053">
                  <c:v>31.950037661262741</c:v>
                </c:pt>
                <c:pt idx="1054">
                  <c:v>31.208939328693539</c:v>
                </c:pt>
                <c:pt idx="1055">
                  <c:v>29.36115938758487</c:v>
                </c:pt>
                <c:pt idx="1056">
                  <c:v>28.707710923336379</c:v>
                </c:pt>
                <c:pt idx="1057">
                  <c:v>29.32573161365378</c:v>
                </c:pt>
                <c:pt idx="1058">
                  <c:v>32.026558018148549</c:v>
                </c:pt>
                <c:pt idx="1059">
                  <c:v>29.217757537932371</c:v>
                </c:pt>
                <c:pt idx="1060">
                  <c:v>28.67054452424669</c:v>
                </c:pt>
                <c:pt idx="1061">
                  <c:v>29.207883938511021</c:v>
                </c:pt>
                <c:pt idx="1062">
                  <c:v>29.39743408605262</c:v>
                </c:pt>
                <c:pt idx="1063">
                  <c:v>30.44637243115816</c:v>
                </c:pt>
                <c:pt idx="1064">
                  <c:v>31.361535639641509</c:v>
                </c:pt>
                <c:pt idx="1065">
                  <c:v>30.930921061166899</c:v>
                </c:pt>
                <c:pt idx="1066">
                  <c:v>31.027813237001929</c:v>
                </c:pt>
                <c:pt idx="1067">
                  <c:v>31.153387734884351</c:v>
                </c:pt>
                <c:pt idx="1068">
                  <c:v>30.321429448787381</c:v>
                </c:pt>
                <c:pt idx="1069">
                  <c:v>30.31127959436693</c:v>
                </c:pt>
                <c:pt idx="1070">
                  <c:v>29.357079437008409</c:v>
                </c:pt>
                <c:pt idx="1071">
                  <c:v>28.993471655073009</c:v>
                </c:pt>
                <c:pt idx="1072">
                  <c:v>28.524625856667789</c:v>
                </c:pt>
                <c:pt idx="1073">
                  <c:v>27.903451340814541</c:v>
                </c:pt>
                <c:pt idx="1074">
                  <c:v>30.740652026772249</c:v>
                </c:pt>
                <c:pt idx="1075">
                  <c:v>30.451447740425781</c:v>
                </c:pt>
                <c:pt idx="1076">
                  <c:v>31.78520312720358</c:v>
                </c:pt>
                <c:pt idx="1077">
                  <c:v>30.70781367897154</c:v>
                </c:pt>
                <c:pt idx="1078">
                  <c:v>30.120294152285538</c:v>
                </c:pt>
                <c:pt idx="1079">
                  <c:v>27.900487215006571</c:v>
                </c:pt>
                <c:pt idx="1080">
                  <c:v>27.27812816770416</c:v>
                </c:pt>
                <c:pt idx="1081">
                  <c:v>28.27729594331225</c:v>
                </c:pt>
                <c:pt idx="1082">
                  <c:v>26.13749480178636</c:v>
                </c:pt>
                <c:pt idx="1083">
                  <c:v>26.58042458279774</c:v>
                </c:pt>
                <c:pt idx="1084">
                  <c:v>26.286731019330119</c:v>
                </c:pt>
                <c:pt idx="1085">
                  <c:v>26.179275826559891</c:v>
                </c:pt>
                <c:pt idx="1086">
                  <c:v>26.616189754321528</c:v>
                </c:pt>
                <c:pt idx="1087">
                  <c:v>26.708026147688742</c:v>
                </c:pt>
                <c:pt idx="1088">
                  <c:v>26.571577977295512</c:v>
                </c:pt>
                <c:pt idx="1089">
                  <c:v>26.90666241482057</c:v>
                </c:pt>
                <c:pt idx="1090">
                  <c:v>26.27400425823518</c:v>
                </c:pt>
                <c:pt idx="1091">
                  <c:v>27.04889536677468</c:v>
                </c:pt>
                <c:pt idx="1092">
                  <c:v>25.34117721449897</c:v>
                </c:pt>
                <c:pt idx="1093">
                  <c:v>24.159201561548631</c:v>
                </c:pt>
                <c:pt idx="1094">
                  <c:v>22.87442436281346</c:v>
                </c:pt>
                <c:pt idx="1095">
                  <c:v>22.40037266147694</c:v>
                </c:pt>
                <c:pt idx="1096">
                  <c:v>25.611960430009329</c:v>
                </c:pt>
                <c:pt idx="1097">
                  <c:v>25.36010735824307</c:v>
                </c:pt>
                <c:pt idx="1098">
                  <c:v>26.51253328673835</c:v>
                </c:pt>
                <c:pt idx="1099">
                  <c:v>25.968085523333521</c:v>
                </c:pt>
                <c:pt idx="1100">
                  <c:v>25.88212199978793</c:v>
                </c:pt>
                <c:pt idx="1101">
                  <c:v>24.85117731728953</c:v>
                </c:pt>
                <c:pt idx="1102">
                  <c:v>25.7302305642189</c:v>
                </c:pt>
                <c:pt idx="1103">
                  <c:v>25.72538699344161</c:v>
                </c:pt>
                <c:pt idx="1104">
                  <c:v>25.80557416762425</c:v>
                </c:pt>
                <c:pt idx="1105">
                  <c:v>26.955455258500638</c:v>
                </c:pt>
                <c:pt idx="1106">
                  <c:v>27.50452734421696</c:v>
                </c:pt>
                <c:pt idx="1107">
                  <c:v>22.448810530326</c:v>
                </c:pt>
                <c:pt idx="1108">
                  <c:v>24.223265402418519</c:v>
                </c:pt>
                <c:pt idx="1109">
                  <c:v>24.08230760813775</c:v>
                </c:pt>
                <c:pt idx="1110">
                  <c:v>23.343479712151211</c:v>
                </c:pt>
                <c:pt idx="1111">
                  <c:v>23.836209258322121</c:v>
                </c:pt>
                <c:pt idx="1112">
                  <c:v>23.67294744296585</c:v>
                </c:pt>
                <c:pt idx="1113">
                  <c:v>22.843606726403909</c:v>
                </c:pt>
                <c:pt idx="1114">
                  <c:v>22.211776073212281</c:v>
                </c:pt>
                <c:pt idx="1115">
                  <c:v>24.20937019084268</c:v>
                </c:pt>
                <c:pt idx="1116">
                  <c:v>24.042301747667508</c:v>
                </c:pt>
                <c:pt idx="1117">
                  <c:v>24.115991682105282</c:v>
                </c:pt>
                <c:pt idx="1118">
                  <c:v>23.010969337976078</c:v>
                </c:pt>
                <c:pt idx="1119">
                  <c:v>23.23959377255013</c:v>
                </c:pt>
                <c:pt idx="1120">
                  <c:v>22.816553803467599</c:v>
                </c:pt>
                <c:pt idx="1121">
                  <c:v>22.59913727981569</c:v>
                </c:pt>
                <c:pt idx="1122">
                  <c:v>23.491191956302512</c:v>
                </c:pt>
                <c:pt idx="1123">
                  <c:v>24.294368086822821</c:v>
                </c:pt>
                <c:pt idx="1124">
                  <c:v>24.24986783805851</c:v>
                </c:pt>
                <c:pt idx="1125">
                  <c:v>22.69653896811424</c:v>
                </c:pt>
                <c:pt idx="1126">
                  <c:v>22.143404903181811</c:v>
                </c:pt>
                <c:pt idx="1127">
                  <c:v>21.76197739559035</c:v>
                </c:pt>
                <c:pt idx="1128">
                  <c:v>22.890944658916059</c:v>
                </c:pt>
                <c:pt idx="1129">
                  <c:v>22.733896506882878</c:v>
                </c:pt>
                <c:pt idx="1130">
                  <c:v>22.200075173204048</c:v>
                </c:pt>
                <c:pt idx="1131">
                  <c:v>21.729731419418631</c:v>
                </c:pt>
                <c:pt idx="1132">
                  <c:v>21.04418744786296</c:v>
                </c:pt>
                <c:pt idx="1133">
                  <c:v>20.99726068378467</c:v>
                </c:pt>
                <c:pt idx="1134">
                  <c:v>20.70021152363557</c:v>
                </c:pt>
                <c:pt idx="1135">
                  <c:v>23.01364508333587</c:v>
                </c:pt>
                <c:pt idx="1136">
                  <c:v>23.013309759800709</c:v>
                </c:pt>
                <c:pt idx="1137">
                  <c:v>21.665708896591209</c:v>
                </c:pt>
                <c:pt idx="1138">
                  <c:v>21.955319254261649</c:v>
                </c:pt>
                <c:pt idx="1139">
                  <c:v>21.162240647671581</c:v>
                </c:pt>
                <c:pt idx="1140">
                  <c:v>20.808332248803321</c:v>
                </c:pt>
                <c:pt idx="1141">
                  <c:v>19.662028000966991</c:v>
                </c:pt>
                <c:pt idx="1142">
                  <c:v>20.367125485230272</c:v>
                </c:pt>
                <c:pt idx="1143">
                  <c:v>20.542446002447271</c:v>
                </c:pt>
                <c:pt idx="1144">
                  <c:v>22.931993463092589</c:v>
                </c:pt>
                <c:pt idx="1145">
                  <c:v>23.62676367810008</c:v>
                </c:pt>
                <c:pt idx="1146">
                  <c:v>23.363193494906049</c:v>
                </c:pt>
                <c:pt idx="1147">
                  <c:v>22.5247411698791</c:v>
                </c:pt>
                <c:pt idx="1148">
                  <c:v>21.36058090433168</c:v>
                </c:pt>
                <c:pt idx="1149">
                  <c:v>20.32594436376435</c:v>
                </c:pt>
                <c:pt idx="1150">
                  <c:v>19.651181031431779</c:v>
                </c:pt>
                <c:pt idx="1151">
                  <c:v>18.745733880843812</c:v>
                </c:pt>
                <c:pt idx="1152">
                  <c:v>19.27655676492175</c:v>
                </c:pt>
                <c:pt idx="1153">
                  <c:v>18.516943193677179</c:v>
                </c:pt>
                <c:pt idx="1154">
                  <c:v>18.472803111500919</c:v>
                </c:pt>
                <c:pt idx="1155">
                  <c:v>21.936201923851652</c:v>
                </c:pt>
                <c:pt idx="1156">
                  <c:v>22.066231245114121</c:v>
                </c:pt>
                <c:pt idx="1157">
                  <c:v>21.147334735799529</c:v>
                </c:pt>
                <c:pt idx="1158">
                  <c:v>21.629198359418329</c:v>
                </c:pt>
                <c:pt idx="1159">
                  <c:v>21.057410122506329</c:v>
                </c:pt>
                <c:pt idx="1160">
                  <c:v>20.648635938159831</c:v>
                </c:pt>
                <c:pt idx="1161">
                  <c:v>19.488301655812979</c:v>
                </c:pt>
                <c:pt idx="1162">
                  <c:v>18.999229746116011</c:v>
                </c:pt>
                <c:pt idx="1163">
                  <c:v>18.502444072094718</c:v>
                </c:pt>
                <c:pt idx="1164">
                  <c:v>18.928182366355099</c:v>
                </c:pt>
                <c:pt idx="1165">
                  <c:v>18.982090066192661</c:v>
                </c:pt>
                <c:pt idx="1166">
                  <c:v>20.058617303667379</c:v>
                </c:pt>
                <c:pt idx="1167">
                  <c:v>20.685229928695861</c:v>
                </c:pt>
                <c:pt idx="1168">
                  <c:v>20.650444476174801</c:v>
                </c:pt>
                <c:pt idx="1169">
                  <c:v>22.26722376161759</c:v>
                </c:pt>
                <c:pt idx="1170">
                  <c:v>25.348979233660181</c:v>
                </c:pt>
                <c:pt idx="1171">
                  <c:v>25.444737930772831</c:v>
                </c:pt>
                <c:pt idx="1172">
                  <c:v>23.173195746605519</c:v>
                </c:pt>
                <c:pt idx="1173">
                  <c:v>24.478496626594641</c:v>
                </c:pt>
                <c:pt idx="1174">
                  <c:v>24.222310673292519</c:v>
                </c:pt>
                <c:pt idx="1175">
                  <c:v>23.86651353503829</c:v>
                </c:pt>
                <c:pt idx="1176">
                  <c:v>22.066867438759171</c:v>
                </c:pt>
                <c:pt idx="1177">
                  <c:v>22.424011969394801</c:v>
                </c:pt>
                <c:pt idx="1178">
                  <c:v>22.602378128992129</c:v>
                </c:pt>
                <c:pt idx="1179">
                  <c:v>24.315748142359329</c:v>
                </c:pt>
                <c:pt idx="1180">
                  <c:v>25.023125671361861</c:v>
                </c:pt>
                <c:pt idx="1181">
                  <c:v>23.57170316946706</c:v>
                </c:pt>
                <c:pt idx="1182">
                  <c:v>23.281271184680548</c:v>
                </c:pt>
                <c:pt idx="1183">
                  <c:v>23.132794369580161</c:v>
                </c:pt>
                <c:pt idx="1184">
                  <c:v>22.655763243320461</c:v>
                </c:pt>
                <c:pt idx="1185">
                  <c:v>24.169812546479079</c:v>
                </c:pt>
                <c:pt idx="1186">
                  <c:v>24.335989680997351</c:v>
                </c:pt>
                <c:pt idx="1187">
                  <c:v>24.725508378653711</c:v>
                </c:pt>
                <c:pt idx="1188">
                  <c:v>22.968525066565441</c:v>
                </c:pt>
                <c:pt idx="1189">
                  <c:v>21.762769003877221</c:v>
                </c:pt>
                <c:pt idx="1190">
                  <c:v>22.766712511619019</c:v>
                </c:pt>
                <c:pt idx="1191">
                  <c:v>23.171358481258579</c:v>
                </c:pt>
                <c:pt idx="1192">
                  <c:v>23.52029461237354</c:v>
                </c:pt>
                <c:pt idx="1193">
                  <c:v>23.057626445521691</c:v>
                </c:pt>
                <c:pt idx="1194">
                  <c:v>24.396456765330541</c:v>
                </c:pt>
                <c:pt idx="1195">
                  <c:v>25.60228567248895</c:v>
                </c:pt>
                <c:pt idx="1196">
                  <c:v>23.021000212743761</c:v>
                </c:pt>
                <c:pt idx="1197">
                  <c:v>24.210386103705201</c:v>
                </c:pt>
                <c:pt idx="1198">
                  <c:v>23.640427781164981</c:v>
                </c:pt>
                <c:pt idx="1199">
                  <c:v>24.4282646352241</c:v>
                </c:pt>
                <c:pt idx="1200">
                  <c:v>22.874318378082481</c:v>
                </c:pt>
                <c:pt idx="1201">
                  <c:v>25.514235865035921</c:v>
                </c:pt>
                <c:pt idx="1202">
                  <c:v>23.93102283026623</c:v>
                </c:pt>
                <c:pt idx="1203">
                  <c:v>23.296438034922041</c:v>
                </c:pt>
                <c:pt idx="1204">
                  <c:v>23.066535716829861</c:v>
                </c:pt>
                <c:pt idx="1205">
                  <c:v>24.848792204272218</c:v>
                </c:pt>
                <c:pt idx="1206">
                  <c:v>25.530733253704</c:v>
                </c:pt>
                <c:pt idx="1207">
                  <c:v>26.898482880295479</c:v>
                </c:pt>
                <c:pt idx="1208">
                  <c:v>26.60898381298281</c:v>
                </c:pt>
                <c:pt idx="1209">
                  <c:v>25.89729164538323</c:v>
                </c:pt>
                <c:pt idx="1210">
                  <c:v>23.928591087497789</c:v>
                </c:pt>
                <c:pt idx="1211">
                  <c:v>22.51372926537265</c:v>
                </c:pt>
                <c:pt idx="1212">
                  <c:v>23.263067875938681</c:v>
                </c:pt>
                <c:pt idx="1213">
                  <c:v>22.553518574821261</c:v>
                </c:pt>
                <c:pt idx="1214">
                  <c:v>22.705731859037751</c:v>
                </c:pt>
                <c:pt idx="1215">
                  <c:v>22.409108911458318</c:v>
                </c:pt>
                <c:pt idx="1216">
                  <c:v>22.896828546969839</c:v>
                </c:pt>
                <c:pt idx="1217">
                  <c:v>22.196230849567758</c:v>
                </c:pt>
                <c:pt idx="1218">
                  <c:v>21.418161154056591</c:v>
                </c:pt>
                <c:pt idx="1219">
                  <c:v>21.919388496859721</c:v>
                </c:pt>
                <c:pt idx="1220">
                  <c:v>21.053955795155449</c:v>
                </c:pt>
                <c:pt idx="1221">
                  <c:v>20.073666932167249</c:v>
                </c:pt>
                <c:pt idx="1222">
                  <c:v>20.10056023662268</c:v>
                </c:pt>
                <c:pt idx="1223">
                  <c:v>20.110953604336689</c:v>
                </c:pt>
                <c:pt idx="1224">
                  <c:v>19.782802238224779</c:v>
                </c:pt>
                <c:pt idx="1225">
                  <c:v>19.0985885190026</c:v>
                </c:pt>
                <c:pt idx="1226">
                  <c:v>19.254528236100299</c:v>
                </c:pt>
                <c:pt idx="1227">
                  <c:v>19.541616169395802</c:v>
                </c:pt>
                <c:pt idx="1228">
                  <c:v>18.8560259805501</c:v>
                </c:pt>
                <c:pt idx="1229">
                  <c:v>18.519972989896701</c:v>
                </c:pt>
                <c:pt idx="1230">
                  <c:v>18.369609752478102</c:v>
                </c:pt>
                <c:pt idx="1231">
                  <c:v>19.2861370906909</c:v>
                </c:pt>
                <c:pt idx="1232">
                  <c:v>19.249168587194099</c:v>
                </c:pt>
                <c:pt idx="1233">
                  <c:v>19.1263844971987</c:v>
                </c:pt>
                <c:pt idx="1234">
                  <c:v>19.241129277799701</c:v>
                </c:pt>
                <c:pt idx="1235">
                  <c:v>18.982789172103999</c:v>
                </c:pt>
                <c:pt idx="1236">
                  <c:v>19.463454983592001</c:v>
                </c:pt>
                <c:pt idx="1237">
                  <c:v>19.516767170036498</c:v>
                </c:pt>
                <c:pt idx="1238">
                  <c:v>19.710788019121502</c:v>
                </c:pt>
                <c:pt idx="1239">
                  <c:v>19.6614818068186</c:v>
                </c:pt>
                <c:pt idx="1240">
                  <c:v>19.723629414016798</c:v>
                </c:pt>
                <c:pt idx="1241">
                  <c:v>20.418153580558499</c:v>
                </c:pt>
                <c:pt idx="1242">
                  <c:v>20.140797176437399</c:v>
                </c:pt>
                <c:pt idx="1243">
                  <c:v>19.7960579140045</c:v>
                </c:pt>
                <c:pt idx="1244">
                  <c:v>19.6729289455483</c:v>
                </c:pt>
                <c:pt idx="1245">
                  <c:v>19.4029029211592</c:v>
                </c:pt>
                <c:pt idx="1246">
                  <c:v>19.3353370280783</c:v>
                </c:pt>
                <c:pt idx="1247">
                  <c:v>19.108709186548801</c:v>
                </c:pt>
                <c:pt idx="1248">
                  <c:v>18.984888574459301</c:v>
                </c:pt>
                <c:pt idx="1249">
                  <c:v>19.279681313207</c:v>
                </c:pt>
                <c:pt idx="1250">
                  <c:v>19.509179112931299</c:v>
                </c:pt>
                <c:pt idx="1251">
                  <c:v>19.568608095217499</c:v>
                </c:pt>
                <c:pt idx="1252">
                  <c:v>19.884486882808002</c:v>
                </c:pt>
                <c:pt idx="1253">
                  <c:v>20.682117784035899</c:v>
                </c:pt>
                <c:pt idx="1254">
                  <c:v>20.314985844720098</c:v>
                </c:pt>
                <c:pt idx="1255">
                  <c:v>19.6770649634527</c:v>
                </c:pt>
                <c:pt idx="1256">
                  <c:v>19.700618659312799</c:v>
                </c:pt>
                <c:pt idx="1257">
                  <c:v>19.362154389917901</c:v>
                </c:pt>
                <c:pt idx="1258">
                  <c:v>19.3945625848168</c:v>
                </c:pt>
                <c:pt idx="1259">
                  <c:v>21.461416619329501</c:v>
                </c:pt>
                <c:pt idx="1260">
                  <c:v>21.4593750764361</c:v>
                </c:pt>
                <c:pt idx="1261">
                  <c:v>22.429264558678799</c:v>
                </c:pt>
                <c:pt idx="1262">
                  <c:v>22.237297694747902</c:v>
                </c:pt>
                <c:pt idx="1263">
                  <c:v>22.711806223875701</c:v>
                </c:pt>
                <c:pt idx="1264">
                  <c:v>22.485273177537501</c:v>
                </c:pt>
                <c:pt idx="1265">
                  <c:v>21.090286645155601</c:v>
                </c:pt>
                <c:pt idx="1266">
                  <c:v>20.303541387193199</c:v>
                </c:pt>
                <c:pt idx="1267">
                  <c:v>20.4666693822846</c:v>
                </c:pt>
                <c:pt idx="1268">
                  <c:v>21.034771583852699</c:v>
                </c:pt>
                <c:pt idx="1269">
                  <c:v>21.587619164049599</c:v>
                </c:pt>
                <c:pt idx="1270">
                  <c:v>20.738145468969801</c:v>
                </c:pt>
                <c:pt idx="1271">
                  <c:v>19.958929167005302</c:v>
                </c:pt>
                <c:pt idx="1272">
                  <c:v>20.1176493404718</c:v>
                </c:pt>
                <c:pt idx="1273">
                  <c:v>19.785313789097501</c:v>
                </c:pt>
                <c:pt idx="1274">
                  <c:v>20.6380519593903</c:v>
                </c:pt>
                <c:pt idx="1275">
                  <c:v>19.709083858158898</c:v>
                </c:pt>
                <c:pt idx="1276">
                  <c:v>19.774456442504299</c:v>
                </c:pt>
                <c:pt idx="1277">
                  <c:v>20.206151972951002</c:v>
                </c:pt>
                <c:pt idx="1278">
                  <c:v>19.827868546044002</c:v>
                </c:pt>
                <c:pt idx="1279">
                  <c:v>18.505869941709001</c:v>
                </c:pt>
                <c:pt idx="1280">
                  <c:v>17.760250362744099</c:v>
                </c:pt>
                <c:pt idx="1281">
                  <c:v>18.0153367486806</c:v>
                </c:pt>
                <c:pt idx="1282">
                  <c:v>18.315187162158601</c:v>
                </c:pt>
                <c:pt idx="1283">
                  <c:v>18.095482984283201</c:v>
                </c:pt>
                <c:pt idx="1284">
                  <c:v>18.638391034542899</c:v>
                </c:pt>
                <c:pt idx="1285">
                  <c:v>18.280252046614098</c:v>
                </c:pt>
                <c:pt idx="1286">
                  <c:v>19.000400568913999</c:v>
                </c:pt>
                <c:pt idx="1287">
                  <c:v>18.2682685382422</c:v>
                </c:pt>
                <c:pt idx="1288">
                  <c:v>18.028050170034799</c:v>
                </c:pt>
                <c:pt idx="1289">
                  <c:v>17.609935980412899</c:v>
                </c:pt>
                <c:pt idx="1290">
                  <c:v>18.4559348069428</c:v>
                </c:pt>
                <c:pt idx="1291">
                  <c:v>18.4317206696123</c:v>
                </c:pt>
                <c:pt idx="1292">
                  <c:v>18.930513393282698</c:v>
                </c:pt>
                <c:pt idx="1293">
                  <c:v>18.6267314389898</c:v>
                </c:pt>
                <c:pt idx="1294">
                  <c:v>18.6819863067516</c:v>
                </c:pt>
                <c:pt idx="1295">
                  <c:v>18.306133667223001</c:v>
                </c:pt>
                <c:pt idx="1296">
                  <c:v>18.425162437045898</c:v>
                </c:pt>
                <c:pt idx="1297">
                  <c:v>18.562415167788501</c:v>
                </c:pt>
                <c:pt idx="1298">
                  <c:v>18.9429939248874</c:v>
                </c:pt>
                <c:pt idx="1299">
                  <c:v>18.299920771822801</c:v>
                </c:pt>
                <c:pt idx="1300">
                  <c:v>18.3039828601122</c:v>
                </c:pt>
                <c:pt idx="1301">
                  <c:v>18.2151972707324</c:v>
                </c:pt>
                <c:pt idx="1302">
                  <c:v>21.6863395233487</c:v>
                </c:pt>
                <c:pt idx="1303">
                  <c:v>23.619821012813901</c:v>
                </c:pt>
                <c:pt idx="1304">
                  <c:v>22.4118046313754</c:v>
                </c:pt>
                <c:pt idx="1305">
                  <c:v>20.807711535190599</c:v>
                </c:pt>
                <c:pt idx="1306">
                  <c:v>20.262283106611701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1D-43FD-AC45-1B22C4CAF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665287"/>
        <c:axId val="271663647"/>
      </c:lineChart>
      <c:dateAx>
        <c:axId val="271665287"/>
        <c:scaling>
          <c:orientation val="minMax"/>
          <c:min val="44018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1663647"/>
        <c:crosses val="autoZero"/>
        <c:auto val="1"/>
        <c:lblOffset val="100"/>
        <c:baseTimeUnit val="days"/>
      </c:dateAx>
      <c:valAx>
        <c:axId val="27166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1665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波动率指数</a:t>
            </a:r>
            <a:r>
              <a:rPr lang="en-US" altLang="zh-CN"/>
              <a:t>Vix (2016-2021)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vix!$B$1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vix!vix_date</c:f>
              <c:numCache>
                <c:formatCode>yyyy\-mm\-dd\ hh:mm:ss</c:formatCode>
                <c:ptCount val="1307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42457</c:v>
                </c:pt>
                <c:pt idx="6">
                  <c:v>42458</c:v>
                </c:pt>
                <c:pt idx="7">
                  <c:v>42459</c:v>
                </c:pt>
                <c:pt idx="8">
                  <c:v>42460</c:v>
                </c:pt>
                <c:pt idx="9">
                  <c:v>42461</c:v>
                </c:pt>
                <c:pt idx="10">
                  <c:v>42465</c:v>
                </c:pt>
                <c:pt idx="11">
                  <c:v>42466</c:v>
                </c:pt>
                <c:pt idx="12">
                  <c:v>42467</c:v>
                </c:pt>
                <c:pt idx="13">
                  <c:v>42468</c:v>
                </c:pt>
                <c:pt idx="14">
                  <c:v>42471</c:v>
                </c:pt>
                <c:pt idx="15">
                  <c:v>42472</c:v>
                </c:pt>
                <c:pt idx="16">
                  <c:v>42473</c:v>
                </c:pt>
                <c:pt idx="17">
                  <c:v>42474</c:v>
                </c:pt>
                <c:pt idx="18">
                  <c:v>42475</c:v>
                </c:pt>
                <c:pt idx="19">
                  <c:v>42478</c:v>
                </c:pt>
                <c:pt idx="20">
                  <c:v>42479</c:v>
                </c:pt>
                <c:pt idx="21">
                  <c:v>42480</c:v>
                </c:pt>
                <c:pt idx="22">
                  <c:v>42481</c:v>
                </c:pt>
                <c:pt idx="23">
                  <c:v>42482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42493</c:v>
                </c:pt>
                <c:pt idx="30">
                  <c:v>42494</c:v>
                </c:pt>
                <c:pt idx="31">
                  <c:v>42495</c:v>
                </c:pt>
                <c:pt idx="32">
                  <c:v>42496</c:v>
                </c:pt>
                <c:pt idx="33">
                  <c:v>42499</c:v>
                </c:pt>
                <c:pt idx="34">
                  <c:v>42500</c:v>
                </c:pt>
                <c:pt idx="35">
                  <c:v>42501</c:v>
                </c:pt>
                <c:pt idx="36">
                  <c:v>42502</c:v>
                </c:pt>
                <c:pt idx="37">
                  <c:v>42503</c:v>
                </c:pt>
                <c:pt idx="38">
                  <c:v>42506</c:v>
                </c:pt>
                <c:pt idx="39">
                  <c:v>42507</c:v>
                </c:pt>
                <c:pt idx="40">
                  <c:v>42508</c:v>
                </c:pt>
                <c:pt idx="41">
                  <c:v>42509</c:v>
                </c:pt>
                <c:pt idx="42">
                  <c:v>42510</c:v>
                </c:pt>
                <c:pt idx="43">
                  <c:v>42513</c:v>
                </c:pt>
                <c:pt idx="44">
                  <c:v>42514</c:v>
                </c:pt>
                <c:pt idx="45">
                  <c:v>42515</c:v>
                </c:pt>
                <c:pt idx="46">
                  <c:v>42516</c:v>
                </c:pt>
                <c:pt idx="47">
                  <c:v>42517</c:v>
                </c:pt>
                <c:pt idx="48">
                  <c:v>42520</c:v>
                </c:pt>
                <c:pt idx="49">
                  <c:v>42521</c:v>
                </c:pt>
                <c:pt idx="50">
                  <c:v>42522</c:v>
                </c:pt>
                <c:pt idx="51">
                  <c:v>42523</c:v>
                </c:pt>
                <c:pt idx="52">
                  <c:v>42524</c:v>
                </c:pt>
                <c:pt idx="53">
                  <c:v>42527</c:v>
                </c:pt>
                <c:pt idx="54">
                  <c:v>42528</c:v>
                </c:pt>
                <c:pt idx="55">
                  <c:v>42529</c:v>
                </c:pt>
                <c:pt idx="56">
                  <c:v>42534</c:v>
                </c:pt>
                <c:pt idx="57">
                  <c:v>42535</c:v>
                </c:pt>
                <c:pt idx="58">
                  <c:v>42536</c:v>
                </c:pt>
                <c:pt idx="59">
                  <c:v>42537</c:v>
                </c:pt>
                <c:pt idx="60">
                  <c:v>42538</c:v>
                </c:pt>
                <c:pt idx="61">
                  <c:v>42541</c:v>
                </c:pt>
                <c:pt idx="62">
                  <c:v>42542</c:v>
                </c:pt>
                <c:pt idx="63">
                  <c:v>42543</c:v>
                </c:pt>
                <c:pt idx="64">
                  <c:v>42544</c:v>
                </c:pt>
                <c:pt idx="65">
                  <c:v>42545</c:v>
                </c:pt>
                <c:pt idx="66">
                  <c:v>42548</c:v>
                </c:pt>
                <c:pt idx="67">
                  <c:v>42549</c:v>
                </c:pt>
                <c:pt idx="68">
                  <c:v>42550</c:v>
                </c:pt>
                <c:pt idx="69">
                  <c:v>42551</c:v>
                </c:pt>
                <c:pt idx="70">
                  <c:v>42552</c:v>
                </c:pt>
                <c:pt idx="71">
                  <c:v>42555</c:v>
                </c:pt>
                <c:pt idx="72">
                  <c:v>42556</c:v>
                </c:pt>
                <c:pt idx="73">
                  <c:v>42557</c:v>
                </c:pt>
                <c:pt idx="74">
                  <c:v>42558</c:v>
                </c:pt>
                <c:pt idx="75">
                  <c:v>42559</c:v>
                </c:pt>
                <c:pt idx="76">
                  <c:v>42562</c:v>
                </c:pt>
                <c:pt idx="77">
                  <c:v>42563</c:v>
                </c:pt>
                <c:pt idx="78">
                  <c:v>42564</c:v>
                </c:pt>
                <c:pt idx="79">
                  <c:v>42565</c:v>
                </c:pt>
                <c:pt idx="80">
                  <c:v>42566</c:v>
                </c:pt>
                <c:pt idx="81">
                  <c:v>42569</c:v>
                </c:pt>
                <c:pt idx="82">
                  <c:v>42570</c:v>
                </c:pt>
                <c:pt idx="83">
                  <c:v>42571</c:v>
                </c:pt>
                <c:pt idx="84">
                  <c:v>42572</c:v>
                </c:pt>
                <c:pt idx="85">
                  <c:v>42573</c:v>
                </c:pt>
                <c:pt idx="86">
                  <c:v>42576</c:v>
                </c:pt>
                <c:pt idx="87">
                  <c:v>42577</c:v>
                </c:pt>
                <c:pt idx="88">
                  <c:v>42578</c:v>
                </c:pt>
                <c:pt idx="89">
                  <c:v>42579</c:v>
                </c:pt>
                <c:pt idx="90">
                  <c:v>42580</c:v>
                </c:pt>
                <c:pt idx="91">
                  <c:v>42583</c:v>
                </c:pt>
                <c:pt idx="92">
                  <c:v>42584</c:v>
                </c:pt>
                <c:pt idx="93">
                  <c:v>42585</c:v>
                </c:pt>
                <c:pt idx="94">
                  <c:v>42586</c:v>
                </c:pt>
                <c:pt idx="95">
                  <c:v>42587</c:v>
                </c:pt>
                <c:pt idx="96">
                  <c:v>42590</c:v>
                </c:pt>
                <c:pt idx="97">
                  <c:v>42591</c:v>
                </c:pt>
                <c:pt idx="98">
                  <c:v>42592</c:v>
                </c:pt>
                <c:pt idx="99">
                  <c:v>42593</c:v>
                </c:pt>
                <c:pt idx="100">
                  <c:v>42594</c:v>
                </c:pt>
                <c:pt idx="101">
                  <c:v>42597</c:v>
                </c:pt>
                <c:pt idx="102">
                  <c:v>42598</c:v>
                </c:pt>
                <c:pt idx="103">
                  <c:v>42599</c:v>
                </c:pt>
                <c:pt idx="104">
                  <c:v>42600</c:v>
                </c:pt>
                <c:pt idx="105">
                  <c:v>42601</c:v>
                </c:pt>
                <c:pt idx="106">
                  <c:v>42604</c:v>
                </c:pt>
                <c:pt idx="107">
                  <c:v>42605</c:v>
                </c:pt>
                <c:pt idx="108">
                  <c:v>42606</c:v>
                </c:pt>
                <c:pt idx="109">
                  <c:v>42607</c:v>
                </c:pt>
                <c:pt idx="110">
                  <c:v>42608</c:v>
                </c:pt>
                <c:pt idx="111">
                  <c:v>42611</c:v>
                </c:pt>
                <c:pt idx="112">
                  <c:v>42612</c:v>
                </c:pt>
                <c:pt idx="113">
                  <c:v>42613</c:v>
                </c:pt>
                <c:pt idx="114">
                  <c:v>42614</c:v>
                </c:pt>
                <c:pt idx="115">
                  <c:v>42615</c:v>
                </c:pt>
                <c:pt idx="116">
                  <c:v>42618</c:v>
                </c:pt>
                <c:pt idx="117">
                  <c:v>42619</c:v>
                </c:pt>
                <c:pt idx="118">
                  <c:v>42620</c:v>
                </c:pt>
                <c:pt idx="119">
                  <c:v>42621</c:v>
                </c:pt>
                <c:pt idx="120">
                  <c:v>42622</c:v>
                </c:pt>
                <c:pt idx="121">
                  <c:v>42625</c:v>
                </c:pt>
                <c:pt idx="122">
                  <c:v>42626</c:v>
                </c:pt>
                <c:pt idx="123">
                  <c:v>42627</c:v>
                </c:pt>
                <c:pt idx="124">
                  <c:v>42632</c:v>
                </c:pt>
                <c:pt idx="125">
                  <c:v>42633</c:v>
                </c:pt>
                <c:pt idx="126">
                  <c:v>42634</c:v>
                </c:pt>
                <c:pt idx="127">
                  <c:v>42635</c:v>
                </c:pt>
                <c:pt idx="128">
                  <c:v>42636</c:v>
                </c:pt>
                <c:pt idx="129">
                  <c:v>42639</c:v>
                </c:pt>
                <c:pt idx="130">
                  <c:v>42640</c:v>
                </c:pt>
                <c:pt idx="131">
                  <c:v>42641</c:v>
                </c:pt>
                <c:pt idx="132">
                  <c:v>42642</c:v>
                </c:pt>
                <c:pt idx="133">
                  <c:v>42643</c:v>
                </c:pt>
                <c:pt idx="134">
                  <c:v>42653</c:v>
                </c:pt>
                <c:pt idx="135">
                  <c:v>42654</c:v>
                </c:pt>
                <c:pt idx="136">
                  <c:v>42655</c:v>
                </c:pt>
                <c:pt idx="137">
                  <c:v>42656</c:v>
                </c:pt>
                <c:pt idx="138">
                  <c:v>42657</c:v>
                </c:pt>
                <c:pt idx="139">
                  <c:v>42660</c:v>
                </c:pt>
                <c:pt idx="140">
                  <c:v>42661</c:v>
                </c:pt>
                <c:pt idx="141">
                  <c:v>42662</c:v>
                </c:pt>
                <c:pt idx="142">
                  <c:v>42663</c:v>
                </c:pt>
                <c:pt idx="143">
                  <c:v>42664</c:v>
                </c:pt>
                <c:pt idx="144">
                  <c:v>42667</c:v>
                </c:pt>
                <c:pt idx="145">
                  <c:v>42668</c:v>
                </c:pt>
                <c:pt idx="146">
                  <c:v>42669</c:v>
                </c:pt>
                <c:pt idx="147">
                  <c:v>42670</c:v>
                </c:pt>
                <c:pt idx="148">
                  <c:v>42671</c:v>
                </c:pt>
                <c:pt idx="149">
                  <c:v>42674</c:v>
                </c:pt>
                <c:pt idx="150">
                  <c:v>42675</c:v>
                </c:pt>
                <c:pt idx="151">
                  <c:v>42676</c:v>
                </c:pt>
                <c:pt idx="152">
                  <c:v>42677</c:v>
                </c:pt>
                <c:pt idx="153">
                  <c:v>42678</c:v>
                </c:pt>
                <c:pt idx="154">
                  <c:v>42681</c:v>
                </c:pt>
                <c:pt idx="155">
                  <c:v>42682</c:v>
                </c:pt>
                <c:pt idx="156">
                  <c:v>42683</c:v>
                </c:pt>
                <c:pt idx="157">
                  <c:v>42684</c:v>
                </c:pt>
                <c:pt idx="158">
                  <c:v>42685</c:v>
                </c:pt>
                <c:pt idx="159">
                  <c:v>42688</c:v>
                </c:pt>
                <c:pt idx="160">
                  <c:v>42689</c:v>
                </c:pt>
                <c:pt idx="161">
                  <c:v>42690</c:v>
                </c:pt>
                <c:pt idx="162">
                  <c:v>42691</c:v>
                </c:pt>
                <c:pt idx="163">
                  <c:v>42692</c:v>
                </c:pt>
                <c:pt idx="164">
                  <c:v>42695</c:v>
                </c:pt>
                <c:pt idx="165">
                  <c:v>42696</c:v>
                </c:pt>
                <c:pt idx="166">
                  <c:v>42697</c:v>
                </c:pt>
                <c:pt idx="167">
                  <c:v>42698</c:v>
                </c:pt>
                <c:pt idx="168">
                  <c:v>42699</c:v>
                </c:pt>
                <c:pt idx="169">
                  <c:v>42702</c:v>
                </c:pt>
                <c:pt idx="170">
                  <c:v>42703</c:v>
                </c:pt>
                <c:pt idx="171">
                  <c:v>42704</c:v>
                </c:pt>
                <c:pt idx="172">
                  <c:v>42705</c:v>
                </c:pt>
                <c:pt idx="173">
                  <c:v>42706</c:v>
                </c:pt>
                <c:pt idx="174">
                  <c:v>42709</c:v>
                </c:pt>
                <c:pt idx="175">
                  <c:v>42710</c:v>
                </c:pt>
                <c:pt idx="176">
                  <c:v>42711</c:v>
                </c:pt>
                <c:pt idx="177">
                  <c:v>42712</c:v>
                </c:pt>
                <c:pt idx="178">
                  <c:v>42713</c:v>
                </c:pt>
                <c:pt idx="179">
                  <c:v>42716</c:v>
                </c:pt>
                <c:pt idx="180">
                  <c:v>42717</c:v>
                </c:pt>
                <c:pt idx="181">
                  <c:v>42718</c:v>
                </c:pt>
                <c:pt idx="182">
                  <c:v>42719</c:v>
                </c:pt>
                <c:pt idx="183">
                  <c:v>42720</c:v>
                </c:pt>
                <c:pt idx="184">
                  <c:v>42723</c:v>
                </c:pt>
                <c:pt idx="185">
                  <c:v>42724</c:v>
                </c:pt>
                <c:pt idx="186">
                  <c:v>42725</c:v>
                </c:pt>
                <c:pt idx="187">
                  <c:v>42726</c:v>
                </c:pt>
                <c:pt idx="188">
                  <c:v>42727</c:v>
                </c:pt>
                <c:pt idx="189">
                  <c:v>42730</c:v>
                </c:pt>
                <c:pt idx="190">
                  <c:v>42731</c:v>
                </c:pt>
                <c:pt idx="191">
                  <c:v>42732</c:v>
                </c:pt>
                <c:pt idx="192">
                  <c:v>42733</c:v>
                </c:pt>
                <c:pt idx="193">
                  <c:v>42734</c:v>
                </c:pt>
                <c:pt idx="194">
                  <c:v>42738</c:v>
                </c:pt>
                <c:pt idx="195">
                  <c:v>42739</c:v>
                </c:pt>
                <c:pt idx="196">
                  <c:v>42740</c:v>
                </c:pt>
                <c:pt idx="197">
                  <c:v>42741</c:v>
                </c:pt>
                <c:pt idx="198">
                  <c:v>42744</c:v>
                </c:pt>
                <c:pt idx="199">
                  <c:v>42745</c:v>
                </c:pt>
                <c:pt idx="200">
                  <c:v>42746</c:v>
                </c:pt>
                <c:pt idx="201">
                  <c:v>42747</c:v>
                </c:pt>
                <c:pt idx="202">
                  <c:v>42748</c:v>
                </c:pt>
                <c:pt idx="203">
                  <c:v>42751</c:v>
                </c:pt>
                <c:pt idx="204">
                  <c:v>42752</c:v>
                </c:pt>
                <c:pt idx="205">
                  <c:v>42753</c:v>
                </c:pt>
                <c:pt idx="206">
                  <c:v>42754</c:v>
                </c:pt>
                <c:pt idx="207">
                  <c:v>42755</c:v>
                </c:pt>
                <c:pt idx="208">
                  <c:v>42758</c:v>
                </c:pt>
                <c:pt idx="209">
                  <c:v>42759</c:v>
                </c:pt>
                <c:pt idx="210">
                  <c:v>42760</c:v>
                </c:pt>
                <c:pt idx="211">
                  <c:v>42761</c:v>
                </c:pt>
                <c:pt idx="212">
                  <c:v>42769</c:v>
                </c:pt>
                <c:pt idx="213">
                  <c:v>42772</c:v>
                </c:pt>
                <c:pt idx="214">
                  <c:v>42773</c:v>
                </c:pt>
                <c:pt idx="215">
                  <c:v>42774</c:v>
                </c:pt>
                <c:pt idx="216">
                  <c:v>42775</c:v>
                </c:pt>
                <c:pt idx="217">
                  <c:v>42776</c:v>
                </c:pt>
                <c:pt idx="218">
                  <c:v>42779</c:v>
                </c:pt>
                <c:pt idx="219">
                  <c:v>42780</c:v>
                </c:pt>
                <c:pt idx="220">
                  <c:v>42781</c:v>
                </c:pt>
                <c:pt idx="221">
                  <c:v>42782</c:v>
                </c:pt>
                <c:pt idx="222">
                  <c:v>42783</c:v>
                </c:pt>
                <c:pt idx="223">
                  <c:v>42786</c:v>
                </c:pt>
                <c:pt idx="224">
                  <c:v>42787</c:v>
                </c:pt>
                <c:pt idx="225">
                  <c:v>42788</c:v>
                </c:pt>
                <c:pt idx="226">
                  <c:v>42789</c:v>
                </c:pt>
                <c:pt idx="227">
                  <c:v>42790</c:v>
                </c:pt>
                <c:pt idx="228">
                  <c:v>42793</c:v>
                </c:pt>
                <c:pt idx="229">
                  <c:v>42794</c:v>
                </c:pt>
                <c:pt idx="230">
                  <c:v>42795</c:v>
                </c:pt>
                <c:pt idx="231">
                  <c:v>42796</c:v>
                </c:pt>
                <c:pt idx="232">
                  <c:v>42797</c:v>
                </c:pt>
                <c:pt idx="233">
                  <c:v>42800</c:v>
                </c:pt>
                <c:pt idx="234">
                  <c:v>42801</c:v>
                </c:pt>
                <c:pt idx="235">
                  <c:v>42802</c:v>
                </c:pt>
                <c:pt idx="236">
                  <c:v>42803</c:v>
                </c:pt>
                <c:pt idx="237">
                  <c:v>42804</c:v>
                </c:pt>
                <c:pt idx="238">
                  <c:v>42807</c:v>
                </c:pt>
                <c:pt idx="239">
                  <c:v>42808</c:v>
                </c:pt>
                <c:pt idx="240">
                  <c:v>42809</c:v>
                </c:pt>
                <c:pt idx="241">
                  <c:v>42810</c:v>
                </c:pt>
                <c:pt idx="242">
                  <c:v>42811</c:v>
                </c:pt>
                <c:pt idx="243">
                  <c:v>42814</c:v>
                </c:pt>
                <c:pt idx="244">
                  <c:v>42815</c:v>
                </c:pt>
                <c:pt idx="245">
                  <c:v>42816</c:v>
                </c:pt>
                <c:pt idx="246">
                  <c:v>42817</c:v>
                </c:pt>
                <c:pt idx="247">
                  <c:v>42818</c:v>
                </c:pt>
                <c:pt idx="248">
                  <c:v>42821</c:v>
                </c:pt>
                <c:pt idx="249">
                  <c:v>42822</c:v>
                </c:pt>
                <c:pt idx="250">
                  <c:v>42823</c:v>
                </c:pt>
                <c:pt idx="251">
                  <c:v>42824</c:v>
                </c:pt>
                <c:pt idx="252">
                  <c:v>42825</c:v>
                </c:pt>
                <c:pt idx="253">
                  <c:v>42830</c:v>
                </c:pt>
                <c:pt idx="254">
                  <c:v>42831</c:v>
                </c:pt>
                <c:pt idx="255">
                  <c:v>42832</c:v>
                </c:pt>
                <c:pt idx="256">
                  <c:v>42835</c:v>
                </c:pt>
                <c:pt idx="257">
                  <c:v>42836</c:v>
                </c:pt>
                <c:pt idx="258">
                  <c:v>42837</c:v>
                </c:pt>
                <c:pt idx="259">
                  <c:v>42838</c:v>
                </c:pt>
                <c:pt idx="260">
                  <c:v>42839</c:v>
                </c:pt>
                <c:pt idx="261">
                  <c:v>42842</c:v>
                </c:pt>
                <c:pt idx="262">
                  <c:v>42843</c:v>
                </c:pt>
                <c:pt idx="263">
                  <c:v>42844</c:v>
                </c:pt>
                <c:pt idx="264">
                  <c:v>42845</c:v>
                </c:pt>
                <c:pt idx="265">
                  <c:v>42846</c:v>
                </c:pt>
                <c:pt idx="266">
                  <c:v>42849</c:v>
                </c:pt>
                <c:pt idx="267">
                  <c:v>42850</c:v>
                </c:pt>
                <c:pt idx="268">
                  <c:v>42851</c:v>
                </c:pt>
                <c:pt idx="269">
                  <c:v>42852</c:v>
                </c:pt>
                <c:pt idx="270">
                  <c:v>42853</c:v>
                </c:pt>
                <c:pt idx="271">
                  <c:v>42857</c:v>
                </c:pt>
                <c:pt idx="272">
                  <c:v>42858</c:v>
                </c:pt>
                <c:pt idx="273">
                  <c:v>42859</c:v>
                </c:pt>
                <c:pt idx="274">
                  <c:v>42860</c:v>
                </c:pt>
                <c:pt idx="275">
                  <c:v>42863</c:v>
                </c:pt>
                <c:pt idx="276">
                  <c:v>42864</c:v>
                </c:pt>
                <c:pt idx="277">
                  <c:v>42865</c:v>
                </c:pt>
                <c:pt idx="278">
                  <c:v>42866</c:v>
                </c:pt>
                <c:pt idx="279">
                  <c:v>42867</c:v>
                </c:pt>
                <c:pt idx="280">
                  <c:v>42870</c:v>
                </c:pt>
                <c:pt idx="281">
                  <c:v>42871</c:v>
                </c:pt>
                <c:pt idx="282">
                  <c:v>42872</c:v>
                </c:pt>
                <c:pt idx="283">
                  <c:v>42873</c:v>
                </c:pt>
                <c:pt idx="284">
                  <c:v>42874</c:v>
                </c:pt>
                <c:pt idx="285">
                  <c:v>42877</c:v>
                </c:pt>
                <c:pt idx="286">
                  <c:v>42878</c:v>
                </c:pt>
                <c:pt idx="287">
                  <c:v>42879</c:v>
                </c:pt>
                <c:pt idx="288">
                  <c:v>42880</c:v>
                </c:pt>
                <c:pt idx="289">
                  <c:v>42881</c:v>
                </c:pt>
                <c:pt idx="290">
                  <c:v>42886</c:v>
                </c:pt>
                <c:pt idx="291">
                  <c:v>42887</c:v>
                </c:pt>
                <c:pt idx="292">
                  <c:v>42888</c:v>
                </c:pt>
                <c:pt idx="293">
                  <c:v>42891</c:v>
                </c:pt>
                <c:pt idx="294">
                  <c:v>42892</c:v>
                </c:pt>
                <c:pt idx="295">
                  <c:v>42893</c:v>
                </c:pt>
                <c:pt idx="296">
                  <c:v>42894</c:v>
                </c:pt>
                <c:pt idx="297">
                  <c:v>42895</c:v>
                </c:pt>
                <c:pt idx="298">
                  <c:v>42898</c:v>
                </c:pt>
                <c:pt idx="299">
                  <c:v>42899</c:v>
                </c:pt>
                <c:pt idx="300">
                  <c:v>42900</c:v>
                </c:pt>
                <c:pt idx="301">
                  <c:v>42901</c:v>
                </c:pt>
                <c:pt idx="302">
                  <c:v>42902</c:v>
                </c:pt>
                <c:pt idx="303">
                  <c:v>42905</c:v>
                </c:pt>
                <c:pt idx="304">
                  <c:v>42906</c:v>
                </c:pt>
                <c:pt idx="305">
                  <c:v>42907</c:v>
                </c:pt>
                <c:pt idx="306">
                  <c:v>42908</c:v>
                </c:pt>
                <c:pt idx="307">
                  <c:v>42909</c:v>
                </c:pt>
                <c:pt idx="308">
                  <c:v>42912</c:v>
                </c:pt>
                <c:pt idx="309">
                  <c:v>42913</c:v>
                </c:pt>
                <c:pt idx="310">
                  <c:v>42914</c:v>
                </c:pt>
                <c:pt idx="311">
                  <c:v>42915</c:v>
                </c:pt>
                <c:pt idx="312">
                  <c:v>42916</c:v>
                </c:pt>
                <c:pt idx="313">
                  <c:v>42919</c:v>
                </c:pt>
                <c:pt idx="314">
                  <c:v>42920</c:v>
                </c:pt>
                <c:pt idx="315">
                  <c:v>42921</c:v>
                </c:pt>
                <c:pt idx="316">
                  <c:v>42922</c:v>
                </c:pt>
                <c:pt idx="317">
                  <c:v>42923</c:v>
                </c:pt>
                <c:pt idx="318">
                  <c:v>42926</c:v>
                </c:pt>
                <c:pt idx="319">
                  <c:v>42927</c:v>
                </c:pt>
                <c:pt idx="320">
                  <c:v>42928</c:v>
                </c:pt>
                <c:pt idx="321">
                  <c:v>42929</c:v>
                </c:pt>
                <c:pt idx="322">
                  <c:v>42930</c:v>
                </c:pt>
                <c:pt idx="323">
                  <c:v>42933</c:v>
                </c:pt>
                <c:pt idx="324">
                  <c:v>42934</c:v>
                </c:pt>
                <c:pt idx="325">
                  <c:v>42935</c:v>
                </c:pt>
                <c:pt idx="326">
                  <c:v>42936</c:v>
                </c:pt>
                <c:pt idx="327">
                  <c:v>42937</c:v>
                </c:pt>
                <c:pt idx="328">
                  <c:v>42940</c:v>
                </c:pt>
                <c:pt idx="329">
                  <c:v>42941</c:v>
                </c:pt>
                <c:pt idx="330">
                  <c:v>42942</c:v>
                </c:pt>
                <c:pt idx="331">
                  <c:v>42943</c:v>
                </c:pt>
                <c:pt idx="332">
                  <c:v>42944</c:v>
                </c:pt>
                <c:pt idx="333">
                  <c:v>42947</c:v>
                </c:pt>
                <c:pt idx="334">
                  <c:v>42948</c:v>
                </c:pt>
                <c:pt idx="335">
                  <c:v>42949</c:v>
                </c:pt>
                <c:pt idx="336">
                  <c:v>42950</c:v>
                </c:pt>
                <c:pt idx="337">
                  <c:v>42951</c:v>
                </c:pt>
                <c:pt idx="338">
                  <c:v>42954</c:v>
                </c:pt>
                <c:pt idx="339">
                  <c:v>42955</c:v>
                </c:pt>
                <c:pt idx="340">
                  <c:v>42956</c:v>
                </c:pt>
                <c:pt idx="341">
                  <c:v>42957</c:v>
                </c:pt>
                <c:pt idx="342">
                  <c:v>42958</c:v>
                </c:pt>
                <c:pt idx="343">
                  <c:v>42961</c:v>
                </c:pt>
                <c:pt idx="344">
                  <c:v>42962</c:v>
                </c:pt>
                <c:pt idx="345">
                  <c:v>42963</c:v>
                </c:pt>
                <c:pt idx="346">
                  <c:v>42964</c:v>
                </c:pt>
                <c:pt idx="347">
                  <c:v>42965</c:v>
                </c:pt>
                <c:pt idx="348">
                  <c:v>42968</c:v>
                </c:pt>
                <c:pt idx="349">
                  <c:v>42969</c:v>
                </c:pt>
                <c:pt idx="350">
                  <c:v>42970</c:v>
                </c:pt>
                <c:pt idx="351">
                  <c:v>42971</c:v>
                </c:pt>
                <c:pt idx="352">
                  <c:v>42972</c:v>
                </c:pt>
                <c:pt idx="353">
                  <c:v>42975</c:v>
                </c:pt>
                <c:pt idx="354">
                  <c:v>42976</c:v>
                </c:pt>
                <c:pt idx="355">
                  <c:v>42977</c:v>
                </c:pt>
                <c:pt idx="356">
                  <c:v>42978</c:v>
                </c:pt>
                <c:pt idx="357">
                  <c:v>42979</c:v>
                </c:pt>
                <c:pt idx="358">
                  <c:v>42982</c:v>
                </c:pt>
                <c:pt idx="359">
                  <c:v>42983</c:v>
                </c:pt>
                <c:pt idx="360">
                  <c:v>42984</c:v>
                </c:pt>
                <c:pt idx="361">
                  <c:v>42985</c:v>
                </c:pt>
                <c:pt idx="362">
                  <c:v>42986</c:v>
                </c:pt>
                <c:pt idx="363">
                  <c:v>42989</c:v>
                </c:pt>
                <c:pt idx="364">
                  <c:v>42990</c:v>
                </c:pt>
                <c:pt idx="365">
                  <c:v>42991</c:v>
                </c:pt>
                <c:pt idx="366">
                  <c:v>42992</c:v>
                </c:pt>
                <c:pt idx="367">
                  <c:v>42993</c:v>
                </c:pt>
                <c:pt idx="368">
                  <c:v>42996</c:v>
                </c:pt>
                <c:pt idx="369">
                  <c:v>42997</c:v>
                </c:pt>
                <c:pt idx="370">
                  <c:v>42998</c:v>
                </c:pt>
                <c:pt idx="371">
                  <c:v>42999</c:v>
                </c:pt>
                <c:pt idx="372">
                  <c:v>43000</c:v>
                </c:pt>
                <c:pt idx="373">
                  <c:v>43003</c:v>
                </c:pt>
                <c:pt idx="374">
                  <c:v>43004</c:v>
                </c:pt>
                <c:pt idx="375">
                  <c:v>43005</c:v>
                </c:pt>
                <c:pt idx="376">
                  <c:v>43006</c:v>
                </c:pt>
                <c:pt idx="377">
                  <c:v>43007</c:v>
                </c:pt>
                <c:pt idx="378">
                  <c:v>43017</c:v>
                </c:pt>
                <c:pt idx="379">
                  <c:v>43018</c:v>
                </c:pt>
                <c:pt idx="380">
                  <c:v>43019</c:v>
                </c:pt>
                <c:pt idx="381">
                  <c:v>43020</c:v>
                </c:pt>
                <c:pt idx="382">
                  <c:v>43021</c:v>
                </c:pt>
                <c:pt idx="383">
                  <c:v>43024</c:v>
                </c:pt>
                <c:pt idx="384">
                  <c:v>43025</c:v>
                </c:pt>
                <c:pt idx="385">
                  <c:v>43026</c:v>
                </c:pt>
                <c:pt idx="386">
                  <c:v>43027</c:v>
                </c:pt>
                <c:pt idx="387">
                  <c:v>43028</c:v>
                </c:pt>
                <c:pt idx="388">
                  <c:v>43031</c:v>
                </c:pt>
                <c:pt idx="389">
                  <c:v>43032</c:v>
                </c:pt>
                <c:pt idx="390">
                  <c:v>43033</c:v>
                </c:pt>
                <c:pt idx="391">
                  <c:v>43034</c:v>
                </c:pt>
                <c:pt idx="392">
                  <c:v>43035</c:v>
                </c:pt>
                <c:pt idx="393">
                  <c:v>43038</c:v>
                </c:pt>
                <c:pt idx="394">
                  <c:v>43039</c:v>
                </c:pt>
                <c:pt idx="395">
                  <c:v>43040</c:v>
                </c:pt>
                <c:pt idx="396">
                  <c:v>43041</c:v>
                </c:pt>
                <c:pt idx="397">
                  <c:v>43042</c:v>
                </c:pt>
                <c:pt idx="398">
                  <c:v>43045</c:v>
                </c:pt>
                <c:pt idx="399">
                  <c:v>43046</c:v>
                </c:pt>
                <c:pt idx="400">
                  <c:v>43047</c:v>
                </c:pt>
                <c:pt idx="401">
                  <c:v>43048</c:v>
                </c:pt>
                <c:pt idx="402">
                  <c:v>43049</c:v>
                </c:pt>
                <c:pt idx="403">
                  <c:v>43052</c:v>
                </c:pt>
                <c:pt idx="404">
                  <c:v>43053</c:v>
                </c:pt>
                <c:pt idx="405">
                  <c:v>43054</c:v>
                </c:pt>
                <c:pt idx="406">
                  <c:v>43055</c:v>
                </c:pt>
                <c:pt idx="407">
                  <c:v>43056</c:v>
                </c:pt>
                <c:pt idx="408">
                  <c:v>43059</c:v>
                </c:pt>
                <c:pt idx="409">
                  <c:v>43060</c:v>
                </c:pt>
                <c:pt idx="410">
                  <c:v>43061</c:v>
                </c:pt>
                <c:pt idx="411">
                  <c:v>43062</c:v>
                </c:pt>
                <c:pt idx="412">
                  <c:v>43063</c:v>
                </c:pt>
                <c:pt idx="413">
                  <c:v>43066</c:v>
                </c:pt>
                <c:pt idx="414">
                  <c:v>43067</c:v>
                </c:pt>
                <c:pt idx="415">
                  <c:v>43068</c:v>
                </c:pt>
                <c:pt idx="416">
                  <c:v>43069</c:v>
                </c:pt>
                <c:pt idx="417">
                  <c:v>43070</c:v>
                </c:pt>
                <c:pt idx="418">
                  <c:v>43073</c:v>
                </c:pt>
                <c:pt idx="419">
                  <c:v>43074</c:v>
                </c:pt>
                <c:pt idx="420">
                  <c:v>43075</c:v>
                </c:pt>
                <c:pt idx="421">
                  <c:v>43076</c:v>
                </c:pt>
                <c:pt idx="422">
                  <c:v>43077</c:v>
                </c:pt>
                <c:pt idx="423">
                  <c:v>43080</c:v>
                </c:pt>
                <c:pt idx="424">
                  <c:v>43081</c:v>
                </c:pt>
                <c:pt idx="425">
                  <c:v>43082</c:v>
                </c:pt>
                <c:pt idx="426">
                  <c:v>43083</c:v>
                </c:pt>
                <c:pt idx="427">
                  <c:v>43084</c:v>
                </c:pt>
                <c:pt idx="428">
                  <c:v>43087</c:v>
                </c:pt>
                <c:pt idx="429">
                  <c:v>43088</c:v>
                </c:pt>
                <c:pt idx="430">
                  <c:v>43089</c:v>
                </c:pt>
                <c:pt idx="431">
                  <c:v>43090</c:v>
                </c:pt>
                <c:pt idx="432">
                  <c:v>43091</c:v>
                </c:pt>
                <c:pt idx="433">
                  <c:v>43094</c:v>
                </c:pt>
                <c:pt idx="434">
                  <c:v>43095</c:v>
                </c:pt>
                <c:pt idx="435">
                  <c:v>43096</c:v>
                </c:pt>
                <c:pt idx="436">
                  <c:v>43097</c:v>
                </c:pt>
                <c:pt idx="437">
                  <c:v>43098</c:v>
                </c:pt>
                <c:pt idx="438">
                  <c:v>43102</c:v>
                </c:pt>
                <c:pt idx="439">
                  <c:v>43103</c:v>
                </c:pt>
                <c:pt idx="440">
                  <c:v>43104</c:v>
                </c:pt>
                <c:pt idx="441">
                  <c:v>43105</c:v>
                </c:pt>
                <c:pt idx="442">
                  <c:v>43108</c:v>
                </c:pt>
                <c:pt idx="443">
                  <c:v>43109</c:v>
                </c:pt>
                <c:pt idx="444">
                  <c:v>43110</c:v>
                </c:pt>
                <c:pt idx="445">
                  <c:v>43111</c:v>
                </c:pt>
                <c:pt idx="446">
                  <c:v>43112</c:v>
                </c:pt>
                <c:pt idx="447">
                  <c:v>43115</c:v>
                </c:pt>
                <c:pt idx="448">
                  <c:v>43116</c:v>
                </c:pt>
                <c:pt idx="449">
                  <c:v>43117</c:v>
                </c:pt>
                <c:pt idx="450">
                  <c:v>43118</c:v>
                </c:pt>
                <c:pt idx="451">
                  <c:v>43119</c:v>
                </c:pt>
                <c:pt idx="452">
                  <c:v>43122</c:v>
                </c:pt>
                <c:pt idx="453">
                  <c:v>43123</c:v>
                </c:pt>
                <c:pt idx="454">
                  <c:v>43124</c:v>
                </c:pt>
                <c:pt idx="455">
                  <c:v>43125</c:v>
                </c:pt>
                <c:pt idx="456">
                  <c:v>43126</c:v>
                </c:pt>
                <c:pt idx="457">
                  <c:v>43129</c:v>
                </c:pt>
                <c:pt idx="458">
                  <c:v>43130</c:v>
                </c:pt>
                <c:pt idx="459">
                  <c:v>43131</c:v>
                </c:pt>
                <c:pt idx="460">
                  <c:v>43132</c:v>
                </c:pt>
                <c:pt idx="461">
                  <c:v>43133</c:v>
                </c:pt>
                <c:pt idx="462">
                  <c:v>43136</c:v>
                </c:pt>
                <c:pt idx="463">
                  <c:v>43137</c:v>
                </c:pt>
                <c:pt idx="464">
                  <c:v>43138</c:v>
                </c:pt>
                <c:pt idx="465">
                  <c:v>43139</c:v>
                </c:pt>
                <c:pt idx="466">
                  <c:v>43140</c:v>
                </c:pt>
                <c:pt idx="467">
                  <c:v>43143</c:v>
                </c:pt>
                <c:pt idx="468">
                  <c:v>43144</c:v>
                </c:pt>
                <c:pt idx="469">
                  <c:v>43145</c:v>
                </c:pt>
                <c:pt idx="470">
                  <c:v>43153</c:v>
                </c:pt>
                <c:pt idx="471">
                  <c:v>43154</c:v>
                </c:pt>
                <c:pt idx="472">
                  <c:v>43157</c:v>
                </c:pt>
                <c:pt idx="473">
                  <c:v>43158</c:v>
                </c:pt>
                <c:pt idx="474">
                  <c:v>43159</c:v>
                </c:pt>
                <c:pt idx="475">
                  <c:v>43160</c:v>
                </c:pt>
                <c:pt idx="476">
                  <c:v>43161</c:v>
                </c:pt>
                <c:pt idx="477">
                  <c:v>43164</c:v>
                </c:pt>
                <c:pt idx="478">
                  <c:v>43165</c:v>
                </c:pt>
                <c:pt idx="479">
                  <c:v>43166</c:v>
                </c:pt>
                <c:pt idx="480">
                  <c:v>43167</c:v>
                </c:pt>
                <c:pt idx="481">
                  <c:v>43168</c:v>
                </c:pt>
                <c:pt idx="482">
                  <c:v>43171</c:v>
                </c:pt>
                <c:pt idx="483">
                  <c:v>43172</c:v>
                </c:pt>
                <c:pt idx="484">
                  <c:v>43173</c:v>
                </c:pt>
                <c:pt idx="485">
                  <c:v>43174</c:v>
                </c:pt>
                <c:pt idx="486">
                  <c:v>43175</c:v>
                </c:pt>
                <c:pt idx="487">
                  <c:v>43178</c:v>
                </c:pt>
                <c:pt idx="488">
                  <c:v>43179</c:v>
                </c:pt>
                <c:pt idx="489">
                  <c:v>43180</c:v>
                </c:pt>
                <c:pt idx="490">
                  <c:v>43181</c:v>
                </c:pt>
                <c:pt idx="491">
                  <c:v>43182</c:v>
                </c:pt>
                <c:pt idx="492">
                  <c:v>43185</c:v>
                </c:pt>
                <c:pt idx="493">
                  <c:v>43186</c:v>
                </c:pt>
                <c:pt idx="494">
                  <c:v>43187</c:v>
                </c:pt>
                <c:pt idx="495">
                  <c:v>43188</c:v>
                </c:pt>
                <c:pt idx="496">
                  <c:v>43189</c:v>
                </c:pt>
                <c:pt idx="497">
                  <c:v>43192</c:v>
                </c:pt>
                <c:pt idx="498">
                  <c:v>43193</c:v>
                </c:pt>
                <c:pt idx="499">
                  <c:v>43194</c:v>
                </c:pt>
                <c:pt idx="500">
                  <c:v>43199</c:v>
                </c:pt>
                <c:pt idx="501">
                  <c:v>43200</c:v>
                </c:pt>
                <c:pt idx="502">
                  <c:v>43201</c:v>
                </c:pt>
                <c:pt idx="503">
                  <c:v>43202</c:v>
                </c:pt>
                <c:pt idx="504">
                  <c:v>43203</c:v>
                </c:pt>
                <c:pt idx="505">
                  <c:v>43206</c:v>
                </c:pt>
                <c:pt idx="506">
                  <c:v>43207</c:v>
                </c:pt>
                <c:pt idx="507">
                  <c:v>43208</c:v>
                </c:pt>
                <c:pt idx="508">
                  <c:v>43209</c:v>
                </c:pt>
                <c:pt idx="509">
                  <c:v>43210</c:v>
                </c:pt>
                <c:pt idx="510">
                  <c:v>43213</c:v>
                </c:pt>
                <c:pt idx="511">
                  <c:v>43214</c:v>
                </c:pt>
                <c:pt idx="512">
                  <c:v>43215</c:v>
                </c:pt>
                <c:pt idx="513">
                  <c:v>43216</c:v>
                </c:pt>
                <c:pt idx="514">
                  <c:v>43217</c:v>
                </c:pt>
                <c:pt idx="515">
                  <c:v>43222</c:v>
                </c:pt>
                <c:pt idx="516">
                  <c:v>43223</c:v>
                </c:pt>
                <c:pt idx="517">
                  <c:v>43224</c:v>
                </c:pt>
                <c:pt idx="518">
                  <c:v>43227</c:v>
                </c:pt>
                <c:pt idx="519">
                  <c:v>43228</c:v>
                </c:pt>
                <c:pt idx="520">
                  <c:v>43229</c:v>
                </c:pt>
                <c:pt idx="521">
                  <c:v>43230</c:v>
                </c:pt>
                <c:pt idx="522">
                  <c:v>43231</c:v>
                </c:pt>
                <c:pt idx="523">
                  <c:v>43234</c:v>
                </c:pt>
                <c:pt idx="524">
                  <c:v>43235</c:v>
                </c:pt>
                <c:pt idx="525">
                  <c:v>43236</c:v>
                </c:pt>
                <c:pt idx="526">
                  <c:v>43237</c:v>
                </c:pt>
                <c:pt idx="527">
                  <c:v>43238</c:v>
                </c:pt>
                <c:pt idx="528">
                  <c:v>43241</c:v>
                </c:pt>
                <c:pt idx="529">
                  <c:v>43242</c:v>
                </c:pt>
                <c:pt idx="530">
                  <c:v>43243</c:v>
                </c:pt>
                <c:pt idx="531">
                  <c:v>43244</c:v>
                </c:pt>
                <c:pt idx="532">
                  <c:v>43245</c:v>
                </c:pt>
                <c:pt idx="533">
                  <c:v>43248</c:v>
                </c:pt>
                <c:pt idx="534">
                  <c:v>43249</c:v>
                </c:pt>
                <c:pt idx="535">
                  <c:v>43250</c:v>
                </c:pt>
                <c:pt idx="536">
                  <c:v>43251</c:v>
                </c:pt>
                <c:pt idx="537">
                  <c:v>43252</c:v>
                </c:pt>
                <c:pt idx="538">
                  <c:v>43255</c:v>
                </c:pt>
                <c:pt idx="539">
                  <c:v>43256</c:v>
                </c:pt>
                <c:pt idx="540">
                  <c:v>43257</c:v>
                </c:pt>
                <c:pt idx="541">
                  <c:v>43258</c:v>
                </c:pt>
                <c:pt idx="542">
                  <c:v>43259</c:v>
                </c:pt>
                <c:pt idx="543">
                  <c:v>43262</c:v>
                </c:pt>
                <c:pt idx="544">
                  <c:v>43263</c:v>
                </c:pt>
                <c:pt idx="545">
                  <c:v>43264</c:v>
                </c:pt>
                <c:pt idx="546">
                  <c:v>43265</c:v>
                </c:pt>
                <c:pt idx="547">
                  <c:v>43266</c:v>
                </c:pt>
                <c:pt idx="548">
                  <c:v>43270</c:v>
                </c:pt>
                <c:pt idx="549">
                  <c:v>43271</c:v>
                </c:pt>
                <c:pt idx="550">
                  <c:v>43272</c:v>
                </c:pt>
                <c:pt idx="551">
                  <c:v>43273</c:v>
                </c:pt>
                <c:pt idx="552">
                  <c:v>43276</c:v>
                </c:pt>
                <c:pt idx="553">
                  <c:v>43277</c:v>
                </c:pt>
                <c:pt idx="554">
                  <c:v>43278</c:v>
                </c:pt>
                <c:pt idx="555">
                  <c:v>43279</c:v>
                </c:pt>
                <c:pt idx="556">
                  <c:v>43280</c:v>
                </c:pt>
                <c:pt idx="557">
                  <c:v>43283</c:v>
                </c:pt>
                <c:pt idx="558">
                  <c:v>43284</c:v>
                </c:pt>
                <c:pt idx="559">
                  <c:v>43285</c:v>
                </c:pt>
                <c:pt idx="560">
                  <c:v>43286</c:v>
                </c:pt>
                <c:pt idx="561">
                  <c:v>43287</c:v>
                </c:pt>
                <c:pt idx="562">
                  <c:v>43290</c:v>
                </c:pt>
                <c:pt idx="563">
                  <c:v>43291</c:v>
                </c:pt>
                <c:pt idx="564">
                  <c:v>43292</c:v>
                </c:pt>
                <c:pt idx="565">
                  <c:v>43293</c:v>
                </c:pt>
                <c:pt idx="566">
                  <c:v>43294</c:v>
                </c:pt>
                <c:pt idx="567">
                  <c:v>43297</c:v>
                </c:pt>
                <c:pt idx="568">
                  <c:v>43298</c:v>
                </c:pt>
                <c:pt idx="569">
                  <c:v>43299</c:v>
                </c:pt>
                <c:pt idx="570">
                  <c:v>43300</c:v>
                </c:pt>
                <c:pt idx="571">
                  <c:v>43301</c:v>
                </c:pt>
                <c:pt idx="572">
                  <c:v>43304</c:v>
                </c:pt>
                <c:pt idx="573">
                  <c:v>43305</c:v>
                </c:pt>
                <c:pt idx="574">
                  <c:v>43306</c:v>
                </c:pt>
                <c:pt idx="575">
                  <c:v>43307</c:v>
                </c:pt>
                <c:pt idx="576">
                  <c:v>43308</c:v>
                </c:pt>
                <c:pt idx="577">
                  <c:v>43311</c:v>
                </c:pt>
                <c:pt idx="578">
                  <c:v>43312</c:v>
                </c:pt>
                <c:pt idx="579">
                  <c:v>43313</c:v>
                </c:pt>
                <c:pt idx="580">
                  <c:v>43314</c:v>
                </c:pt>
                <c:pt idx="581">
                  <c:v>43315</c:v>
                </c:pt>
                <c:pt idx="582">
                  <c:v>43318</c:v>
                </c:pt>
                <c:pt idx="583">
                  <c:v>43319</c:v>
                </c:pt>
                <c:pt idx="584">
                  <c:v>43320</c:v>
                </c:pt>
                <c:pt idx="585">
                  <c:v>43321</c:v>
                </c:pt>
                <c:pt idx="586">
                  <c:v>43322</c:v>
                </c:pt>
                <c:pt idx="587">
                  <c:v>43325</c:v>
                </c:pt>
                <c:pt idx="588">
                  <c:v>43326</c:v>
                </c:pt>
                <c:pt idx="589">
                  <c:v>43327</c:v>
                </c:pt>
                <c:pt idx="590">
                  <c:v>43328</c:v>
                </c:pt>
                <c:pt idx="591">
                  <c:v>43329</c:v>
                </c:pt>
                <c:pt idx="592">
                  <c:v>43332</c:v>
                </c:pt>
                <c:pt idx="593">
                  <c:v>43333</c:v>
                </c:pt>
                <c:pt idx="594">
                  <c:v>43334</c:v>
                </c:pt>
                <c:pt idx="595">
                  <c:v>43335</c:v>
                </c:pt>
                <c:pt idx="596">
                  <c:v>43336</c:v>
                </c:pt>
                <c:pt idx="597">
                  <c:v>43339</c:v>
                </c:pt>
                <c:pt idx="598">
                  <c:v>43340</c:v>
                </c:pt>
                <c:pt idx="599">
                  <c:v>43341</c:v>
                </c:pt>
                <c:pt idx="600">
                  <c:v>43342</c:v>
                </c:pt>
                <c:pt idx="601">
                  <c:v>43343</c:v>
                </c:pt>
                <c:pt idx="602">
                  <c:v>43346</c:v>
                </c:pt>
                <c:pt idx="603">
                  <c:v>43347</c:v>
                </c:pt>
                <c:pt idx="604">
                  <c:v>43348</c:v>
                </c:pt>
                <c:pt idx="605">
                  <c:v>43349</c:v>
                </c:pt>
                <c:pt idx="606">
                  <c:v>43350</c:v>
                </c:pt>
                <c:pt idx="607">
                  <c:v>43353</c:v>
                </c:pt>
                <c:pt idx="608">
                  <c:v>43354</c:v>
                </c:pt>
                <c:pt idx="609">
                  <c:v>43355</c:v>
                </c:pt>
                <c:pt idx="610">
                  <c:v>43356</c:v>
                </c:pt>
                <c:pt idx="611">
                  <c:v>43357</c:v>
                </c:pt>
                <c:pt idx="612">
                  <c:v>43360</c:v>
                </c:pt>
                <c:pt idx="613">
                  <c:v>43361</c:v>
                </c:pt>
                <c:pt idx="614">
                  <c:v>43362</c:v>
                </c:pt>
                <c:pt idx="615">
                  <c:v>43363</c:v>
                </c:pt>
                <c:pt idx="616">
                  <c:v>43364</c:v>
                </c:pt>
                <c:pt idx="617">
                  <c:v>43368</c:v>
                </c:pt>
                <c:pt idx="618">
                  <c:v>43369</c:v>
                </c:pt>
                <c:pt idx="619">
                  <c:v>43370</c:v>
                </c:pt>
                <c:pt idx="620">
                  <c:v>43371</c:v>
                </c:pt>
                <c:pt idx="621">
                  <c:v>43381</c:v>
                </c:pt>
                <c:pt idx="622">
                  <c:v>43382</c:v>
                </c:pt>
                <c:pt idx="623">
                  <c:v>43383</c:v>
                </c:pt>
                <c:pt idx="624">
                  <c:v>43384</c:v>
                </c:pt>
                <c:pt idx="625">
                  <c:v>43385</c:v>
                </c:pt>
                <c:pt idx="626">
                  <c:v>43388</c:v>
                </c:pt>
                <c:pt idx="627">
                  <c:v>43389</c:v>
                </c:pt>
                <c:pt idx="628">
                  <c:v>43390</c:v>
                </c:pt>
                <c:pt idx="629">
                  <c:v>43391</c:v>
                </c:pt>
                <c:pt idx="630">
                  <c:v>43392</c:v>
                </c:pt>
                <c:pt idx="631">
                  <c:v>43395</c:v>
                </c:pt>
                <c:pt idx="632">
                  <c:v>43396</c:v>
                </c:pt>
                <c:pt idx="633">
                  <c:v>43397</c:v>
                </c:pt>
                <c:pt idx="634">
                  <c:v>43398</c:v>
                </c:pt>
                <c:pt idx="635">
                  <c:v>43399</c:v>
                </c:pt>
                <c:pt idx="636">
                  <c:v>43402</c:v>
                </c:pt>
                <c:pt idx="637">
                  <c:v>43403</c:v>
                </c:pt>
                <c:pt idx="638">
                  <c:v>43404</c:v>
                </c:pt>
                <c:pt idx="639">
                  <c:v>43405</c:v>
                </c:pt>
                <c:pt idx="640">
                  <c:v>43406</c:v>
                </c:pt>
                <c:pt idx="641">
                  <c:v>43409</c:v>
                </c:pt>
                <c:pt idx="642">
                  <c:v>43410</c:v>
                </c:pt>
                <c:pt idx="643">
                  <c:v>43411</c:v>
                </c:pt>
                <c:pt idx="644">
                  <c:v>43412</c:v>
                </c:pt>
                <c:pt idx="645">
                  <c:v>43413</c:v>
                </c:pt>
                <c:pt idx="646">
                  <c:v>43416</c:v>
                </c:pt>
                <c:pt idx="647">
                  <c:v>43417</c:v>
                </c:pt>
                <c:pt idx="648">
                  <c:v>43418</c:v>
                </c:pt>
                <c:pt idx="649">
                  <c:v>43419</c:v>
                </c:pt>
                <c:pt idx="650">
                  <c:v>43420</c:v>
                </c:pt>
                <c:pt idx="651">
                  <c:v>43423</c:v>
                </c:pt>
                <c:pt idx="652">
                  <c:v>43424</c:v>
                </c:pt>
                <c:pt idx="653">
                  <c:v>43425</c:v>
                </c:pt>
                <c:pt idx="654">
                  <c:v>43426</c:v>
                </c:pt>
                <c:pt idx="655">
                  <c:v>43427</c:v>
                </c:pt>
                <c:pt idx="656">
                  <c:v>43430</c:v>
                </c:pt>
                <c:pt idx="657">
                  <c:v>43431</c:v>
                </c:pt>
                <c:pt idx="658">
                  <c:v>43432</c:v>
                </c:pt>
                <c:pt idx="659">
                  <c:v>43433</c:v>
                </c:pt>
                <c:pt idx="660">
                  <c:v>43434</c:v>
                </c:pt>
                <c:pt idx="661">
                  <c:v>43437</c:v>
                </c:pt>
                <c:pt idx="662">
                  <c:v>43438</c:v>
                </c:pt>
                <c:pt idx="663">
                  <c:v>43439</c:v>
                </c:pt>
                <c:pt idx="664">
                  <c:v>43440</c:v>
                </c:pt>
                <c:pt idx="665">
                  <c:v>43441</c:v>
                </c:pt>
                <c:pt idx="666">
                  <c:v>43444</c:v>
                </c:pt>
                <c:pt idx="667">
                  <c:v>43445</c:v>
                </c:pt>
                <c:pt idx="668">
                  <c:v>43446</c:v>
                </c:pt>
                <c:pt idx="669">
                  <c:v>43447</c:v>
                </c:pt>
                <c:pt idx="670">
                  <c:v>43448</c:v>
                </c:pt>
                <c:pt idx="671">
                  <c:v>43451</c:v>
                </c:pt>
                <c:pt idx="672">
                  <c:v>43452</c:v>
                </c:pt>
                <c:pt idx="673">
                  <c:v>43453</c:v>
                </c:pt>
                <c:pt idx="674">
                  <c:v>43454</c:v>
                </c:pt>
                <c:pt idx="675">
                  <c:v>43455</c:v>
                </c:pt>
                <c:pt idx="676">
                  <c:v>43458</c:v>
                </c:pt>
                <c:pt idx="677">
                  <c:v>43459</c:v>
                </c:pt>
                <c:pt idx="678">
                  <c:v>43460</c:v>
                </c:pt>
                <c:pt idx="679">
                  <c:v>43461</c:v>
                </c:pt>
                <c:pt idx="680">
                  <c:v>43462</c:v>
                </c:pt>
                <c:pt idx="681">
                  <c:v>43467</c:v>
                </c:pt>
                <c:pt idx="682">
                  <c:v>43468</c:v>
                </c:pt>
                <c:pt idx="683">
                  <c:v>43469</c:v>
                </c:pt>
                <c:pt idx="684">
                  <c:v>43472</c:v>
                </c:pt>
                <c:pt idx="685">
                  <c:v>43473</c:v>
                </c:pt>
                <c:pt idx="686">
                  <c:v>43474</c:v>
                </c:pt>
                <c:pt idx="687">
                  <c:v>43475</c:v>
                </c:pt>
                <c:pt idx="688">
                  <c:v>43476</c:v>
                </c:pt>
                <c:pt idx="689">
                  <c:v>43479</c:v>
                </c:pt>
                <c:pt idx="690">
                  <c:v>43480</c:v>
                </c:pt>
                <c:pt idx="691">
                  <c:v>43481</c:v>
                </c:pt>
                <c:pt idx="692">
                  <c:v>43482</c:v>
                </c:pt>
                <c:pt idx="693">
                  <c:v>43483</c:v>
                </c:pt>
                <c:pt idx="694">
                  <c:v>43486</c:v>
                </c:pt>
                <c:pt idx="695">
                  <c:v>43487</c:v>
                </c:pt>
                <c:pt idx="696">
                  <c:v>43488</c:v>
                </c:pt>
                <c:pt idx="697">
                  <c:v>43489</c:v>
                </c:pt>
                <c:pt idx="698">
                  <c:v>43490</c:v>
                </c:pt>
                <c:pt idx="699">
                  <c:v>43493</c:v>
                </c:pt>
                <c:pt idx="700">
                  <c:v>43494</c:v>
                </c:pt>
                <c:pt idx="701">
                  <c:v>43495</c:v>
                </c:pt>
                <c:pt idx="702">
                  <c:v>43496</c:v>
                </c:pt>
                <c:pt idx="703">
                  <c:v>43497</c:v>
                </c:pt>
                <c:pt idx="704">
                  <c:v>43507</c:v>
                </c:pt>
                <c:pt idx="705">
                  <c:v>43508</c:v>
                </c:pt>
                <c:pt idx="706">
                  <c:v>43509</c:v>
                </c:pt>
                <c:pt idx="707">
                  <c:v>43510</c:v>
                </c:pt>
                <c:pt idx="708">
                  <c:v>43511</c:v>
                </c:pt>
                <c:pt idx="709">
                  <c:v>43514</c:v>
                </c:pt>
                <c:pt idx="710">
                  <c:v>43515</c:v>
                </c:pt>
                <c:pt idx="711">
                  <c:v>43516</c:v>
                </c:pt>
                <c:pt idx="712">
                  <c:v>43517</c:v>
                </c:pt>
                <c:pt idx="713">
                  <c:v>43518</c:v>
                </c:pt>
                <c:pt idx="714">
                  <c:v>43521</c:v>
                </c:pt>
                <c:pt idx="715">
                  <c:v>43522</c:v>
                </c:pt>
                <c:pt idx="716">
                  <c:v>43523</c:v>
                </c:pt>
                <c:pt idx="717">
                  <c:v>43524</c:v>
                </c:pt>
                <c:pt idx="718">
                  <c:v>43525</c:v>
                </c:pt>
                <c:pt idx="719">
                  <c:v>43528</c:v>
                </c:pt>
                <c:pt idx="720">
                  <c:v>43529</c:v>
                </c:pt>
                <c:pt idx="721">
                  <c:v>43530</c:v>
                </c:pt>
                <c:pt idx="722">
                  <c:v>43531</c:v>
                </c:pt>
                <c:pt idx="723">
                  <c:v>43532</c:v>
                </c:pt>
                <c:pt idx="724">
                  <c:v>43535</c:v>
                </c:pt>
                <c:pt idx="725">
                  <c:v>43536</c:v>
                </c:pt>
                <c:pt idx="726">
                  <c:v>43537</c:v>
                </c:pt>
                <c:pt idx="727">
                  <c:v>43538</c:v>
                </c:pt>
                <c:pt idx="728">
                  <c:v>43539</c:v>
                </c:pt>
                <c:pt idx="729">
                  <c:v>43542</c:v>
                </c:pt>
                <c:pt idx="730">
                  <c:v>43543</c:v>
                </c:pt>
                <c:pt idx="731">
                  <c:v>43544</c:v>
                </c:pt>
                <c:pt idx="732">
                  <c:v>43545</c:v>
                </c:pt>
                <c:pt idx="733">
                  <c:v>43546</c:v>
                </c:pt>
                <c:pt idx="734">
                  <c:v>43549</c:v>
                </c:pt>
                <c:pt idx="735">
                  <c:v>43550</c:v>
                </c:pt>
                <c:pt idx="736">
                  <c:v>43551</c:v>
                </c:pt>
                <c:pt idx="737">
                  <c:v>43552</c:v>
                </c:pt>
                <c:pt idx="738">
                  <c:v>43553</c:v>
                </c:pt>
                <c:pt idx="739">
                  <c:v>43556</c:v>
                </c:pt>
                <c:pt idx="740">
                  <c:v>43557</c:v>
                </c:pt>
                <c:pt idx="741">
                  <c:v>43558</c:v>
                </c:pt>
                <c:pt idx="742">
                  <c:v>43559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43574</c:v>
                </c:pt>
                <c:pt idx="753">
                  <c:v>43577</c:v>
                </c:pt>
                <c:pt idx="754">
                  <c:v>43578</c:v>
                </c:pt>
                <c:pt idx="755">
                  <c:v>43579</c:v>
                </c:pt>
                <c:pt idx="756">
                  <c:v>43580</c:v>
                </c:pt>
                <c:pt idx="757">
                  <c:v>43581</c:v>
                </c:pt>
                <c:pt idx="758">
                  <c:v>43584</c:v>
                </c:pt>
                <c:pt idx="759">
                  <c:v>43585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43626</c:v>
                </c:pt>
                <c:pt idx="785">
                  <c:v>43627</c:v>
                </c:pt>
                <c:pt idx="786">
                  <c:v>43628</c:v>
                </c:pt>
                <c:pt idx="787">
                  <c:v>43629</c:v>
                </c:pt>
                <c:pt idx="788">
                  <c:v>43630</c:v>
                </c:pt>
                <c:pt idx="789">
                  <c:v>43633</c:v>
                </c:pt>
                <c:pt idx="790">
                  <c:v>43634</c:v>
                </c:pt>
                <c:pt idx="791">
                  <c:v>43635</c:v>
                </c:pt>
                <c:pt idx="792">
                  <c:v>43636</c:v>
                </c:pt>
                <c:pt idx="793">
                  <c:v>43637</c:v>
                </c:pt>
                <c:pt idx="794">
                  <c:v>43640</c:v>
                </c:pt>
                <c:pt idx="795">
                  <c:v>43641</c:v>
                </c:pt>
                <c:pt idx="796">
                  <c:v>43642</c:v>
                </c:pt>
                <c:pt idx="797">
                  <c:v>43643</c:v>
                </c:pt>
                <c:pt idx="798">
                  <c:v>43644</c:v>
                </c:pt>
                <c:pt idx="799">
                  <c:v>43647</c:v>
                </c:pt>
                <c:pt idx="800">
                  <c:v>43648</c:v>
                </c:pt>
                <c:pt idx="801">
                  <c:v>43649</c:v>
                </c:pt>
                <c:pt idx="802">
                  <c:v>43650</c:v>
                </c:pt>
                <c:pt idx="803">
                  <c:v>43651</c:v>
                </c:pt>
                <c:pt idx="804">
                  <c:v>43654</c:v>
                </c:pt>
                <c:pt idx="805">
                  <c:v>43655</c:v>
                </c:pt>
                <c:pt idx="806">
                  <c:v>43656</c:v>
                </c:pt>
                <c:pt idx="807">
                  <c:v>43657</c:v>
                </c:pt>
                <c:pt idx="808">
                  <c:v>43658</c:v>
                </c:pt>
                <c:pt idx="809">
                  <c:v>43661</c:v>
                </c:pt>
                <c:pt idx="810">
                  <c:v>43662</c:v>
                </c:pt>
                <c:pt idx="811">
                  <c:v>43663</c:v>
                </c:pt>
                <c:pt idx="812">
                  <c:v>43664</c:v>
                </c:pt>
                <c:pt idx="813">
                  <c:v>43665</c:v>
                </c:pt>
                <c:pt idx="814">
                  <c:v>43668</c:v>
                </c:pt>
                <c:pt idx="815">
                  <c:v>43669</c:v>
                </c:pt>
                <c:pt idx="816">
                  <c:v>43670</c:v>
                </c:pt>
                <c:pt idx="817">
                  <c:v>43671</c:v>
                </c:pt>
                <c:pt idx="818">
                  <c:v>43672</c:v>
                </c:pt>
                <c:pt idx="819">
                  <c:v>43675</c:v>
                </c:pt>
                <c:pt idx="820">
                  <c:v>43676</c:v>
                </c:pt>
                <c:pt idx="821">
                  <c:v>43677</c:v>
                </c:pt>
                <c:pt idx="822">
                  <c:v>43678</c:v>
                </c:pt>
                <c:pt idx="823">
                  <c:v>43679</c:v>
                </c:pt>
                <c:pt idx="824">
                  <c:v>43682</c:v>
                </c:pt>
                <c:pt idx="825">
                  <c:v>43683</c:v>
                </c:pt>
                <c:pt idx="826">
                  <c:v>43684</c:v>
                </c:pt>
                <c:pt idx="827">
                  <c:v>43685</c:v>
                </c:pt>
                <c:pt idx="828">
                  <c:v>43686</c:v>
                </c:pt>
                <c:pt idx="829">
                  <c:v>43689</c:v>
                </c:pt>
                <c:pt idx="830">
                  <c:v>43690</c:v>
                </c:pt>
                <c:pt idx="831">
                  <c:v>43691</c:v>
                </c:pt>
                <c:pt idx="832">
                  <c:v>43692</c:v>
                </c:pt>
                <c:pt idx="833">
                  <c:v>43693</c:v>
                </c:pt>
                <c:pt idx="834">
                  <c:v>43696</c:v>
                </c:pt>
                <c:pt idx="835">
                  <c:v>43697</c:v>
                </c:pt>
                <c:pt idx="836">
                  <c:v>43698</c:v>
                </c:pt>
                <c:pt idx="837">
                  <c:v>43699</c:v>
                </c:pt>
                <c:pt idx="838">
                  <c:v>43700</c:v>
                </c:pt>
                <c:pt idx="839">
                  <c:v>43703</c:v>
                </c:pt>
                <c:pt idx="840">
                  <c:v>43704</c:v>
                </c:pt>
                <c:pt idx="841">
                  <c:v>43705</c:v>
                </c:pt>
                <c:pt idx="842">
                  <c:v>43706</c:v>
                </c:pt>
                <c:pt idx="843">
                  <c:v>43707</c:v>
                </c:pt>
                <c:pt idx="844">
                  <c:v>43710</c:v>
                </c:pt>
                <c:pt idx="845">
                  <c:v>43711</c:v>
                </c:pt>
                <c:pt idx="846">
                  <c:v>43712</c:v>
                </c:pt>
                <c:pt idx="847">
                  <c:v>43713</c:v>
                </c:pt>
                <c:pt idx="848">
                  <c:v>43714</c:v>
                </c:pt>
                <c:pt idx="849">
                  <c:v>43717</c:v>
                </c:pt>
                <c:pt idx="850">
                  <c:v>43718</c:v>
                </c:pt>
                <c:pt idx="851">
                  <c:v>43719</c:v>
                </c:pt>
                <c:pt idx="852">
                  <c:v>43720</c:v>
                </c:pt>
                <c:pt idx="853">
                  <c:v>43724</c:v>
                </c:pt>
                <c:pt idx="854">
                  <c:v>43725</c:v>
                </c:pt>
                <c:pt idx="855">
                  <c:v>43726</c:v>
                </c:pt>
                <c:pt idx="856">
                  <c:v>43727</c:v>
                </c:pt>
                <c:pt idx="857">
                  <c:v>43728</c:v>
                </c:pt>
                <c:pt idx="858">
                  <c:v>43731</c:v>
                </c:pt>
                <c:pt idx="859">
                  <c:v>43732</c:v>
                </c:pt>
                <c:pt idx="860">
                  <c:v>43733</c:v>
                </c:pt>
                <c:pt idx="861">
                  <c:v>43734</c:v>
                </c:pt>
                <c:pt idx="862">
                  <c:v>43735</c:v>
                </c:pt>
                <c:pt idx="863">
                  <c:v>43738</c:v>
                </c:pt>
                <c:pt idx="864">
                  <c:v>43746</c:v>
                </c:pt>
                <c:pt idx="865">
                  <c:v>43747</c:v>
                </c:pt>
                <c:pt idx="866">
                  <c:v>43748</c:v>
                </c:pt>
                <c:pt idx="867">
                  <c:v>43749</c:v>
                </c:pt>
                <c:pt idx="868">
                  <c:v>43752</c:v>
                </c:pt>
                <c:pt idx="869">
                  <c:v>43753</c:v>
                </c:pt>
                <c:pt idx="870">
                  <c:v>43754</c:v>
                </c:pt>
                <c:pt idx="871">
                  <c:v>43755</c:v>
                </c:pt>
                <c:pt idx="872">
                  <c:v>43756</c:v>
                </c:pt>
                <c:pt idx="873">
                  <c:v>43759</c:v>
                </c:pt>
                <c:pt idx="874">
                  <c:v>43760</c:v>
                </c:pt>
                <c:pt idx="875">
                  <c:v>43761</c:v>
                </c:pt>
                <c:pt idx="876">
                  <c:v>43762</c:v>
                </c:pt>
                <c:pt idx="877">
                  <c:v>43763</c:v>
                </c:pt>
                <c:pt idx="878">
                  <c:v>43766</c:v>
                </c:pt>
                <c:pt idx="879">
                  <c:v>43767</c:v>
                </c:pt>
                <c:pt idx="880">
                  <c:v>43768</c:v>
                </c:pt>
                <c:pt idx="881">
                  <c:v>43769</c:v>
                </c:pt>
                <c:pt idx="882">
                  <c:v>43770</c:v>
                </c:pt>
                <c:pt idx="883">
                  <c:v>43773</c:v>
                </c:pt>
                <c:pt idx="884">
                  <c:v>43774</c:v>
                </c:pt>
                <c:pt idx="885">
                  <c:v>43775</c:v>
                </c:pt>
                <c:pt idx="886">
                  <c:v>43776</c:v>
                </c:pt>
                <c:pt idx="887">
                  <c:v>43777</c:v>
                </c:pt>
                <c:pt idx="888">
                  <c:v>43780</c:v>
                </c:pt>
                <c:pt idx="889">
                  <c:v>43781</c:v>
                </c:pt>
                <c:pt idx="890">
                  <c:v>43782</c:v>
                </c:pt>
                <c:pt idx="891">
                  <c:v>43783</c:v>
                </c:pt>
                <c:pt idx="892">
                  <c:v>43784</c:v>
                </c:pt>
                <c:pt idx="893">
                  <c:v>43787</c:v>
                </c:pt>
                <c:pt idx="894">
                  <c:v>43788</c:v>
                </c:pt>
                <c:pt idx="895">
                  <c:v>43789</c:v>
                </c:pt>
                <c:pt idx="896">
                  <c:v>43790</c:v>
                </c:pt>
                <c:pt idx="897">
                  <c:v>43791</c:v>
                </c:pt>
                <c:pt idx="898">
                  <c:v>43794</c:v>
                </c:pt>
                <c:pt idx="899">
                  <c:v>43795</c:v>
                </c:pt>
                <c:pt idx="900">
                  <c:v>43796</c:v>
                </c:pt>
                <c:pt idx="901">
                  <c:v>43797</c:v>
                </c:pt>
                <c:pt idx="902">
                  <c:v>43798</c:v>
                </c:pt>
                <c:pt idx="903">
                  <c:v>43801</c:v>
                </c:pt>
                <c:pt idx="904">
                  <c:v>43802</c:v>
                </c:pt>
                <c:pt idx="905">
                  <c:v>43803</c:v>
                </c:pt>
                <c:pt idx="906">
                  <c:v>43804</c:v>
                </c:pt>
                <c:pt idx="907">
                  <c:v>43805</c:v>
                </c:pt>
                <c:pt idx="908">
                  <c:v>43808</c:v>
                </c:pt>
                <c:pt idx="909">
                  <c:v>43809</c:v>
                </c:pt>
                <c:pt idx="910">
                  <c:v>43810</c:v>
                </c:pt>
                <c:pt idx="911">
                  <c:v>43811</c:v>
                </c:pt>
                <c:pt idx="912">
                  <c:v>43812</c:v>
                </c:pt>
                <c:pt idx="913">
                  <c:v>43815</c:v>
                </c:pt>
                <c:pt idx="914">
                  <c:v>43816</c:v>
                </c:pt>
                <c:pt idx="915">
                  <c:v>43817</c:v>
                </c:pt>
                <c:pt idx="916">
                  <c:v>43818</c:v>
                </c:pt>
                <c:pt idx="917">
                  <c:v>43819</c:v>
                </c:pt>
                <c:pt idx="918">
                  <c:v>43822</c:v>
                </c:pt>
                <c:pt idx="919">
                  <c:v>43823</c:v>
                </c:pt>
                <c:pt idx="920">
                  <c:v>43824</c:v>
                </c:pt>
                <c:pt idx="921">
                  <c:v>43825</c:v>
                </c:pt>
                <c:pt idx="922">
                  <c:v>43826</c:v>
                </c:pt>
                <c:pt idx="923">
                  <c:v>43829</c:v>
                </c:pt>
                <c:pt idx="924">
                  <c:v>43830</c:v>
                </c:pt>
                <c:pt idx="925">
                  <c:v>43832</c:v>
                </c:pt>
                <c:pt idx="926">
                  <c:v>43833</c:v>
                </c:pt>
                <c:pt idx="927">
                  <c:v>43836</c:v>
                </c:pt>
                <c:pt idx="928">
                  <c:v>43837</c:v>
                </c:pt>
                <c:pt idx="929">
                  <c:v>43838</c:v>
                </c:pt>
                <c:pt idx="930">
                  <c:v>43839</c:v>
                </c:pt>
                <c:pt idx="931">
                  <c:v>43840</c:v>
                </c:pt>
                <c:pt idx="932">
                  <c:v>43843</c:v>
                </c:pt>
                <c:pt idx="933">
                  <c:v>43844</c:v>
                </c:pt>
                <c:pt idx="934">
                  <c:v>43845</c:v>
                </c:pt>
                <c:pt idx="935">
                  <c:v>43846</c:v>
                </c:pt>
                <c:pt idx="936">
                  <c:v>43847</c:v>
                </c:pt>
                <c:pt idx="937">
                  <c:v>43850</c:v>
                </c:pt>
                <c:pt idx="938">
                  <c:v>43851</c:v>
                </c:pt>
                <c:pt idx="939">
                  <c:v>43852</c:v>
                </c:pt>
                <c:pt idx="940">
                  <c:v>43853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43928</c:v>
                </c:pt>
                <c:pt idx="986">
                  <c:v>43929</c:v>
                </c:pt>
                <c:pt idx="987">
                  <c:v>43930</c:v>
                </c:pt>
                <c:pt idx="988">
                  <c:v>43931</c:v>
                </c:pt>
                <c:pt idx="989">
                  <c:v>43934</c:v>
                </c:pt>
                <c:pt idx="990">
                  <c:v>43935</c:v>
                </c:pt>
                <c:pt idx="991">
                  <c:v>43936</c:v>
                </c:pt>
                <c:pt idx="992">
                  <c:v>43937</c:v>
                </c:pt>
                <c:pt idx="993">
                  <c:v>43938</c:v>
                </c:pt>
                <c:pt idx="994">
                  <c:v>43941</c:v>
                </c:pt>
                <c:pt idx="995">
                  <c:v>43942</c:v>
                </c:pt>
                <c:pt idx="996">
                  <c:v>43943</c:v>
                </c:pt>
                <c:pt idx="997">
                  <c:v>43944</c:v>
                </c:pt>
                <c:pt idx="998">
                  <c:v>43945</c:v>
                </c:pt>
                <c:pt idx="999">
                  <c:v>43948</c:v>
                </c:pt>
                <c:pt idx="1000">
                  <c:v>43949</c:v>
                </c:pt>
                <c:pt idx="1001">
                  <c:v>43950</c:v>
                </c:pt>
                <c:pt idx="1002">
                  <c:v>43951</c:v>
                </c:pt>
                <c:pt idx="1003">
                  <c:v>43957</c:v>
                </c:pt>
                <c:pt idx="1004">
                  <c:v>43958</c:v>
                </c:pt>
                <c:pt idx="1005">
                  <c:v>43959</c:v>
                </c:pt>
                <c:pt idx="1006">
                  <c:v>43962</c:v>
                </c:pt>
                <c:pt idx="1007">
                  <c:v>43963</c:v>
                </c:pt>
                <c:pt idx="1008">
                  <c:v>43964</c:v>
                </c:pt>
                <c:pt idx="1009">
                  <c:v>43965</c:v>
                </c:pt>
                <c:pt idx="1010">
                  <c:v>43966</c:v>
                </c:pt>
                <c:pt idx="1011">
                  <c:v>43969</c:v>
                </c:pt>
                <c:pt idx="1012">
                  <c:v>43970</c:v>
                </c:pt>
                <c:pt idx="1013">
                  <c:v>43971</c:v>
                </c:pt>
                <c:pt idx="1014">
                  <c:v>43972</c:v>
                </c:pt>
                <c:pt idx="1015">
                  <c:v>43973</c:v>
                </c:pt>
                <c:pt idx="1016">
                  <c:v>43976</c:v>
                </c:pt>
                <c:pt idx="1017">
                  <c:v>43977</c:v>
                </c:pt>
                <c:pt idx="1018">
                  <c:v>43978</c:v>
                </c:pt>
                <c:pt idx="1019">
                  <c:v>43979</c:v>
                </c:pt>
                <c:pt idx="1020">
                  <c:v>43980</c:v>
                </c:pt>
                <c:pt idx="1021">
                  <c:v>43983</c:v>
                </c:pt>
                <c:pt idx="1022">
                  <c:v>43984</c:v>
                </c:pt>
                <c:pt idx="1023">
                  <c:v>43985</c:v>
                </c:pt>
                <c:pt idx="1024">
                  <c:v>43986</c:v>
                </c:pt>
                <c:pt idx="1025">
                  <c:v>43987</c:v>
                </c:pt>
                <c:pt idx="1026">
                  <c:v>43990</c:v>
                </c:pt>
                <c:pt idx="1027">
                  <c:v>43991</c:v>
                </c:pt>
                <c:pt idx="1028">
                  <c:v>43992</c:v>
                </c:pt>
                <c:pt idx="1029">
                  <c:v>43993</c:v>
                </c:pt>
                <c:pt idx="1030">
                  <c:v>43994</c:v>
                </c:pt>
                <c:pt idx="1031">
                  <c:v>43997</c:v>
                </c:pt>
                <c:pt idx="1032">
                  <c:v>43998</c:v>
                </c:pt>
                <c:pt idx="1033">
                  <c:v>43999</c:v>
                </c:pt>
                <c:pt idx="1034">
                  <c:v>44000</c:v>
                </c:pt>
                <c:pt idx="1035">
                  <c:v>44001</c:v>
                </c:pt>
                <c:pt idx="1036">
                  <c:v>44004</c:v>
                </c:pt>
                <c:pt idx="1037">
                  <c:v>44005</c:v>
                </c:pt>
                <c:pt idx="1038">
                  <c:v>44006</c:v>
                </c:pt>
                <c:pt idx="1039">
                  <c:v>44011</c:v>
                </c:pt>
                <c:pt idx="1040">
                  <c:v>44012</c:v>
                </c:pt>
                <c:pt idx="1041">
                  <c:v>44013</c:v>
                </c:pt>
                <c:pt idx="1042">
                  <c:v>44014</c:v>
                </c:pt>
                <c:pt idx="1043">
                  <c:v>44015</c:v>
                </c:pt>
                <c:pt idx="1044">
                  <c:v>44018</c:v>
                </c:pt>
                <c:pt idx="1045">
                  <c:v>44019</c:v>
                </c:pt>
                <c:pt idx="1046">
                  <c:v>44020</c:v>
                </c:pt>
                <c:pt idx="1047">
                  <c:v>44021</c:v>
                </c:pt>
                <c:pt idx="1048">
                  <c:v>44022</c:v>
                </c:pt>
                <c:pt idx="1049">
                  <c:v>44025</c:v>
                </c:pt>
                <c:pt idx="1050">
                  <c:v>44026</c:v>
                </c:pt>
                <c:pt idx="1051">
                  <c:v>44027</c:v>
                </c:pt>
                <c:pt idx="1052">
                  <c:v>44028</c:v>
                </c:pt>
                <c:pt idx="1053">
                  <c:v>44029</c:v>
                </c:pt>
                <c:pt idx="1054">
                  <c:v>44032</c:v>
                </c:pt>
                <c:pt idx="1055">
                  <c:v>44033</c:v>
                </c:pt>
                <c:pt idx="1056">
                  <c:v>44034</c:v>
                </c:pt>
                <c:pt idx="1057">
                  <c:v>44035</c:v>
                </c:pt>
                <c:pt idx="1058">
                  <c:v>44036</c:v>
                </c:pt>
                <c:pt idx="1059">
                  <c:v>44039</c:v>
                </c:pt>
                <c:pt idx="1060">
                  <c:v>44040</c:v>
                </c:pt>
                <c:pt idx="1061">
                  <c:v>44041</c:v>
                </c:pt>
                <c:pt idx="1062">
                  <c:v>44042</c:v>
                </c:pt>
                <c:pt idx="1063">
                  <c:v>44043</c:v>
                </c:pt>
                <c:pt idx="1064">
                  <c:v>44046</c:v>
                </c:pt>
                <c:pt idx="1065">
                  <c:v>44047</c:v>
                </c:pt>
                <c:pt idx="1066">
                  <c:v>44048</c:v>
                </c:pt>
                <c:pt idx="1067">
                  <c:v>44049</c:v>
                </c:pt>
                <c:pt idx="1068">
                  <c:v>44050</c:v>
                </c:pt>
                <c:pt idx="1069">
                  <c:v>44053</c:v>
                </c:pt>
                <c:pt idx="1070">
                  <c:v>44054</c:v>
                </c:pt>
                <c:pt idx="1071">
                  <c:v>44055</c:v>
                </c:pt>
                <c:pt idx="1072">
                  <c:v>44056</c:v>
                </c:pt>
                <c:pt idx="1073">
                  <c:v>44057</c:v>
                </c:pt>
                <c:pt idx="1074">
                  <c:v>44060</c:v>
                </c:pt>
                <c:pt idx="1075">
                  <c:v>44061</c:v>
                </c:pt>
                <c:pt idx="1076">
                  <c:v>44062</c:v>
                </c:pt>
                <c:pt idx="1077">
                  <c:v>44063</c:v>
                </c:pt>
                <c:pt idx="1078">
                  <c:v>44064</c:v>
                </c:pt>
                <c:pt idx="1079">
                  <c:v>44067</c:v>
                </c:pt>
                <c:pt idx="1080">
                  <c:v>44068</c:v>
                </c:pt>
                <c:pt idx="1081">
                  <c:v>44069</c:v>
                </c:pt>
                <c:pt idx="1082">
                  <c:v>44070</c:v>
                </c:pt>
                <c:pt idx="1083">
                  <c:v>44071</c:v>
                </c:pt>
                <c:pt idx="1084">
                  <c:v>44074</c:v>
                </c:pt>
                <c:pt idx="1085">
                  <c:v>44075</c:v>
                </c:pt>
                <c:pt idx="1086">
                  <c:v>44076</c:v>
                </c:pt>
                <c:pt idx="1087">
                  <c:v>44077</c:v>
                </c:pt>
                <c:pt idx="1088">
                  <c:v>44078</c:v>
                </c:pt>
                <c:pt idx="1089">
                  <c:v>44081</c:v>
                </c:pt>
                <c:pt idx="1090">
                  <c:v>44082</c:v>
                </c:pt>
                <c:pt idx="1091">
                  <c:v>44083</c:v>
                </c:pt>
                <c:pt idx="1092">
                  <c:v>44084</c:v>
                </c:pt>
                <c:pt idx="1093">
                  <c:v>44085</c:v>
                </c:pt>
                <c:pt idx="1094">
                  <c:v>44088</c:v>
                </c:pt>
                <c:pt idx="1095">
                  <c:v>44089</c:v>
                </c:pt>
                <c:pt idx="1096">
                  <c:v>44090</c:v>
                </c:pt>
                <c:pt idx="1097">
                  <c:v>44091</c:v>
                </c:pt>
                <c:pt idx="1098">
                  <c:v>44092</c:v>
                </c:pt>
                <c:pt idx="1099">
                  <c:v>44095</c:v>
                </c:pt>
                <c:pt idx="1100">
                  <c:v>44096</c:v>
                </c:pt>
                <c:pt idx="1101">
                  <c:v>44097</c:v>
                </c:pt>
                <c:pt idx="1102">
                  <c:v>44098</c:v>
                </c:pt>
                <c:pt idx="1103">
                  <c:v>44099</c:v>
                </c:pt>
                <c:pt idx="1104">
                  <c:v>44102</c:v>
                </c:pt>
                <c:pt idx="1105">
                  <c:v>44103</c:v>
                </c:pt>
                <c:pt idx="1106">
                  <c:v>44104</c:v>
                </c:pt>
                <c:pt idx="1107">
                  <c:v>44113</c:v>
                </c:pt>
                <c:pt idx="1108">
                  <c:v>44116</c:v>
                </c:pt>
                <c:pt idx="1109">
                  <c:v>44117</c:v>
                </c:pt>
                <c:pt idx="1110">
                  <c:v>44118</c:v>
                </c:pt>
                <c:pt idx="1111">
                  <c:v>44119</c:v>
                </c:pt>
                <c:pt idx="1112">
                  <c:v>44120</c:v>
                </c:pt>
                <c:pt idx="1113">
                  <c:v>44123</c:v>
                </c:pt>
                <c:pt idx="1114">
                  <c:v>44124</c:v>
                </c:pt>
                <c:pt idx="1115">
                  <c:v>44125</c:v>
                </c:pt>
                <c:pt idx="1116">
                  <c:v>44126</c:v>
                </c:pt>
                <c:pt idx="1117">
                  <c:v>44127</c:v>
                </c:pt>
                <c:pt idx="1118">
                  <c:v>44130</c:v>
                </c:pt>
                <c:pt idx="1119">
                  <c:v>44131</c:v>
                </c:pt>
                <c:pt idx="1120">
                  <c:v>44132</c:v>
                </c:pt>
                <c:pt idx="1121">
                  <c:v>44133</c:v>
                </c:pt>
                <c:pt idx="1122">
                  <c:v>44134</c:v>
                </c:pt>
                <c:pt idx="1123">
                  <c:v>44137</c:v>
                </c:pt>
                <c:pt idx="1124">
                  <c:v>44138</c:v>
                </c:pt>
                <c:pt idx="1125">
                  <c:v>44139</c:v>
                </c:pt>
                <c:pt idx="1126">
                  <c:v>44140</c:v>
                </c:pt>
                <c:pt idx="1127">
                  <c:v>44141</c:v>
                </c:pt>
                <c:pt idx="1128">
                  <c:v>44144</c:v>
                </c:pt>
                <c:pt idx="1129">
                  <c:v>44145</c:v>
                </c:pt>
                <c:pt idx="1130">
                  <c:v>44146</c:v>
                </c:pt>
                <c:pt idx="1131">
                  <c:v>44147</c:v>
                </c:pt>
                <c:pt idx="1132">
                  <c:v>44148</c:v>
                </c:pt>
                <c:pt idx="1133">
                  <c:v>44151</c:v>
                </c:pt>
                <c:pt idx="1134">
                  <c:v>44152</c:v>
                </c:pt>
                <c:pt idx="1135">
                  <c:v>44153</c:v>
                </c:pt>
                <c:pt idx="1136">
                  <c:v>44154</c:v>
                </c:pt>
                <c:pt idx="1137">
                  <c:v>44155</c:v>
                </c:pt>
                <c:pt idx="1138">
                  <c:v>44158</c:v>
                </c:pt>
                <c:pt idx="1139">
                  <c:v>44159</c:v>
                </c:pt>
                <c:pt idx="1140">
                  <c:v>44160</c:v>
                </c:pt>
                <c:pt idx="1141">
                  <c:v>44161</c:v>
                </c:pt>
                <c:pt idx="1142">
                  <c:v>44162</c:v>
                </c:pt>
                <c:pt idx="1143">
                  <c:v>44165</c:v>
                </c:pt>
                <c:pt idx="1144">
                  <c:v>44166</c:v>
                </c:pt>
                <c:pt idx="1145">
                  <c:v>44167</c:v>
                </c:pt>
                <c:pt idx="1146">
                  <c:v>44168</c:v>
                </c:pt>
                <c:pt idx="1147">
                  <c:v>44169</c:v>
                </c:pt>
                <c:pt idx="1148">
                  <c:v>44172</c:v>
                </c:pt>
                <c:pt idx="1149">
                  <c:v>44173</c:v>
                </c:pt>
                <c:pt idx="1150">
                  <c:v>44174</c:v>
                </c:pt>
                <c:pt idx="1151">
                  <c:v>44175</c:v>
                </c:pt>
                <c:pt idx="1152">
                  <c:v>44176</c:v>
                </c:pt>
                <c:pt idx="1153">
                  <c:v>44179</c:v>
                </c:pt>
                <c:pt idx="1154">
                  <c:v>44180</c:v>
                </c:pt>
                <c:pt idx="1155">
                  <c:v>44181</c:v>
                </c:pt>
                <c:pt idx="1156">
                  <c:v>44182</c:v>
                </c:pt>
                <c:pt idx="1157">
                  <c:v>44183</c:v>
                </c:pt>
                <c:pt idx="1158">
                  <c:v>44186</c:v>
                </c:pt>
                <c:pt idx="1159">
                  <c:v>44187</c:v>
                </c:pt>
                <c:pt idx="1160">
                  <c:v>44188</c:v>
                </c:pt>
                <c:pt idx="1161">
                  <c:v>44189</c:v>
                </c:pt>
                <c:pt idx="1162">
                  <c:v>44190</c:v>
                </c:pt>
                <c:pt idx="1163">
                  <c:v>44193</c:v>
                </c:pt>
                <c:pt idx="1164">
                  <c:v>44194</c:v>
                </c:pt>
                <c:pt idx="1165">
                  <c:v>44195</c:v>
                </c:pt>
                <c:pt idx="1166">
                  <c:v>44196</c:v>
                </c:pt>
                <c:pt idx="1167">
                  <c:v>44200</c:v>
                </c:pt>
                <c:pt idx="1168">
                  <c:v>44201</c:v>
                </c:pt>
                <c:pt idx="1169">
                  <c:v>44202</c:v>
                </c:pt>
                <c:pt idx="1170">
                  <c:v>44203</c:v>
                </c:pt>
                <c:pt idx="1171">
                  <c:v>44204</c:v>
                </c:pt>
                <c:pt idx="1172">
                  <c:v>44207</c:v>
                </c:pt>
                <c:pt idx="1173">
                  <c:v>44208</c:v>
                </c:pt>
                <c:pt idx="1174">
                  <c:v>44209</c:v>
                </c:pt>
                <c:pt idx="1175">
                  <c:v>44210</c:v>
                </c:pt>
                <c:pt idx="1176">
                  <c:v>44211</c:v>
                </c:pt>
                <c:pt idx="1177">
                  <c:v>44214</c:v>
                </c:pt>
                <c:pt idx="1178">
                  <c:v>44215</c:v>
                </c:pt>
                <c:pt idx="1179">
                  <c:v>44216</c:v>
                </c:pt>
                <c:pt idx="1180">
                  <c:v>44217</c:v>
                </c:pt>
                <c:pt idx="1181">
                  <c:v>44218</c:v>
                </c:pt>
                <c:pt idx="1182">
                  <c:v>44221</c:v>
                </c:pt>
                <c:pt idx="1183">
                  <c:v>44222</c:v>
                </c:pt>
                <c:pt idx="1184">
                  <c:v>44223</c:v>
                </c:pt>
                <c:pt idx="1185">
                  <c:v>44224</c:v>
                </c:pt>
                <c:pt idx="1186">
                  <c:v>44225</c:v>
                </c:pt>
                <c:pt idx="1187">
                  <c:v>44228</c:v>
                </c:pt>
                <c:pt idx="1188">
                  <c:v>44229</c:v>
                </c:pt>
                <c:pt idx="1189">
                  <c:v>44230</c:v>
                </c:pt>
                <c:pt idx="1190">
                  <c:v>44231</c:v>
                </c:pt>
                <c:pt idx="1191">
                  <c:v>44232</c:v>
                </c:pt>
                <c:pt idx="1192">
                  <c:v>44235</c:v>
                </c:pt>
                <c:pt idx="1193">
                  <c:v>44236</c:v>
                </c:pt>
                <c:pt idx="1194">
                  <c:v>44237</c:v>
                </c:pt>
                <c:pt idx="1195">
                  <c:v>44245</c:v>
                </c:pt>
                <c:pt idx="1196">
                  <c:v>44246</c:v>
                </c:pt>
                <c:pt idx="1197">
                  <c:v>44249</c:v>
                </c:pt>
                <c:pt idx="1198">
                  <c:v>44250</c:v>
                </c:pt>
                <c:pt idx="1199">
                  <c:v>44251</c:v>
                </c:pt>
                <c:pt idx="1200">
                  <c:v>44252</c:v>
                </c:pt>
                <c:pt idx="1201">
                  <c:v>44253</c:v>
                </c:pt>
                <c:pt idx="1202">
                  <c:v>44256</c:v>
                </c:pt>
                <c:pt idx="1203">
                  <c:v>44257</c:v>
                </c:pt>
                <c:pt idx="1204">
                  <c:v>44258</c:v>
                </c:pt>
                <c:pt idx="1205">
                  <c:v>44259</c:v>
                </c:pt>
                <c:pt idx="1206">
                  <c:v>44260</c:v>
                </c:pt>
                <c:pt idx="1207">
                  <c:v>44263</c:v>
                </c:pt>
                <c:pt idx="1208">
                  <c:v>44264</c:v>
                </c:pt>
                <c:pt idx="1209">
                  <c:v>44265</c:v>
                </c:pt>
                <c:pt idx="1210">
                  <c:v>44266</c:v>
                </c:pt>
                <c:pt idx="1211">
                  <c:v>44267</c:v>
                </c:pt>
                <c:pt idx="1212">
                  <c:v>44270</c:v>
                </c:pt>
                <c:pt idx="1213">
                  <c:v>44271</c:v>
                </c:pt>
                <c:pt idx="1214">
                  <c:v>44272</c:v>
                </c:pt>
                <c:pt idx="1215">
                  <c:v>44273</c:v>
                </c:pt>
                <c:pt idx="1216">
                  <c:v>44274</c:v>
                </c:pt>
                <c:pt idx="1217">
                  <c:v>44277</c:v>
                </c:pt>
                <c:pt idx="1218">
                  <c:v>44278</c:v>
                </c:pt>
                <c:pt idx="1219">
                  <c:v>44279</c:v>
                </c:pt>
                <c:pt idx="1220">
                  <c:v>44280</c:v>
                </c:pt>
                <c:pt idx="1221">
                  <c:v>44281</c:v>
                </c:pt>
                <c:pt idx="1222">
                  <c:v>44284</c:v>
                </c:pt>
                <c:pt idx="1223">
                  <c:v>44285</c:v>
                </c:pt>
                <c:pt idx="1224">
                  <c:v>44286</c:v>
                </c:pt>
                <c:pt idx="1225">
                  <c:v>44287</c:v>
                </c:pt>
                <c:pt idx="1226">
                  <c:v>44288</c:v>
                </c:pt>
                <c:pt idx="1227">
                  <c:v>44292</c:v>
                </c:pt>
                <c:pt idx="1228">
                  <c:v>44293</c:v>
                </c:pt>
                <c:pt idx="1229">
                  <c:v>44294</c:v>
                </c:pt>
                <c:pt idx="1230">
                  <c:v>44295</c:v>
                </c:pt>
                <c:pt idx="1231">
                  <c:v>44298</c:v>
                </c:pt>
                <c:pt idx="1232">
                  <c:v>44299</c:v>
                </c:pt>
                <c:pt idx="1233">
                  <c:v>44300</c:v>
                </c:pt>
                <c:pt idx="1234">
                  <c:v>44301</c:v>
                </c:pt>
                <c:pt idx="1235">
                  <c:v>44302</c:v>
                </c:pt>
                <c:pt idx="1236">
                  <c:v>44305</c:v>
                </c:pt>
                <c:pt idx="1237">
                  <c:v>44306</c:v>
                </c:pt>
                <c:pt idx="1238">
                  <c:v>44307</c:v>
                </c:pt>
                <c:pt idx="1239">
                  <c:v>44308</c:v>
                </c:pt>
                <c:pt idx="1240">
                  <c:v>44309</c:v>
                </c:pt>
                <c:pt idx="1241">
                  <c:v>44312</c:v>
                </c:pt>
                <c:pt idx="1242">
                  <c:v>44313</c:v>
                </c:pt>
                <c:pt idx="1243">
                  <c:v>44314</c:v>
                </c:pt>
                <c:pt idx="1244">
                  <c:v>44315</c:v>
                </c:pt>
                <c:pt idx="1245">
                  <c:v>44316</c:v>
                </c:pt>
                <c:pt idx="1246">
                  <c:v>44322</c:v>
                </c:pt>
                <c:pt idx="1247">
                  <c:v>44323</c:v>
                </c:pt>
                <c:pt idx="1248">
                  <c:v>44326</c:v>
                </c:pt>
                <c:pt idx="1249">
                  <c:v>44327</c:v>
                </c:pt>
                <c:pt idx="1250">
                  <c:v>44328</c:v>
                </c:pt>
                <c:pt idx="1251">
                  <c:v>44329</c:v>
                </c:pt>
                <c:pt idx="1252">
                  <c:v>44330</c:v>
                </c:pt>
                <c:pt idx="1253">
                  <c:v>44333</c:v>
                </c:pt>
                <c:pt idx="1254">
                  <c:v>44334</c:v>
                </c:pt>
                <c:pt idx="1255">
                  <c:v>44335</c:v>
                </c:pt>
                <c:pt idx="1256">
                  <c:v>44336</c:v>
                </c:pt>
                <c:pt idx="1257">
                  <c:v>44337</c:v>
                </c:pt>
                <c:pt idx="1258">
                  <c:v>44340</c:v>
                </c:pt>
                <c:pt idx="1259">
                  <c:v>44341</c:v>
                </c:pt>
                <c:pt idx="1260">
                  <c:v>44342</c:v>
                </c:pt>
                <c:pt idx="1261">
                  <c:v>44343</c:v>
                </c:pt>
                <c:pt idx="1262">
                  <c:v>44344</c:v>
                </c:pt>
                <c:pt idx="1263">
                  <c:v>44347</c:v>
                </c:pt>
                <c:pt idx="1264">
                  <c:v>44348</c:v>
                </c:pt>
                <c:pt idx="1265">
                  <c:v>44349</c:v>
                </c:pt>
                <c:pt idx="1266">
                  <c:v>44350</c:v>
                </c:pt>
                <c:pt idx="1267">
                  <c:v>44351</c:v>
                </c:pt>
                <c:pt idx="1268">
                  <c:v>44354</c:v>
                </c:pt>
                <c:pt idx="1269">
                  <c:v>44355</c:v>
                </c:pt>
                <c:pt idx="1270">
                  <c:v>44356</c:v>
                </c:pt>
                <c:pt idx="1271">
                  <c:v>44357</c:v>
                </c:pt>
                <c:pt idx="1272">
                  <c:v>44358</c:v>
                </c:pt>
                <c:pt idx="1273">
                  <c:v>44362</c:v>
                </c:pt>
                <c:pt idx="1274">
                  <c:v>44363</c:v>
                </c:pt>
                <c:pt idx="1275">
                  <c:v>44364</c:v>
                </c:pt>
                <c:pt idx="1276">
                  <c:v>44365</c:v>
                </c:pt>
                <c:pt idx="1277">
                  <c:v>44368</c:v>
                </c:pt>
                <c:pt idx="1278">
                  <c:v>44369</c:v>
                </c:pt>
                <c:pt idx="1279">
                  <c:v>44370</c:v>
                </c:pt>
                <c:pt idx="1280">
                  <c:v>44371</c:v>
                </c:pt>
                <c:pt idx="1281">
                  <c:v>44372</c:v>
                </c:pt>
                <c:pt idx="1282">
                  <c:v>44375</c:v>
                </c:pt>
                <c:pt idx="1283">
                  <c:v>44376</c:v>
                </c:pt>
                <c:pt idx="1284">
                  <c:v>44377</c:v>
                </c:pt>
                <c:pt idx="1285">
                  <c:v>44378</c:v>
                </c:pt>
                <c:pt idx="1286">
                  <c:v>44379</c:v>
                </c:pt>
                <c:pt idx="1287">
                  <c:v>44382</c:v>
                </c:pt>
                <c:pt idx="1288">
                  <c:v>44383</c:v>
                </c:pt>
                <c:pt idx="1289">
                  <c:v>44384</c:v>
                </c:pt>
                <c:pt idx="1290">
                  <c:v>44385</c:v>
                </c:pt>
                <c:pt idx="1291">
                  <c:v>44386</c:v>
                </c:pt>
                <c:pt idx="1292">
                  <c:v>44389</c:v>
                </c:pt>
                <c:pt idx="1293">
                  <c:v>44390</c:v>
                </c:pt>
                <c:pt idx="1294">
                  <c:v>44391</c:v>
                </c:pt>
                <c:pt idx="1295">
                  <c:v>44392</c:v>
                </c:pt>
                <c:pt idx="1296">
                  <c:v>44393</c:v>
                </c:pt>
                <c:pt idx="1297">
                  <c:v>44396</c:v>
                </c:pt>
                <c:pt idx="1298">
                  <c:v>44397</c:v>
                </c:pt>
                <c:pt idx="1299">
                  <c:v>44398</c:v>
                </c:pt>
                <c:pt idx="1300">
                  <c:v>44399</c:v>
                </c:pt>
                <c:pt idx="1301">
                  <c:v>44400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</c:numCache>
            </c:numRef>
          </c:cat>
          <c:val>
            <c:numRef>
              <c:f>vix!vix_full</c:f>
              <c:numCache>
                <c:formatCode>General</c:formatCode>
                <c:ptCount val="1307"/>
                <c:pt idx="0">
                  <c:v>31.623688251502621</c:v>
                </c:pt>
                <c:pt idx="1">
                  <c:v>33.109723464132493</c:v>
                </c:pt>
                <c:pt idx="2">
                  <c:v>33.510247036645893</c:v>
                </c:pt>
                <c:pt idx="3">
                  <c:v>31.78476022569475</c:v>
                </c:pt>
                <c:pt idx="4">
                  <c:v>29.333649849464901</c:v>
                </c:pt>
                <c:pt idx="5">
                  <c:v>27.955452660453009</c:v>
                </c:pt>
                <c:pt idx="6">
                  <c:v>28.080941833613579</c:v>
                </c:pt>
                <c:pt idx="7">
                  <c:v>27.443079078309911</c:v>
                </c:pt>
                <c:pt idx="8">
                  <c:v>27.780653625453699</c:v>
                </c:pt>
                <c:pt idx="9">
                  <c:v>27.2884412296665</c:v>
                </c:pt>
                <c:pt idx="10">
                  <c:v>26.841245563903492</c:v>
                </c:pt>
                <c:pt idx="11">
                  <c:v>26.816994047880751</c:v>
                </c:pt>
                <c:pt idx="12">
                  <c:v>25.62536652433111</c:v>
                </c:pt>
                <c:pt idx="13">
                  <c:v>24.530404634603471</c:v>
                </c:pt>
                <c:pt idx="14">
                  <c:v>24.220405707429361</c:v>
                </c:pt>
                <c:pt idx="15">
                  <c:v>23.49560565089368</c:v>
                </c:pt>
                <c:pt idx="16">
                  <c:v>23.364200461883879</c:v>
                </c:pt>
                <c:pt idx="17">
                  <c:v>22.819188266364911</c:v>
                </c:pt>
                <c:pt idx="18">
                  <c:v>22.84552001734486</c:v>
                </c:pt>
                <c:pt idx="19">
                  <c:v>23.051981009197782</c:v>
                </c:pt>
                <c:pt idx="20">
                  <c:v>22.388121041411491</c:v>
                </c:pt>
                <c:pt idx="21">
                  <c:v>24.29937538603161</c:v>
                </c:pt>
                <c:pt idx="22">
                  <c:v>23.402681223472889</c:v>
                </c:pt>
                <c:pt idx="23">
                  <c:v>22.59346843618497</c:v>
                </c:pt>
                <c:pt idx="24">
                  <c:v>22.071992961762291</c:v>
                </c:pt>
                <c:pt idx="25">
                  <c:v>22.460905529243171</c:v>
                </c:pt>
                <c:pt idx="26">
                  <c:v>22.431232317090341</c:v>
                </c:pt>
                <c:pt idx="27">
                  <c:v>21.428763354314881</c:v>
                </c:pt>
                <c:pt idx="28">
                  <c:v>20.630430518495949</c:v>
                </c:pt>
                <c:pt idx="29">
                  <c:v>20.582450478348111</c:v>
                </c:pt>
                <c:pt idx="30">
                  <c:v>20.040708122573069</c:v>
                </c:pt>
                <c:pt idx="31">
                  <c:v>19.73443165260306</c:v>
                </c:pt>
                <c:pt idx="32">
                  <c:v>20.445680510281601</c:v>
                </c:pt>
                <c:pt idx="33">
                  <c:v>23.11204323399858</c:v>
                </c:pt>
                <c:pt idx="34">
                  <c:v>21.971525502906641</c:v>
                </c:pt>
                <c:pt idx="35">
                  <c:v>20.60664804675255</c:v>
                </c:pt>
                <c:pt idx="36">
                  <c:v>20.678806893052919</c:v>
                </c:pt>
                <c:pt idx="37">
                  <c:v>20.019540973663901</c:v>
                </c:pt>
                <c:pt idx="38">
                  <c:v>19.7380069608501</c:v>
                </c:pt>
                <c:pt idx="39">
                  <c:v>19.292472371535681</c:v>
                </c:pt>
                <c:pt idx="40">
                  <c:v>20.947435897076961</c:v>
                </c:pt>
                <c:pt idx="41">
                  <c:v>19.811012639517099</c:v>
                </c:pt>
                <c:pt idx="42">
                  <c:v>18.698322543574559</c:v>
                </c:pt>
                <c:pt idx="43">
                  <c:v>17.053589797010641</c:v>
                </c:pt>
                <c:pt idx="44">
                  <c:v>16.833812728349208</c:v>
                </c:pt>
                <c:pt idx="45">
                  <c:v>17.51608987987753</c:v>
                </c:pt>
                <c:pt idx="46">
                  <c:v>16.050723053952719</c:v>
                </c:pt>
                <c:pt idx="47">
                  <c:v>15.5058365507911</c:v>
                </c:pt>
                <c:pt idx="48">
                  <c:v>15.83562089815149</c:v>
                </c:pt>
                <c:pt idx="49">
                  <c:v>18.25174528434292</c:v>
                </c:pt>
                <c:pt idx="50">
                  <c:v>18.15116013809811</c:v>
                </c:pt>
                <c:pt idx="51">
                  <c:v>17.8864494320866</c:v>
                </c:pt>
                <c:pt idx="52">
                  <c:v>17.987945577103979</c:v>
                </c:pt>
                <c:pt idx="53">
                  <c:v>18.139799958651381</c:v>
                </c:pt>
                <c:pt idx="54">
                  <c:v>17.964467503425841</c:v>
                </c:pt>
                <c:pt idx="55">
                  <c:v>18.245864938483731</c:v>
                </c:pt>
                <c:pt idx="56">
                  <c:v>19.501890698243081</c:v>
                </c:pt>
                <c:pt idx="57">
                  <c:v>18.972669200637831</c:v>
                </c:pt>
                <c:pt idx="58">
                  <c:v>19.782844662736242</c:v>
                </c:pt>
                <c:pt idx="59">
                  <c:v>19.27874394841816</c:v>
                </c:pt>
                <c:pt idx="60">
                  <c:v>18.3344564517264</c:v>
                </c:pt>
                <c:pt idx="61">
                  <c:v>18.496889788465371</c:v>
                </c:pt>
                <c:pt idx="62">
                  <c:v>18.114867639738371</c:v>
                </c:pt>
                <c:pt idx="63">
                  <c:v>18.423324175745481</c:v>
                </c:pt>
                <c:pt idx="64">
                  <c:v>18.62731026240127</c:v>
                </c:pt>
                <c:pt idx="65">
                  <c:v>18.728969942529861</c:v>
                </c:pt>
                <c:pt idx="66">
                  <c:v>17.47262437293104</c:v>
                </c:pt>
                <c:pt idx="67">
                  <c:v>16.64059485655843</c:v>
                </c:pt>
                <c:pt idx="68">
                  <c:v>16.109888746990318</c:v>
                </c:pt>
                <c:pt idx="69">
                  <c:v>15.72323067453836</c:v>
                </c:pt>
                <c:pt idx="70">
                  <c:v>15.44046184299336</c:v>
                </c:pt>
                <c:pt idx="71">
                  <c:v>15.342167261636691</c:v>
                </c:pt>
                <c:pt idx="72">
                  <c:v>15.857699024188589</c:v>
                </c:pt>
                <c:pt idx="73">
                  <c:v>15.833725360643371</c:v>
                </c:pt>
                <c:pt idx="74">
                  <c:v>16.464794071060641</c:v>
                </c:pt>
                <c:pt idx="75">
                  <c:v>16.44275392765195</c:v>
                </c:pt>
                <c:pt idx="76">
                  <c:v>16.221531940136678</c:v>
                </c:pt>
                <c:pt idx="77">
                  <c:v>15.8881279022856</c:v>
                </c:pt>
                <c:pt idx="78">
                  <c:v>17.001678326585239</c:v>
                </c:pt>
                <c:pt idx="79">
                  <c:v>16.763917748524619</c:v>
                </c:pt>
                <c:pt idx="80">
                  <c:v>16.879965927005081</c:v>
                </c:pt>
                <c:pt idx="81">
                  <c:v>17.597651619419711</c:v>
                </c:pt>
                <c:pt idx="82">
                  <c:v>17.541079481218841</c:v>
                </c:pt>
                <c:pt idx="83">
                  <c:v>18.954268897964202</c:v>
                </c:pt>
                <c:pt idx="84">
                  <c:v>18.730076617253641</c:v>
                </c:pt>
                <c:pt idx="85">
                  <c:v>18.186072676438119</c:v>
                </c:pt>
                <c:pt idx="86">
                  <c:v>17.10778076798907</c:v>
                </c:pt>
                <c:pt idx="87">
                  <c:v>16.578842772931939</c:v>
                </c:pt>
                <c:pt idx="88">
                  <c:v>17.275345326610989</c:v>
                </c:pt>
                <c:pt idx="89">
                  <c:v>16.154126797131031</c:v>
                </c:pt>
                <c:pt idx="90">
                  <c:v>16.04122830209981</c:v>
                </c:pt>
                <c:pt idx="91">
                  <c:v>16.10232325063598</c:v>
                </c:pt>
                <c:pt idx="92">
                  <c:v>15.60780260420964</c:v>
                </c:pt>
                <c:pt idx="93">
                  <c:v>15.213523025808049</c:v>
                </c:pt>
                <c:pt idx="94">
                  <c:v>14.850997577499321</c:v>
                </c:pt>
                <c:pt idx="95">
                  <c:v>14.58507296276073</c:v>
                </c:pt>
                <c:pt idx="96">
                  <c:v>14.488808487921631</c:v>
                </c:pt>
                <c:pt idx="97">
                  <c:v>14.053761034550311</c:v>
                </c:pt>
                <c:pt idx="98">
                  <c:v>14.090482447578619</c:v>
                </c:pt>
                <c:pt idx="99">
                  <c:v>14.22185475098518</c:v>
                </c:pt>
                <c:pt idx="100">
                  <c:v>14.24598829799428</c:v>
                </c:pt>
                <c:pt idx="101">
                  <c:v>16.428515778207011</c:v>
                </c:pt>
                <c:pt idx="102">
                  <c:v>16.629019853433441</c:v>
                </c:pt>
                <c:pt idx="103">
                  <c:v>19.738204949013159</c:v>
                </c:pt>
                <c:pt idx="104">
                  <c:v>19.855271527116859</c:v>
                </c:pt>
                <c:pt idx="105">
                  <c:v>19.747382241039929</c:v>
                </c:pt>
                <c:pt idx="106">
                  <c:v>19.19922923796123</c:v>
                </c:pt>
                <c:pt idx="107">
                  <c:v>18.583419329665379</c:v>
                </c:pt>
                <c:pt idx="108">
                  <c:v>18.369171461318778</c:v>
                </c:pt>
                <c:pt idx="109">
                  <c:v>18.218793165055359</c:v>
                </c:pt>
                <c:pt idx="110">
                  <c:v>17.90549375644019</c:v>
                </c:pt>
                <c:pt idx="111">
                  <c:v>17.511861990697589</c:v>
                </c:pt>
                <c:pt idx="112">
                  <c:v>17.426785585963142</c:v>
                </c:pt>
                <c:pt idx="113">
                  <c:v>17.715405539586861</c:v>
                </c:pt>
                <c:pt idx="114">
                  <c:v>17.71071328818088</c:v>
                </c:pt>
                <c:pt idx="115">
                  <c:v>17.670692759799021</c:v>
                </c:pt>
                <c:pt idx="116">
                  <c:v>17.56063278890651</c:v>
                </c:pt>
                <c:pt idx="117">
                  <c:v>17.35976984666668</c:v>
                </c:pt>
                <c:pt idx="118">
                  <c:v>17.389006804970482</c:v>
                </c:pt>
                <c:pt idx="119">
                  <c:v>16.955970506412541</c:v>
                </c:pt>
                <c:pt idx="120">
                  <c:v>15.9185427058393</c:v>
                </c:pt>
                <c:pt idx="121">
                  <c:v>16.138974685704369</c:v>
                </c:pt>
                <c:pt idx="122">
                  <c:v>14.931419157158039</c:v>
                </c:pt>
                <c:pt idx="123">
                  <c:v>14.918202647453681</c:v>
                </c:pt>
                <c:pt idx="124">
                  <c:v>14.762930254922839</c:v>
                </c:pt>
                <c:pt idx="125">
                  <c:v>14.36821709075668</c:v>
                </c:pt>
                <c:pt idx="126">
                  <c:v>15.644030479141261</c:v>
                </c:pt>
                <c:pt idx="127">
                  <c:v>14.49700921853943</c:v>
                </c:pt>
                <c:pt idx="128">
                  <c:v>13.94282839225839</c:v>
                </c:pt>
                <c:pt idx="129">
                  <c:v>13.497211049487211</c:v>
                </c:pt>
                <c:pt idx="130">
                  <c:v>13.75179148252683</c:v>
                </c:pt>
                <c:pt idx="131">
                  <c:v>13.86117112050859</c:v>
                </c:pt>
                <c:pt idx="132">
                  <c:v>12.55642340711438</c:v>
                </c:pt>
                <c:pt idx="133">
                  <c:v>13.634877360184881</c:v>
                </c:pt>
                <c:pt idx="134">
                  <c:v>14.0997668449454</c:v>
                </c:pt>
                <c:pt idx="135">
                  <c:v>13.45009819535314</c:v>
                </c:pt>
                <c:pt idx="136">
                  <c:v>13.455222374107001</c:v>
                </c:pt>
                <c:pt idx="137">
                  <c:v>13.163347106071839</c:v>
                </c:pt>
                <c:pt idx="138">
                  <c:v>12.59093455625869</c:v>
                </c:pt>
                <c:pt idx="139">
                  <c:v>12.37596193907024</c:v>
                </c:pt>
                <c:pt idx="140">
                  <c:v>12.46340364231707</c:v>
                </c:pt>
                <c:pt idx="141">
                  <c:v>13.96268328597499</c:v>
                </c:pt>
                <c:pt idx="142">
                  <c:v>13.34949198447122</c:v>
                </c:pt>
                <c:pt idx="143">
                  <c:v>13.11933483452251</c:v>
                </c:pt>
                <c:pt idx="144">
                  <c:v>13.24907148406561</c:v>
                </c:pt>
                <c:pt idx="145">
                  <c:v>13.523408260026541</c:v>
                </c:pt>
                <c:pt idx="146">
                  <c:v>13.79409704649377</c:v>
                </c:pt>
                <c:pt idx="147">
                  <c:v>13.474756249796391</c:v>
                </c:pt>
                <c:pt idx="148">
                  <c:v>13.58615639962024</c:v>
                </c:pt>
                <c:pt idx="149">
                  <c:v>13.62596303773525</c:v>
                </c:pt>
                <c:pt idx="150">
                  <c:v>13.803680575864989</c:v>
                </c:pt>
                <c:pt idx="151">
                  <c:v>14.20785333823701</c:v>
                </c:pt>
                <c:pt idx="152">
                  <c:v>15.06754635743777</c:v>
                </c:pt>
                <c:pt idx="153">
                  <c:v>15.169559275507151</c:v>
                </c:pt>
                <c:pt idx="154">
                  <c:v>16.297894497429709</c:v>
                </c:pt>
                <c:pt idx="155">
                  <c:v>16.036861316297841</c:v>
                </c:pt>
                <c:pt idx="156">
                  <c:v>15.635209011395929</c:v>
                </c:pt>
                <c:pt idx="157">
                  <c:v>14.199984885662969</c:v>
                </c:pt>
                <c:pt idx="158">
                  <c:v>13.83848499235024</c:v>
                </c:pt>
                <c:pt idx="159">
                  <c:v>14.451414498816799</c:v>
                </c:pt>
                <c:pt idx="160">
                  <c:v>14.42347721939783</c:v>
                </c:pt>
                <c:pt idx="161">
                  <c:v>16.616977150197521</c:v>
                </c:pt>
                <c:pt idx="162">
                  <c:v>16.079395943459911</c:v>
                </c:pt>
                <c:pt idx="163">
                  <c:v>15.69943719838095</c:v>
                </c:pt>
                <c:pt idx="164">
                  <c:v>14.582351082490931</c:v>
                </c:pt>
                <c:pt idx="165">
                  <c:v>15.201093706449219</c:v>
                </c:pt>
                <c:pt idx="166">
                  <c:v>15.171928866614749</c:v>
                </c:pt>
                <c:pt idx="167">
                  <c:v>14.63649373143531</c:v>
                </c:pt>
                <c:pt idx="168">
                  <c:v>14.33570482457049</c:v>
                </c:pt>
                <c:pt idx="169">
                  <c:v>15.636347820573929</c:v>
                </c:pt>
                <c:pt idx="170">
                  <c:v>14.892137601306519</c:v>
                </c:pt>
                <c:pt idx="171">
                  <c:v>16.407224469304101</c:v>
                </c:pt>
                <c:pt idx="172">
                  <c:v>15.83525946149155</c:v>
                </c:pt>
                <c:pt idx="173">
                  <c:v>16.193050606248519</c:v>
                </c:pt>
                <c:pt idx="174">
                  <c:v>16.331891599146541</c:v>
                </c:pt>
                <c:pt idx="175">
                  <c:v>15.67643835672612</c:v>
                </c:pt>
                <c:pt idx="176">
                  <c:v>15.137879990648109</c:v>
                </c:pt>
                <c:pt idx="177">
                  <c:v>14.13064003886206</c:v>
                </c:pt>
                <c:pt idx="178">
                  <c:v>14.55246313832513</c:v>
                </c:pt>
                <c:pt idx="179">
                  <c:v>15.42049943194008</c:v>
                </c:pt>
                <c:pt idx="180">
                  <c:v>15.4354862150157</c:v>
                </c:pt>
                <c:pt idx="181">
                  <c:v>15.858116696586601</c:v>
                </c:pt>
                <c:pt idx="182">
                  <c:v>17.178869624688179</c:v>
                </c:pt>
                <c:pt idx="183">
                  <c:v>16.461067647478639</c:v>
                </c:pt>
                <c:pt idx="184">
                  <c:v>16.589610696144099</c:v>
                </c:pt>
                <c:pt idx="185">
                  <c:v>17.726608490695511</c:v>
                </c:pt>
                <c:pt idx="186">
                  <c:v>18.305800639389592</c:v>
                </c:pt>
                <c:pt idx="187">
                  <c:v>18.36699368874056</c:v>
                </c:pt>
                <c:pt idx="188">
                  <c:v>17.677256653196221</c:v>
                </c:pt>
                <c:pt idx="189">
                  <c:v>17.33412128472969</c:v>
                </c:pt>
                <c:pt idx="190">
                  <c:v>18.02901354727139</c:v>
                </c:pt>
                <c:pt idx="191">
                  <c:v>17.895475386005359</c:v>
                </c:pt>
                <c:pt idx="192">
                  <c:v>16.97853809554708</c:v>
                </c:pt>
                <c:pt idx="193">
                  <c:v>16.86438639808669</c:v>
                </c:pt>
                <c:pt idx="194">
                  <c:v>15.87418225378409</c:v>
                </c:pt>
                <c:pt idx="195">
                  <c:v>14.75034768428756</c:v>
                </c:pt>
                <c:pt idx="196">
                  <c:v>14.7391674277369</c:v>
                </c:pt>
                <c:pt idx="197">
                  <c:v>14.4765760036163</c:v>
                </c:pt>
                <c:pt idx="198">
                  <c:v>14.14138757087451</c:v>
                </c:pt>
                <c:pt idx="199">
                  <c:v>13.829717403769941</c:v>
                </c:pt>
                <c:pt idx="200">
                  <c:v>13.768315332198449</c:v>
                </c:pt>
                <c:pt idx="201">
                  <c:v>13.56887382326151</c:v>
                </c:pt>
                <c:pt idx="202">
                  <c:v>13.294660693053411</c:v>
                </c:pt>
                <c:pt idx="203">
                  <c:v>13.32489204145041</c:v>
                </c:pt>
                <c:pt idx="204">
                  <c:v>12.31574559073319</c:v>
                </c:pt>
                <c:pt idx="205">
                  <c:v>13.12169372144397</c:v>
                </c:pt>
                <c:pt idx="206">
                  <c:v>12.85892444775347</c:v>
                </c:pt>
                <c:pt idx="207">
                  <c:v>12.277738728104129</c:v>
                </c:pt>
                <c:pt idx="208">
                  <c:v>11.664391585413791</c:v>
                </c:pt>
                <c:pt idx="209">
                  <c:v>11.636713660183799</c:v>
                </c:pt>
                <c:pt idx="210">
                  <c:v>11.43827919959177</c:v>
                </c:pt>
                <c:pt idx="211">
                  <c:v>11.32427967085302</c:v>
                </c:pt>
                <c:pt idx="212">
                  <c:v>12.43487523198786</c:v>
                </c:pt>
                <c:pt idx="213">
                  <c:v>12.52273574674413</c:v>
                </c:pt>
                <c:pt idx="214">
                  <c:v>11.92470872837098</c:v>
                </c:pt>
                <c:pt idx="215">
                  <c:v>12.785552255587749</c:v>
                </c:pt>
                <c:pt idx="216">
                  <c:v>12.617635450570949</c:v>
                </c:pt>
                <c:pt idx="217">
                  <c:v>12.446372925639951</c:v>
                </c:pt>
                <c:pt idx="218">
                  <c:v>12.07005674000929</c:v>
                </c:pt>
                <c:pt idx="219">
                  <c:v>11.375833654723021</c:v>
                </c:pt>
                <c:pt idx="220">
                  <c:v>11.94092878753251</c:v>
                </c:pt>
                <c:pt idx="221">
                  <c:v>11.91046190918153</c:v>
                </c:pt>
                <c:pt idx="222">
                  <c:v>12.220626695627439</c:v>
                </c:pt>
                <c:pt idx="223">
                  <c:v>12.084440001575169</c:v>
                </c:pt>
                <c:pt idx="224">
                  <c:v>12.298376370152591</c:v>
                </c:pt>
                <c:pt idx="225">
                  <c:v>11.89446229892439</c:v>
                </c:pt>
                <c:pt idx="226">
                  <c:v>11.056038900900489</c:v>
                </c:pt>
                <c:pt idx="227">
                  <c:v>11.2159209276523</c:v>
                </c:pt>
                <c:pt idx="228">
                  <c:v>11.992309903717469</c:v>
                </c:pt>
                <c:pt idx="229">
                  <c:v>11.941096737068269</c:v>
                </c:pt>
                <c:pt idx="230">
                  <c:v>11.71435174937954</c:v>
                </c:pt>
                <c:pt idx="231">
                  <c:v>12.033117036021</c:v>
                </c:pt>
                <c:pt idx="232">
                  <c:v>11.228573197366501</c:v>
                </c:pt>
                <c:pt idx="233">
                  <c:v>11.686121238638741</c:v>
                </c:pt>
                <c:pt idx="234">
                  <c:v>11.60488198289303</c:v>
                </c:pt>
                <c:pt idx="235">
                  <c:v>10.801592896326071</c:v>
                </c:pt>
                <c:pt idx="236">
                  <c:v>10.45551941560468</c:v>
                </c:pt>
                <c:pt idx="237">
                  <c:v>10.202641830166289</c:v>
                </c:pt>
                <c:pt idx="238">
                  <c:v>10.63911497975025</c:v>
                </c:pt>
                <c:pt idx="239">
                  <c:v>10.716091860494</c:v>
                </c:pt>
                <c:pt idx="240">
                  <c:v>13.102313948207231</c:v>
                </c:pt>
                <c:pt idx="241">
                  <c:v>12.09506885024587</c:v>
                </c:pt>
                <c:pt idx="242">
                  <c:v>11.602636595833779</c:v>
                </c:pt>
                <c:pt idx="243">
                  <c:v>11.163145560159339</c:v>
                </c:pt>
                <c:pt idx="244">
                  <c:v>11.07539992288063</c:v>
                </c:pt>
                <c:pt idx="245">
                  <c:v>10.848373654313271</c:v>
                </c:pt>
                <c:pt idx="246">
                  <c:v>10.012598071261991</c:v>
                </c:pt>
                <c:pt idx="247">
                  <c:v>9.8934650691040371</c:v>
                </c:pt>
                <c:pt idx="248">
                  <c:v>10.25771135868764</c:v>
                </c:pt>
                <c:pt idx="249">
                  <c:v>10.351078448884911</c:v>
                </c:pt>
                <c:pt idx="250">
                  <c:v>10.03904773911875</c:v>
                </c:pt>
                <c:pt idx="251">
                  <c:v>9.9061381156062023</c:v>
                </c:pt>
                <c:pt idx="252">
                  <c:v>9.6546870549313386</c:v>
                </c:pt>
                <c:pt idx="253">
                  <c:v>10.073461338745391</c:v>
                </c:pt>
                <c:pt idx="254">
                  <c:v>10.09320360489334</c:v>
                </c:pt>
                <c:pt idx="255">
                  <c:v>10.05595525801729</c:v>
                </c:pt>
                <c:pt idx="256">
                  <c:v>10.12526896852447</c:v>
                </c:pt>
                <c:pt idx="257">
                  <c:v>9.9812646521542163</c:v>
                </c:pt>
                <c:pt idx="258">
                  <c:v>9.9934992483600489</c:v>
                </c:pt>
                <c:pt idx="259">
                  <c:v>9.9889169534773909</c:v>
                </c:pt>
                <c:pt idx="260">
                  <c:v>10.4221912825689</c:v>
                </c:pt>
                <c:pt idx="261">
                  <c:v>10.252236772940851</c:v>
                </c:pt>
                <c:pt idx="262">
                  <c:v>10.260013580454901</c:v>
                </c:pt>
                <c:pt idx="263">
                  <c:v>11.282070144428261</c:v>
                </c:pt>
                <c:pt idx="264">
                  <c:v>10.85072144388444</c:v>
                </c:pt>
                <c:pt idx="265">
                  <c:v>10.193799251208111</c:v>
                </c:pt>
                <c:pt idx="266">
                  <c:v>10.078099390201031</c:v>
                </c:pt>
                <c:pt idx="267">
                  <c:v>9.6693574740410728</c:v>
                </c:pt>
                <c:pt idx="268">
                  <c:v>9.2938984549308792</c:v>
                </c:pt>
                <c:pt idx="269">
                  <c:v>9.0999381428499539</c:v>
                </c:pt>
                <c:pt idx="270">
                  <c:v>9.1333424962565779</c:v>
                </c:pt>
                <c:pt idx="271">
                  <c:v>9.0985515063978557</c:v>
                </c:pt>
                <c:pt idx="272">
                  <c:v>9.0691141317031647</c:v>
                </c:pt>
                <c:pt idx="273">
                  <c:v>9.015974808563973</c:v>
                </c:pt>
                <c:pt idx="274">
                  <c:v>9.3061443793011893</c:v>
                </c:pt>
                <c:pt idx="275">
                  <c:v>9.2596523648081757</c:v>
                </c:pt>
                <c:pt idx="276">
                  <c:v>8.8550888964331911</c:v>
                </c:pt>
                <c:pt idx="277">
                  <c:v>8.37953600845103</c:v>
                </c:pt>
                <c:pt idx="278">
                  <c:v>8.3181070547652745</c:v>
                </c:pt>
                <c:pt idx="279">
                  <c:v>8.7299775488917284</c:v>
                </c:pt>
                <c:pt idx="280">
                  <c:v>8.8699672317829137</c:v>
                </c:pt>
                <c:pt idx="281">
                  <c:v>8.6673045629419718</c:v>
                </c:pt>
                <c:pt idx="282">
                  <c:v>9.9199659694098177</c:v>
                </c:pt>
                <c:pt idx="283">
                  <c:v>9.9094154419148062</c:v>
                </c:pt>
                <c:pt idx="284">
                  <c:v>10.03583534615662</c:v>
                </c:pt>
                <c:pt idx="285">
                  <c:v>9.4044908174481243</c:v>
                </c:pt>
                <c:pt idx="286">
                  <c:v>9.4019907767168185</c:v>
                </c:pt>
                <c:pt idx="287">
                  <c:v>9.3718947723786119</c:v>
                </c:pt>
                <c:pt idx="288">
                  <c:v>13.1335342891383</c:v>
                </c:pt>
                <c:pt idx="289">
                  <c:v>11.37150121139625</c:v>
                </c:pt>
                <c:pt idx="290">
                  <c:v>12.02143428558554</c:v>
                </c:pt>
                <c:pt idx="291">
                  <c:v>12.12280821839172</c:v>
                </c:pt>
                <c:pt idx="292">
                  <c:v>12.6228572184767</c:v>
                </c:pt>
                <c:pt idx="293">
                  <c:v>11.83721309498763</c:v>
                </c:pt>
                <c:pt idx="294">
                  <c:v>12.388610227338511</c:v>
                </c:pt>
                <c:pt idx="295">
                  <c:v>13.524383717242671</c:v>
                </c:pt>
                <c:pt idx="296">
                  <c:v>14.18423254284024</c:v>
                </c:pt>
                <c:pt idx="297">
                  <c:v>14.95243881400709</c:v>
                </c:pt>
                <c:pt idx="298">
                  <c:v>15.399513299982489</c:v>
                </c:pt>
                <c:pt idx="299">
                  <c:v>15.03984202363489</c:v>
                </c:pt>
                <c:pt idx="300">
                  <c:v>14.257857976395981</c:v>
                </c:pt>
                <c:pt idx="301">
                  <c:v>13.76972552025426</c:v>
                </c:pt>
                <c:pt idx="302">
                  <c:v>13.202928934687129</c:v>
                </c:pt>
                <c:pt idx="303">
                  <c:v>13.71607741722619</c:v>
                </c:pt>
                <c:pt idx="304">
                  <c:v>13.8833257524937</c:v>
                </c:pt>
                <c:pt idx="305">
                  <c:v>14.316070978727501</c:v>
                </c:pt>
                <c:pt idx="306">
                  <c:v>14.50144370869323</c:v>
                </c:pt>
                <c:pt idx="307">
                  <c:v>14.59119617946844</c:v>
                </c:pt>
                <c:pt idx="308">
                  <c:v>15.3855108430129</c:v>
                </c:pt>
                <c:pt idx="309">
                  <c:v>14.86314224536266</c:v>
                </c:pt>
                <c:pt idx="310">
                  <c:v>15.04977079141141</c:v>
                </c:pt>
                <c:pt idx="311">
                  <c:v>14.473910541955661</c:v>
                </c:pt>
                <c:pt idx="312">
                  <c:v>14.409003845190981</c:v>
                </c:pt>
                <c:pt idx="313">
                  <c:v>13.94141752802048</c:v>
                </c:pt>
                <c:pt idx="314">
                  <c:v>13.124499189891109</c:v>
                </c:pt>
                <c:pt idx="315">
                  <c:v>14.23705336411278</c:v>
                </c:pt>
                <c:pt idx="316">
                  <c:v>13.828502046775579</c:v>
                </c:pt>
                <c:pt idx="317">
                  <c:v>13.88124187835199</c:v>
                </c:pt>
                <c:pt idx="318">
                  <c:v>13.90428207965245</c:v>
                </c:pt>
                <c:pt idx="319">
                  <c:v>13.734527115930369</c:v>
                </c:pt>
                <c:pt idx="320">
                  <c:v>14.78084159351334</c:v>
                </c:pt>
                <c:pt idx="321">
                  <c:v>14.791152785770549</c:v>
                </c:pt>
                <c:pt idx="322">
                  <c:v>15.77438433670096</c:v>
                </c:pt>
                <c:pt idx="323">
                  <c:v>17.354942806262709</c:v>
                </c:pt>
                <c:pt idx="324">
                  <c:v>16.930518337044479</c:v>
                </c:pt>
                <c:pt idx="325">
                  <c:v>17.245708260786959</c:v>
                </c:pt>
                <c:pt idx="326">
                  <c:v>18.320908641345909</c:v>
                </c:pt>
                <c:pt idx="327">
                  <c:v>16.95183496306997</c:v>
                </c:pt>
                <c:pt idx="328">
                  <c:v>15.71826505417914</c:v>
                </c:pt>
                <c:pt idx="329">
                  <c:v>15.39140548230824</c:v>
                </c:pt>
                <c:pt idx="330">
                  <c:v>15.94952716816282</c:v>
                </c:pt>
                <c:pt idx="331">
                  <c:v>15.88858720110729</c:v>
                </c:pt>
                <c:pt idx="332">
                  <c:v>15.57472042405543</c:v>
                </c:pt>
                <c:pt idx="333">
                  <c:v>15.75842769624567</c:v>
                </c:pt>
                <c:pt idx="334">
                  <c:v>15.071414759615489</c:v>
                </c:pt>
                <c:pt idx="335">
                  <c:v>14.83629875483051</c:v>
                </c:pt>
                <c:pt idx="336">
                  <c:v>15.276733936663829</c:v>
                </c:pt>
                <c:pt idx="337">
                  <c:v>14.952700230169111</c:v>
                </c:pt>
                <c:pt idx="338">
                  <c:v>15.37735300835778</c:v>
                </c:pt>
                <c:pt idx="339">
                  <c:v>15.016042608018131</c:v>
                </c:pt>
                <c:pt idx="340">
                  <c:v>14.262314886144891</c:v>
                </c:pt>
                <c:pt idx="341">
                  <c:v>13.69574297654961</c:v>
                </c:pt>
                <c:pt idx="342">
                  <c:v>14.612302844405949</c:v>
                </c:pt>
                <c:pt idx="343">
                  <c:v>14.26767533053305</c:v>
                </c:pt>
                <c:pt idx="344">
                  <c:v>14.011074166841571</c:v>
                </c:pt>
                <c:pt idx="345">
                  <c:v>16.30507008875167</c:v>
                </c:pt>
                <c:pt idx="346">
                  <c:v>16.016218645201789</c:v>
                </c:pt>
                <c:pt idx="347">
                  <c:v>15.55089359764338</c:v>
                </c:pt>
                <c:pt idx="348">
                  <c:v>14.55124763276544</c:v>
                </c:pt>
                <c:pt idx="349">
                  <c:v>13.678296887987891</c:v>
                </c:pt>
                <c:pt idx="350">
                  <c:v>14.17726159854573</c:v>
                </c:pt>
                <c:pt idx="351">
                  <c:v>13.61314312311068</c:v>
                </c:pt>
                <c:pt idx="352">
                  <c:v>14.51298522770697</c:v>
                </c:pt>
                <c:pt idx="353">
                  <c:v>14.333271880305951</c:v>
                </c:pt>
                <c:pt idx="354">
                  <c:v>14.94741594962912</c:v>
                </c:pt>
                <c:pt idx="355">
                  <c:v>14.674779488211041</c:v>
                </c:pt>
                <c:pt idx="356">
                  <c:v>14.6018732066489</c:v>
                </c:pt>
                <c:pt idx="357">
                  <c:v>14.515363143792159</c:v>
                </c:pt>
                <c:pt idx="358">
                  <c:v>15.01886253660553</c:v>
                </c:pt>
                <c:pt idx="359">
                  <c:v>15.00880919770445</c:v>
                </c:pt>
                <c:pt idx="360">
                  <c:v>15.23699243583914</c:v>
                </c:pt>
                <c:pt idx="361">
                  <c:v>14.715286979593101</c:v>
                </c:pt>
                <c:pt idx="362">
                  <c:v>14.46853201430546</c:v>
                </c:pt>
                <c:pt idx="363">
                  <c:v>15.118778107566261</c:v>
                </c:pt>
                <c:pt idx="364">
                  <c:v>15.186128589846071</c:v>
                </c:pt>
                <c:pt idx="365">
                  <c:v>15.31460969473398</c:v>
                </c:pt>
                <c:pt idx="366">
                  <c:v>14.074962517045639</c:v>
                </c:pt>
                <c:pt idx="367">
                  <c:v>13.62557067215859</c:v>
                </c:pt>
                <c:pt idx="368">
                  <c:v>13.713636165193771</c:v>
                </c:pt>
                <c:pt idx="369">
                  <c:v>12.954142969640509</c:v>
                </c:pt>
                <c:pt idx="370">
                  <c:v>13.77376034376344</c:v>
                </c:pt>
                <c:pt idx="371">
                  <c:v>13.58537120505189</c:v>
                </c:pt>
                <c:pt idx="372">
                  <c:v>13.210718190737181</c:v>
                </c:pt>
                <c:pt idx="373">
                  <c:v>12.83274463164115</c:v>
                </c:pt>
                <c:pt idx="374">
                  <c:v>12.73177834914406</c:v>
                </c:pt>
                <c:pt idx="375">
                  <c:v>12.319727421213431</c:v>
                </c:pt>
                <c:pt idx="376">
                  <c:v>10.5379434539787</c:v>
                </c:pt>
                <c:pt idx="377">
                  <c:v>10.94404806094858</c:v>
                </c:pt>
                <c:pt idx="378">
                  <c:v>11.595945301334091</c:v>
                </c:pt>
                <c:pt idx="379">
                  <c:v>11.65024761701852</c:v>
                </c:pt>
                <c:pt idx="380">
                  <c:v>11.065421117293649</c:v>
                </c:pt>
                <c:pt idx="381">
                  <c:v>10.688480723897371</c:v>
                </c:pt>
                <c:pt idx="382">
                  <c:v>10.67229908945697</c:v>
                </c:pt>
                <c:pt idx="383">
                  <c:v>10.55918007977262</c:v>
                </c:pt>
                <c:pt idx="384">
                  <c:v>10.65718867280488</c:v>
                </c:pt>
                <c:pt idx="385">
                  <c:v>11.068147862460661</c:v>
                </c:pt>
                <c:pt idx="386">
                  <c:v>11.11188038939366</c:v>
                </c:pt>
                <c:pt idx="387">
                  <c:v>10.973182377604511</c:v>
                </c:pt>
                <c:pt idx="388">
                  <c:v>10.332192103328801</c:v>
                </c:pt>
                <c:pt idx="389">
                  <c:v>11.59062189525544</c:v>
                </c:pt>
                <c:pt idx="390">
                  <c:v>11.35987768210275</c:v>
                </c:pt>
                <c:pt idx="391">
                  <c:v>11.166169944383491</c:v>
                </c:pt>
                <c:pt idx="392">
                  <c:v>10.723671434705491</c:v>
                </c:pt>
                <c:pt idx="393">
                  <c:v>11.59986299255762</c:v>
                </c:pt>
                <c:pt idx="394">
                  <c:v>10.94882738741879</c:v>
                </c:pt>
                <c:pt idx="395">
                  <c:v>10.63930204799825</c:v>
                </c:pt>
                <c:pt idx="396">
                  <c:v>10.577392779453721</c:v>
                </c:pt>
                <c:pt idx="397">
                  <c:v>10.41753193915253</c:v>
                </c:pt>
                <c:pt idx="398">
                  <c:v>10.692022527062351</c:v>
                </c:pt>
                <c:pt idx="399">
                  <c:v>10.419072344206061</c:v>
                </c:pt>
                <c:pt idx="400">
                  <c:v>10.762597011547751</c:v>
                </c:pt>
                <c:pt idx="401">
                  <c:v>10.871533191888419</c:v>
                </c:pt>
                <c:pt idx="402">
                  <c:v>11.43970161956536</c:v>
                </c:pt>
                <c:pt idx="403">
                  <c:v>11.5329734083675</c:v>
                </c:pt>
                <c:pt idx="404">
                  <c:v>12.22961303945444</c:v>
                </c:pt>
                <c:pt idx="405">
                  <c:v>14.5785860523051</c:v>
                </c:pt>
                <c:pt idx="406">
                  <c:v>14.08349461405629</c:v>
                </c:pt>
                <c:pt idx="407">
                  <c:v>14.614407687366841</c:v>
                </c:pt>
                <c:pt idx="408">
                  <c:v>16.202636221515331</c:v>
                </c:pt>
                <c:pt idx="409">
                  <c:v>15.965757141484969</c:v>
                </c:pt>
                <c:pt idx="410">
                  <c:v>16.602157588636128</c:v>
                </c:pt>
                <c:pt idx="411">
                  <c:v>17.162949713612079</c:v>
                </c:pt>
                <c:pt idx="412">
                  <c:v>17.761532890788349</c:v>
                </c:pt>
                <c:pt idx="413">
                  <c:v>18.053514959359209</c:v>
                </c:pt>
                <c:pt idx="414">
                  <c:v>17.762268685619521</c:v>
                </c:pt>
                <c:pt idx="415">
                  <c:v>18.281554966952552</c:v>
                </c:pt>
                <c:pt idx="416">
                  <c:v>19.056763548511341</c:v>
                </c:pt>
                <c:pt idx="417">
                  <c:v>20.174754895268212</c:v>
                </c:pt>
                <c:pt idx="418">
                  <c:v>17.92168051317805</c:v>
                </c:pt>
                <c:pt idx="419">
                  <c:v>17.240906347720891</c:v>
                </c:pt>
                <c:pt idx="420">
                  <c:v>17.693960300892542</c:v>
                </c:pt>
                <c:pt idx="421">
                  <c:v>16.623884932549299</c:v>
                </c:pt>
                <c:pt idx="422">
                  <c:v>16.195217601441851</c:v>
                </c:pt>
                <c:pt idx="423">
                  <c:v>16.170753556915209</c:v>
                </c:pt>
                <c:pt idx="424">
                  <c:v>16.20435112061126</c:v>
                </c:pt>
                <c:pt idx="425">
                  <c:v>15.958274614814361</c:v>
                </c:pt>
                <c:pt idx="426">
                  <c:v>15.85777005226806</c:v>
                </c:pt>
                <c:pt idx="427">
                  <c:v>15.31685397154361</c:v>
                </c:pt>
                <c:pt idx="428">
                  <c:v>16.00785559122199</c:v>
                </c:pt>
                <c:pt idx="429">
                  <c:v>15.79014921625817</c:v>
                </c:pt>
                <c:pt idx="430">
                  <c:v>17.177358719691359</c:v>
                </c:pt>
                <c:pt idx="431">
                  <c:v>17.060065235539341</c:v>
                </c:pt>
                <c:pt idx="432">
                  <c:v>16.901140500904059</c:v>
                </c:pt>
                <c:pt idx="433">
                  <c:v>16.147900698136951</c:v>
                </c:pt>
                <c:pt idx="434">
                  <c:v>16.620391110267221</c:v>
                </c:pt>
                <c:pt idx="435">
                  <c:v>17.988431763238221</c:v>
                </c:pt>
                <c:pt idx="436">
                  <c:v>15.940134136412979</c:v>
                </c:pt>
                <c:pt idx="437">
                  <c:v>14.53533992853913</c:v>
                </c:pt>
                <c:pt idx="438">
                  <c:v>14.861205539285811</c:v>
                </c:pt>
                <c:pt idx="439">
                  <c:v>14.5176662993611</c:v>
                </c:pt>
                <c:pt idx="440">
                  <c:v>14.31564019524698</c:v>
                </c:pt>
                <c:pt idx="441">
                  <c:v>14.063709152501669</c:v>
                </c:pt>
                <c:pt idx="442">
                  <c:v>14.7379821345185</c:v>
                </c:pt>
                <c:pt idx="443">
                  <c:v>13.991930109946001</c:v>
                </c:pt>
                <c:pt idx="444">
                  <c:v>14.2103510602517</c:v>
                </c:pt>
                <c:pt idx="445">
                  <c:v>14.55818758875335</c:v>
                </c:pt>
                <c:pt idx="446">
                  <c:v>14.28123949930484</c:v>
                </c:pt>
                <c:pt idx="447">
                  <c:v>15.52952284098459</c:v>
                </c:pt>
                <c:pt idx="448">
                  <c:v>16.07758444912238</c:v>
                </c:pt>
                <c:pt idx="449">
                  <c:v>19.742317336498228</c:v>
                </c:pt>
                <c:pt idx="450">
                  <c:v>22.093193970352608</c:v>
                </c:pt>
                <c:pt idx="451">
                  <c:v>21.8176992402827</c:v>
                </c:pt>
                <c:pt idx="452">
                  <c:v>20.97584419194305</c:v>
                </c:pt>
                <c:pt idx="453">
                  <c:v>21.138696394999371</c:v>
                </c:pt>
                <c:pt idx="454">
                  <c:v>22.742225347850219</c:v>
                </c:pt>
                <c:pt idx="455">
                  <c:v>20.00155679019603</c:v>
                </c:pt>
                <c:pt idx="456">
                  <c:v>17.961445145899742</c:v>
                </c:pt>
                <c:pt idx="457">
                  <c:v>18.501230015576549</c:v>
                </c:pt>
                <c:pt idx="458">
                  <c:v>16.10278725580233</c:v>
                </c:pt>
                <c:pt idx="459">
                  <c:v>17.169027360149428</c:v>
                </c:pt>
                <c:pt idx="460">
                  <c:v>16.783801700618611</c:v>
                </c:pt>
                <c:pt idx="461">
                  <c:v>17.041038680986858</c:v>
                </c:pt>
                <c:pt idx="462">
                  <c:v>18.57349466611193</c:v>
                </c:pt>
                <c:pt idx="463">
                  <c:v>22.280661241804211</c:v>
                </c:pt>
                <c:pt idx="464">
                  <c:v>24.275213012407232</c:v>
                </c:pt>
                <c:pt idx="465">
                  <c:v>25.922689014796301</c:v>
                </c:pt>
                <c:pt idx="466">
                  <c:v>34.845078446398539</c:v>
                </c:pt>
                <c:pt idx="467">
                  <c:v>29.401617210012969</c:v>
                </c:pt>
                <c:pt idx="468">
                  <c:v>28.458678428643069</c:v>
                </c:pt>
                <c:pt idx="469">
                  <c:v>28.08259783543302</c:v>
                </c:pt>
                <c:pt idx="470">
                  <c:v>28.017950941372479</c:v>
                </c:pt>
                <c:pt idx="471">
                  <c:v>25.007601129732421</c:v>
                </c:pt>
                <c:pt idx="472">
                  <c:v>24.48491953505933</c:v>
                </c:pt>
                <c:pt idx="473">
                  <c:v>25.731960766550639</c:v>
                </c:pt>
                <c:pt idx="474">
                  <c:v>26.120661356434841</c:v>
                </c:pt>
                <c:pt idx="475">
                  <c:v>23.93014053920891</c:v>
                </c:pt>
                <c:pt idx="476">
                  <c:v>23.745408477085579</c:v>
                </c:pt>
                <c:pt idx="477">
                  <c:v>22.328663447526409</c:v>
                </c:pt>
                <c:pt idx="478">
                  <c:v>21.066097735623991</c:v>
                </c:pt>
                <c:pt idx="479">
                  <c:v>22.00346628612083</c:v>
                </c:pt>
                <c:pt idx="480">
                  <c:v>21.07560112733843</c:v>
                </c:pt>
                <c:pt idx="481">
                  <c:v>20.52726556854407</c:v>
                </c:pt>
                <c:pt idx="482">
                  <c:v>21.410888202437171</c:v>
                </c:pt>
                <c:pt idx="483">
                  <c:v>21.83677500555596</c:v>
                </c:pt>
                <c:pt idx="484">
                  <c:v>21.074527903323819</c:v>
                </c:pt>
                <c:pt idx="485">
                  <c:v>20.510422892467719</c:v>
                </c:pt>
                <c:pt idx="486">
                  <c:v>20.849276263359769</c:v>
                </c:pt>
                <c:pt idx="487">
                  <c:v>21.031106926870649</c:v>
                </c:pt>
                <c:pt idx="488">
                  <c:v>20.896938644252948</c:v>
                </c:pt>
                <c:pt idx="489">
                  <c:v>22.91003716295403</c:v>
                </c:pt>
                <c:pt idx="490">
                  <c:v>22.373814341066609</c:v>
                </c:pt>
                <c:pt idx="491">
                  <c:v>26.2851991845986</c:v>
                </c:pt>
                <c:pt idx="492">
                  <c:v>24.771113926559099</c:v>
                </c:pt>
                <c:pt idx="493">
                  <c:v>23.739740882870048</c:v>
                </c:pt>
                <c:pt idx="494">
                  <c:v>24.902760686277929</c:v>
                </c:pt>
                <c:pt idx="495">
                  <c:v>25.072136206657191</c:v>
                </c:pt>
                <c:pt idx="496">
                  <c:v>25.022035525022311</c:v>
                </c:pt>
                <c:pt idx="497">
                  <c:v>24.79158884524907</c:v>
                </c:pt>
                <c:pt idx="498">
                  <c:v>24.704489461786341</c:v>
                </c:pt>
                <c:pt idx="499">
                  <c:v>24.450181016809399</c:v>
                </c:pt>
                <c:pt idx="500">
                  <c:v>24.98360859563639</c:v>
                </c:pt>
                <c:pt idx="501">
                  <c:v>23.456439354097238</c:v>
                </c:pt>
                <c:pt idx="502">
                  <c:v>23.95139795197743</c:v>
                </c:pt>
                <c:pt idx="503">
                  <c:v>24.38064792591938</c:v>
                </c:pt>
                <c:pt idx="504">
                  <c:v>24.66410802138336</c:v>
                </c:pt>
                <c:pt idx="505">
                  <c:v>25.543102490269771</c:v>
                </c:pt>
                <c:pt idx="506">
                  <c:v>25.64556520987831</c:v>
                </c:pt>
                <c:pt idx="507">
                  <c:v>27.10908849261601</c:v>
                </c:pt>
                <c:pt idx="508">
                  <c:v>25.18917569185831</c:v>
                </c:pt>
                <c:pt idx="509">
                  <c:v>23.984443460652869</c:v>
                </c:pt>
                <c:pt idx="510">
                  <c:v>22.853532269590261</c:v>
                </c:pt>
                <c:pt idx="511">
                  <c:v>23.100679765753171</c:v>
                </c:pt>
                <c:pt idx="512">
                  <c:v>22.78435069107832</c:v>
                </c:pt>
                <c:pt idx="513">
                  <c:v>22.95406360274411</c:v>
                </c:pt>
                <c:pt idx="514">
                  <c:v>23.759194353394172</c:v>
                </c:pt>
                <c:pt idx="515">
                  <c:v>25.421391346865569</c:v>
                </c:pt>
                <c:pt idx="516">
                  <c:v>25.629974454605279</c:v>
                </c:pt>
                <c:pt idx="517">
                  <c:v>25.953814936560729</c:v>
                </c:pt>
                <c:pt idx="518">
                  <c:v>25.645915012670709</c:v>
                </c:pt>
                <c:pt idx="519">
                  <c:v>24.5942207589441</c:v>
                </c:pt>
                <c:pt idx="520">
                  <c:v>24.066229113927839</c:v>
                </c:pt>
                <c:pt idx="521">
                  <c:v>22.678012734522799</c:v>
                </c:pt>
                <c:pt idx="522">
                  <c:v>22.236563252081169</c:v>
                </c:pt>
                <c:pt idx="523">
                  <c:v>20.88804752081748</c:v>
                </c:pt>
                <c:pt idx="524">
                  <c:v>19.945380001735831</c:v>
                </c:pt>
                <c:pt idx="525">
                  <c:v>24.060384043014739</c:v>
                </c:pt>
                <c:pt idx="526">
                  <c:v>22.184060399943402</c:v>
                </c:pt>
                <c:pt idx="527">
                  <c:v>21.313832594561571</c:v>
                </c:pt>
                <c:pt idx="528">
                  <c:v>20.167683630813059</c:v>
                </c:pt>
                <c:pt idx="529">
                  <c:v>19.68722670917969</c:v>
                </c:pt>
                <c:pt idx="530">
                  <c:v>20.042892055803989</c:v>
                </c:pt>
                <c:pt idx="531">
                  <c:v>19.015749150638051</c:v>
                </c:pt>
                <c:pt idx="532">
                  <c:v>18.74744169018317</c:v>
                </c:pt>
                <c:pt idx="533">
                  <c:v>18.14845427976331</c:v>
                </c:pt>
                <c:pt idx="534">
                  <c:v>18.59127055369078</c:v>
                </c:pt>
                <c:pt idx="535">
                  <c:v>21.514089979809739</c:v>
                </c:pt>
                <c:pt idx="536">
                  <c:v>20.298078518267339</c:v>
                </c:pt>
                <c:pt idx="537">
                  <c:v>20.42194488855813</c:v>
                </c:pt>
                <c:pt idx="538">
                  <c:v>19.394963588497351</c:v>
                </c:pt>
                <c:pt idx="539">
                  <c:v>19.126682771540061</c:v>
                </c:pt>
                <c:pt idx="540">
                  <c:v>18.769692262468471</c:v>
                </c:pt>
                <c:pt idx="541">
                  <c:v>18.17222855321695</c:v>
                </c:pt>
                <c:pt idx="542">
                  <c:v>19.452766954248489</c:v>
                </c:pt>
                <c:pt idx="543">
                  <c:v>20.124709439551989</c:v>
                </c:pt>
                <c:pt idx="544">
                  <c:v>19.028764187967418</c:v>
                </c:pt>
                <c:pt idx="545">
                  <c:v>19.38254100236983</c:v>
                </c:pt>
                <c:pt idx="546">
                  <c:v>19.786324662768031</c:v>
                </c:pt>
                <c:pt idx="547">
                  <c:v>20.238685461007741</c:v>
                </c:pt>
                <c:pt idx="548">
                  <c:v>23.939748797785018</c:v>
                </c:pt>
                <c:pt idx="549">
                  <c:v>22.95502163149072</c:v>
                </c:pt>
                <c:pt idx="550">
                  <c:v>21.402423909775031</c:v>
                </c:pt>
                <c:pt idx="551">
                  <c:v>20.735313342695019</c:v>
                </c:pt>
                <c:pt idx="552">
                  <c:v>20.884043122674051</c:v>
                </c:pt>
                <c:pt idx="553">
                  <c:v>21.32861100969285</c:v>
                </c:pt>
                <c:pt idx="554">
                  <c:v>23.028558790746029</c:v>
                </c:pt>
                <c:pt idx="555">
                  <c:v>23.559196070007431</c:v>
                </c:pt>
                <c:pt idx="556">
                  <c:v>21.8300846834601</c:v>
                </c:pt>
                <c:pt idx="557">
                  <c:v>25.54623233776903</c:v>
                </c:pt>
                <c:pt idx="558">
                  <c:v>26.332324353386539</c:v>
                </c:pt>
                <c:pt idx="559">
                  <c:v>26.9387926483092</c:v>
                </c:pt>
                <c:pt idx="560">
                  <c:v>27.262367505933248</c:v>
                </c:pt>
                <c:pt idx="561">
                  <c:v>26.230877843690401</c:v>
                </c:pt>
                <c:pt idx="562">
                  <c:v>23.623927111734321</c:v>
                </c:pt>
                <c:pt idx="563">
                  <c:v>23.53737389727516</c:v>
                </c:pt>
                <c:pt idx="564">
                  <c:v>25.61048975449571</c:v>
                </c:pt>
                <c:pt idx="565">
                  <c:v>24.063683017223919</c:v>
                </c:pt>
                <c:pt idx="566">
                  <c:v>23.841866505437078</c:v>
                </c:pt>
                <c:pt idx="567">
                  <c:v>23.672684863151069</c:v>
                </c:pt>
                <c:pt idx="568">
                  <c:v>23.220916767770468</c:v>
                </c:pt>
                <c:pt idx="569">
                  <c:v>24.046105328011269</c:v>
                </c:pt>
                <c:pt idx="570">
                  <c:v>22.854777315274099</c:v>
                </c:pt>
                <c:pt idx="571">
                  <c:v>22.347153338505539</c:v>
                </c:pt>
                <c:pt idx="572">
                  <c:v>22.509940851704339</c:v>
                </c:pt>
                <c:pt idx="573">
                  <c:v>23.78042751970586</c:v>
                </c:pt>
                <c:pt idx="574">
                  <c:v>24.01816739421848</c:v>
                </c:pt>
                <c:pt idx="575">
                  <c:v>23.190566750319149</c:v>
                </c:pt>
                <c:pt idx="576">
                  <c:v>22.13449009182337</c:v>
                </c:pt>
                <c:pt idx="577">
                  <c:v>22.507189802271672</c:v>
                </c:pt>
                <c:pt idx="578">
                  <c:v>22.41623088306007</c:v>
                </c:pt>
                <c:pt idx="579">
                  <c:v>24.180695326151451</c:v>
                </c:pt>
                <c:pt idx="580">
                  <c:v>25.170203278876041</c:v>
                </c:pt>
                <c:pt idx="581">
                  <c:v>25.252498224677002</c:v>
                </c:pt>
                <c:pt idx="582">
                  <c:v>26.056341423972579</c:v>
                </c:pt>
                <c:pt idx="583">
                  <c:v>25.564188842668589</c:v>
                </c:pt>
                <c:pt idx="584">
                  <c:v>25.80063189108898</c:v>
                </c:pt>
                <c:pt idx="585">
                  <c:v>25.724723742728539</c:v>
                </c:pt>
                <c:pt idx="586">
                  <c:v>24.954692804880491</c:v>
                </c:pt>
                <c:pt idx="587">
                  <c:v>25.6984787885809</c:v>
                </c:pt>
                <c:pt idx="588">
                  <c:v>25.577205245762801</c:v>
                </c:pt>
                <c:pt idx="589">
                  <c:v>30.587319505797591</c:v>
                </c:pt>
                <c:pt idx="590">
                  <c:v>30.548826956183749</c:v>
                </c:pt>
                <c:pt idx="591">
                  <c:v>30.317564369040561</c:v>
                </c:pt>
                <c:pt idx="592">
                  <c:v>29.674909063083</c:v>
                </c:pt>
                <c:pt idx="593">
                  <c:v>26.667837593803331</c:v>
                </c:pt>
                <c:pt idx="594">
                  <c:v>25.22642302919515</c:v>
                </c:pt>
                <c:pt idx="595">
                  <c:v>23.773195862199501</c:v>
                </c:pt>
                <c:pt idx="596">
                  <c:v>23.288492243753641</c:v>
                </c:pt>
                <c:pt idx="597">
                  <c:v>22.361424264217501</c:v>
                </c:pt>
                <c:pt idx="598">
                  <c:v>22.422462229293011</c:v>
                </c:pt>
                <c:pt idx="599">
                  <c:v>22.777775270897571</c:v>
                </c:pt>
                <c:pt idx="600">
                  <c:v>22.965912766873512</c:v>
                </c:pt>
                <c:pt idx="601">
                  <c:v>22.75247895477904</c:v>
                </c:pt>
                <c:pt idx="602">
                  <c:v>23.309717293848902</c:v>
                </c:pt>
                <c:pt idx="603">
                  <c:v>22.518173802494299</c:v>
                </c:pt>
                <c:pt idx="604">
                  <c:v>23.746022356425069</c:v>
                </c:pt>
                <c:pt idx="605">
                  <c:v>24.007406146594619</c:v>
                </c:pt>
                <c:pt idx="606">
                  <c:v>23.887618300554159</c:v>
                </c:pt>
                <c:pt idx="607">
                  <c:v>24.764769134683149</c:v>
                </c:pt>
                <c:pt idx="608">
                  <c:v>24.293322574521561</c:v>
                </c:pt>
                <c:pt idx="609">
                  <c:v>24.221223696720489</c:v>
                </c:pt>
                <c:pt idx="610">
                  <c:v>23.420081432069299</c:v>
                </c:pt>
                <c:pt idx="611">
                  <c:v>21.942189047269771</c:v>
                </c:pt>
                <c:pt idx="612">
                  <c:v>21.283104481465781</c:v>
                </c:pt>
                <c:pt idx="613">
                  <c:v>20.681099870092279</c:v>
                </c:pt>
                <c:pt idx="614">
                  <c:v>21.0474728373202</c:v>
                </c:pt>
                <c:pt idx="615">
                  <c:v>19.897500203164249</c:v>
                </c:pt>
                <c:pt idx="616">
                  <c:v>20.317029805528549</c:v>
                </c:pt>
                <c:pt idx="617">
                  <c:v>20.808916989232191</c:v>
                </c:pt>
                <c:pt idx="618">
                  <c:v>21.541045815077059</c:v>
                </c:pt>
                <c:pt idx="619">
                  <c:v>20.854092283696229</c:v>
                </c:pt>
                <c:pt idx="620">
                  <c:v>21.187025068787019</c:v>
                </c:pt>
                <c:pt idx="621">
                  <c:v>23.327739554898859</c:v>
                </c:pt>
                <c:pt idx="622">
                  <c:v>23.431713012277921</c:v>
                </c:pt>
                <c:pt idx="623">
                  <c:v>23.403974264971339</c:v>
                </c:pt>
                <c:pt idx="624">
                  <c:v>25.794422790096569</c:v>
                </c:pt>
                <c:pt idx="625">
                  <c:v>26.191303089562791</c:v>
                </c:pt>
                <c:pt idx="626">
                  <c:v>27.231954457868579</c:v>
                </c:pt>
                <c:pt idx="627">
                  <c:v>26.815893964778049</c:v>
                </c:pt>
                <c:pt idx="628">
                  <c:v>31.117603291163629</c:v>
                </c:pt>
                <c:pt idx="629">
                  <c:v>32.657225371281058</c:v>
                </c:pt>
                <c:pt idx="630">
                  <c:v>30.675598347345179</c:v>
                </c:pt>
                <c:pt idx="631">
                  <c:v>29.46566622083208</c:v>
                </c:pt>
                <c:pt idx="632">
                  <c:v>30.72100888267115</c:v>
                </c:pt>
                <c:pt idx="633">
                  <c:v>30.314570198978458</c:v>
                </c:pt>
                <c:pt idx="634">
                  <c:v>31.040699206918219</c:v>
                </c:pt>
                <c:pt idx="635">
                  <c:v>31.529506005392449</c:v>
                </c:pt>
                <c:pt idx="636">
                  <c:v>31.994770138331539</c:v>
                </c:pt>
                <c:pt idx="637">
                  <c:v>32.106083307160141</c:v>
                </c:pt>
                <c:pt idx="638">
                  <c:v>31.397480421733629</c:v>
                </c:pt>
                <c:pt idx="639">
                  <c:v>30.340136522929019</c:v>
                </c:pt>
                <c:pt idx="640">
                  <c:v>28.770628755906131</c:v>
                </c:pt>
                <c:pt idx="641">
                  <c:v>30.553858994994769</c:v>
                </c:pt>
                <c:pt idx="642">
                  <c:v>31.293740177076721</c:v>
                </c:pt>
                <c:pt idx="643">
                  <c:v>31.327076734229799</c:v>
                </c:pt>
                <c:pt idx="644">
                  <c:v>30.814538857137489</c:v>
                </c:pt>
                <c:pt idx="645">
                  <c:v>31.129915219927572</c:v>
                </c:pt>
                <c:pt idx="646">
                  <c:v>31.812305629036199</c:v>
                </c:pt>
                <c:pt idx="647">
                  <c:v>31.027218731547318</c:v>
                </c:pt>
                <c:pt idx="648">
                  <c:v>30.508956477468011</c:v>
                </c:pt>
                <c:pt idx="649">
                  <c:v>29.798738988266969</c:v>
                </c:pt>
                <c:pt idx="650">
                  <c:v>29.11534891953719</c:v>
                </c:pt>
                <c:pt idx="651">
                  <c:v>28.503186176339739</c:v>
                </c:pt>
                <c:pt idx="652">
                  <c:v>27.674891646362418</c:v>
                </c:pt>
                <c:pt idx="653">
                  <c:v>29.53725953466536</c:v>
                </c:pt>
                <c:pt idx="654">
                  <c:v>28.38488325338983</c:v>
                </c:pt>
                <c:pt idx="655">
                  <c:v>27.197470664654691</c:v>
                </c:pt>
                <c:pt idx="656">
                  <c:v>26.15388096544266</c:v>
                </c:pt>
                <c:pt idx="657">
                  <c:v>25.137632569091679</c:v>
                </c:pt>
                <c:pt idx="658">
                  <c:v>24.238379664765159</c:v>
                </c:pt>
                <c:pt idx="659">
                  <c:v>24.112378944716191</c:v>
                </c:pt>
                <c:pt idx="660">
                  <c:v>25.024584026457521</c:v>
                </c:pt>
                <c:pt idx="661">
                  <c:v>22.710209842769959</c:v>
                </c:pt>
                <c:pt idx="662">
                  <c:v>21.007159458089291</c:v>
                </c:pt>
                <c:pt idx="663">
                  <c:v>21.03267926919942</c:v>
                </c:pt>
                <c:pt idx="664">
                  <c:v>20.959933128928331</c:v>
                </c:pt>
                <c:pt idx="665">
                  <c:v>19.671787371721312</c:v>
                </c:pt>
                <c:pt idx="666">
                  <c:v>20.445611118251271</c:v>
                </c:pt>
                <c:pt idx="667">
                  <c:v>20.31672883798818</c:v>
                </c:pt>
                <c:pt idx="668">
                  <c:v>19.9567833129022</c:v>
                </c:pt>
                <c:pt idx="669">
                  <c:v>19.483612952244151</c:v>
                </c:pt>
                <c:pt idx="670">
                  <c:v>19.22849373960322</c:v>
                </c:pt>
                <c:pt idx="671">
                  <c:v>20.141776017139399</c:v>
                </c:pt>
                <c:pt idx="672">
                  <c:v>20.809419472750879</c:v>
                </c:pt>
                <c:pt idx="673">
                  <c:v>22.292468968362101</c:v>
                </c:pt>
                <c:pt idx="674">
                  <c:v>24.36270909453831</c:v>
                </c:pt>
                <c:pt idx="675">
                  <c:v>25.276576553980352</c:v>
                </c:pt>
                <c:pt idx="676">
                  <c:v>23.292619455215139</c:v>
                </c:pt>
                <c:pt idx="677">
                  <c:v>24.25933826477284</c:v>
                </c:pt>
                <c:pt idx="678">
                  <c:v>23.354601567692839</c:v>
                </c:pt>
                <c:pt idx="679">
                  <c:v>22.962593016430262</c:v>
                </c:pt>
                <c:pt idx="680">
                  <c:v>22.71143567902417</c:v>
                </c:pt>
                <c:pt idx="681">
                  <c:v>22.489782737068591</c:v>
                </c:pt>
                <c:pt idx="682">
                  <c:v>22.183181204044381</c:v>
                </c:pt>
                <c:pt idx="683">
                  <c:v>21.459107364607611</c:v>
                </c:pt>
                <c:pt idx="684">
                  <c:v>21.87839919657733</c:v>
                </c:pt>
                <c:pt idx="685">
                  <c:v>20.909635981716729</c:v>
                </c:pt>
                <c:pt idx="686">
                  <c:v>19.150140554573049</c:v>
                </c:pt>
                <c:pt idx="687">
                  <c:v>18.930312589980879</c:v>
                </c:pt>
                <c:pt idx="688">
                  <c:v>18.309981294267509</c:v>
                </c:pt>
                <c:pt idx="689">
                  <c:v>18.728139104960839</c:v>
                </c:pt>
                <c:pt idx="690">
                  <c:v>17.905542450833089</c:v>
                </c:pt>
                <c:pt idx="691">
                  <c:v>19.613730850569659</c:v>
                </c:pt>
                <c:pt idx="692">
                  <c:v>20.191103797870198</c:v>
                </c:pt>
                <c:pt idx="693">
                  <c:v>20.5056819759265</c:v>
                </c:pt>
                <c:pt idx="694">
                  <c:v>21.279348748563621</c:v>
                </c:pt>
                <c:pt idx="695">
                  <c:v>19.366860953417191</c:v>
                </c:pt>
                <c:pt idx="696">
                  <c:v>18.52025352737855</c:v>
                </c:pt>
                <c:pt idx="697">
                  <c:v>16.58613760237672</c:v>
                </c:pt>
                <c:pt idx="698">
                  <c:v>16.02074423105746</c:v>
                </c:pt>
                <c:pt idx="699">
                  <c:v>16.782977846395749</c:v>
                </c:pt>
                <c:pt idx="700">
                  <c:v>18.130443015977409</c:v>
                </c:pt>
                <c:pt idx="701">
                  <c:v>18.753245542625699</c:v>
                </c:pt>
                <c:pt idx="702">
                  <c:v>18.563115492897701</c:v>
                </c:pt>
                <c:pt idx="703">
                  <c:v>18.976205234160791</c:v>
                </c:pt>
                <c:pt idx="704">
                  <c:v>19.366827136843479</c:v>
                </c:pt>
                <c:pt idx="705">
                  <c:v>18.937783424814519</c:v>
                </c:pt>
                <c:pt idx="706">
                  <c:v>20.29252622478726</c:v>
                </c:pt>
                <c:pt idx="707">
                  <c:v>21.445352942750809</c:v>
                </c:pt>
                <c:pt idx="708">
                  <c:v>20.84255269536613</c:v>
                </c:pt>
                <c:pt idx="709">
                  <c:v>21.815422687979321</c:v>
                </c:pt>
                <c:pt idx="710">
                  <c:v>22.88913028644258</c:v>
                </c:pt>
                <c:pt idx="711">
                  <c:v>25.08985798432445</c:v>
                </c:pt>
                <c:pt idx="712">
                  <c:v>24.30809014852883</c:v>
                </c:pt>
                <c:pt idx="713">
                  <c:v>23.289600903402381</c:v>
                </c:pt>
                <c:pt idx="714">
                  <c:v>25.261186152854481</c:v>
                </c:pt>
                <c:pt idx="715">
                  <c:v>31.02340282169283</c:v>
                </c:pt>
                <c:pt idx="716">
                  <c:v>30.944777081020518</c:v>
                </c:pt>
                <c:pt idx="717">
                  <c:v>28.625924135738291</c:v>
                </c:pt>
                <c:pt idx="718">
                  <c:v>27.495178012892659</c:v>
                </c:pt>
                <c:pt idx="719">
                  <c:v>29.788762157768019</c:v>
                </c:pt>
                <c:pt idx="720">
                  <c:v>30.611598688960989</c:v>
                </c:pt>
                <c:pt idx="721">
                  <c:v>31.609122943284579</c:v>
                </c:pt>
                <c:pt idx="722">
                  <c:v>32.845386619322177</c:v>
                </c:pt>
                <c:pt idx="723">
                  <c:v>33.12570555325928</c:v>
                </c:pt>
                <c:pt idx="724">
                  <c:v>30.36865260968661</c:v>
                </c:pt>
                <c:pt idx="725">
                  <c:v>30.380847315954661</c:v>
                </c:pt>
                <c:pt idx="726">
                  <c:v>30.318702710281809</c:v>
                </c:pt>
                <c:pt idx="727">
                  <c:v>29.124976400476591</c:v>
                </c:pt>
                <c:pt idx="728">
                  <c:v>27.382673431552881</c:v>
                </c:pt>
                <c:pt idx="729">
                  <c:v>28.209251985985851</c:v>
                </c:pt>
                <c:pt idx="730">
                  <c:v>28.89716582336014</c:v>
                </c:pt>
                <c:pt idx="731">
                  <c:v>31.083076595504689</c:v>
                </c:pt>
                <c:pt idx="732">
                  <c:v>31.583097979824021</c:v>
                </c:pt>
                <c:pt idx="733">
                  <c:v>30.738924544097141</c:v>
                </c:pt>
                <c:pt idx="734">
                  <c:v>27.451609528407548</c:v>
                </c:pt>
                <c:pt idx="735">
                  <c:v>25.840598881774941</c:v>
                </c:pt>
                <c:pt idx="736">
                  <c:v>24.91989980792577</c:v>
                </c:pt>
                <c:pt idx="737">
                  <c:v>23.588198195849671</c:v>
                </c:pt>
                <c:pt idx="738">
                  <c:v>24.612871172990818</c:v>
                </c:pt>
                <c:pt idx="739">
                  <c:v>26.571415548589659</c:v>
                </c:pt>
                <c:pt idx="740">
                  <c:v>28.973229868272121</c:v>
                </c:pt>
                <c:pt idx="741">
                  <c:v>28.428855690831941</c:v>
                </c:pt>
                <c:pt idx="742">
                  <c:v>30.155555132720149</c:v>
                </c:pt>
                <c:pt idx="743">
                  <c:v>32.230984089718568</c:v>
                </c:pt>
                <c:pt idx="744">
                  <c:v>30.400608987638041</c:v>
                </c:pt>
                <c:pt idx="745">
                  <c:v>30.599384516962822</c:v>
                </c:pt>
                <c:pt idx="746">
                  <c:v>30.514397006857649</c:v>
                </c:pt>
                <c:pt idx="747">
                  <c:v>27.942686174482329</c:v>
                </c:pt>
                <c:pt idx="748">
                  <c:v>28.02957842765478</c:v>
                </c:pt>
                <c:pt idx="749">
                  <c:v>27.84780773472</c:v>
                </c:pt>
                <c:pt idx="750">
                  <c:v>31.11165376061145</c:v>
                </c:pt>
                <c:pt idx="751">
                  <c:v>30.6054237287481</c:v>
                </c:pt>
                <c:pt idx="752">
                  <c:v>29.695061199404542</c:v>
                </c:pt>
                <c:pt idx="753">
                  <c:v>29.67198966131669</c:v>
                </c:pt>
                <c:pt idx="754">
                  <c:v>27.77377510047609</c:v>
                </c:pt>
                <c:pt idx="755">
                  <c:v>27.222484790065131</c:v>
                </c:pt>
                <c:pt idx="756">
                  <c:v>26.937357259256348</c:v>
                </c:pt>
                <c:pt idx="757">
                  <c:v>26.156676192995459</c:v>
                </c:pt>
                <c:pt idx="758">
                  <c:v>25.622136880090761</c:v>
                </c:pt>
                <c:pt idx="759">
                  <c:v>25.80808577914275</c:v>
                </c:pt>
                <c:pt idx="760">
                  <c:v>29.53882535616059</c:v>
                </c:pt>
                <c:pt idx="761">
                  <c:v>26.490795363200601</c:v>
                </c:pt>
                <c:pt idx="762">
                  <c:v>27.432174364942721</c:v>
                </c:pt>
                <c:pt idx="763">
                  <c:v>29.19291760046324</c:v>
                </c:pt>
                <c:pt idx="764">
                  <c:v>29.135627305469061</c:v>
                </c:pt>
                <c:pt idx="765">
                  <c:v>27.932570387355661</c:v>
                </c:pt>
                <c:pt idx="766">
                  <c:v>26.969698554475841</c:v>
                </c:pt>
                <c:pt idx="767">
                  <c:v>29.86314187728928</c:v>
                </c:pt>
                <c:pt idx="768">
                  <c:v>28.12954874801969</c:v>
                </c:pt>
                <c:pt idx="769">
                  <c:v>27.539131009113419</c:v>
                </c:pt>
                <c:pt idx="770">
                  <c:v>26.09413334010388</c:v>
                </c:pt>
                <c:pt idx="771">
                  <c:v>24.72373639649086</c:v>
                </c:pt>
                <c:pt idx="772">
                  <c:v>23.544352455537091</c:v>
                </c:pt>
                <c:pt idx="773">
                  <c:v>23.31565860192752</c:v>
                </c:pt>
                <c:pt idx="774">
                  <c:v>23.366462311283641</c:v>
                </c:pt>
                <c:pt idx="775">
                  <c:v>23.490113483216369</c:v>
                </c:pt>
                <c:pt idx="776">
                  <c:v>22.339335212612522</c:v>
                </c:pt>
                <c:pt idx="777">
                  <c:v>21.69216970894858</c:v>
                </c:pt>
                <c:pt idx="778">
                  <c:v>21.576679386342981</c:v>
                </c:pt>
                <c:pt idx="779">
                  <c:v>22.268959072959479</c:v>
                </c:pt>
                <c:pt idx="780">
                  <c:v>22.65468238472009</c:v>
                </c:pt>
                <c:pt idx="781">
                  <c:v>23.24181332975196</c:v>
                </c:pt>
                <c:pt idx="782">
                  <c:v>22.88407217992722</c:v>
                </c:pt>
                <c:pt idx="783">
                  <c:v>22.907080641447969</c:v>
                </c:pt>
                <c:pt idx="784">
                  <c:v>21.690828088610122</c:v>
                </c:pt>
                <c:pt idx="785">
                  <c:v>20.729414985200549</c:v>
                </c:pt>
                <c:pt idx="786">
                  <c:v>21.167444976449879</c:v>
                </c:pt>
                <c:pt idx="787">
                  <c:v>20.62492184230927</c:v>
                </c:pt>
                <c:pt idx="788">
                  <c:v>20.603319693249869</c:v>
                </c:pt>
                <c:pt idx="789">
                  <c:v>20.64651702096193</c:v>
                </c:pt>
                <c:pt idx="790">
                  <c:v>19.938062366121809</c:v>
                </c:pt>
                <c:pt idx="791">
                  <c:v>20.285057802368119</c:v>
                </c:pt>
                <c:pt idx="792">
                  <c:v>23.924807113289049</c:v>
                </c:pt>
                <c:pt idx="793">
                  <c:v>26.305915417675902</c:v>
                </c:pt>
                <c:pt idx="794">
                  <c:v>26.20478505102836</c:v>
                </c:pt>
                <c:pt idx="795">
                  <c:v>26.293267398981939</c:v>
                </c:pt>
                <c:pt idx="796">
                  <c:v>26.288360678179391</c:v>
                </c:pt>
                <c:pt idx="797">
                  <c:v>26.50793919294923</c:v>
                </c:pt>
                <c:pt idx="798">
                  <c:v>27.516896059272369</c:v>
                </c:pt>
                <c:pt idx="799">
                  <c:v>25.195892776910259</c:v>
                </c:pt>
                <c:pt idx="800">
                  <c:v>24.675237846654159</c:v>
                </c:pt>
                <c:pt idx="801">
                  <c:v>23.68849124641623</c:v>
                </c:pt>
                <c:pt idx="802">
                  <c:v>23.222661315165318</c:v>
                </c:pt>
                <c:pt idx="803">
                  <c:v>23.952911483702419</c:v>
                </c:pt>
                <c:pt idx="804">
                  <c:v>23.100822738688638</c:v>
                </c:pt>
                <c:pt idx="805">
                  <c:v>22.08807825298771</c:v>
                </c:pt>
                <c:pt idx="806">
                  <c:v>22.122239856633669</c:v>
                </c:pt>
                <c:pt idx="807">
                  <c:v>22.449806873626351</c:v>
                </c:pt>
                <c:pt idx="808">
                  <c:v>22.361556985816861</c:v>
                </c:pt>
                <c:pt idx="809">
                  <c:v>22.51989273512514</c:v>
                </c:pt>
                <c:pt idx="810">
                  <c:v>22.792934278639631</c:v>
                </c:pt>
                <c:pt idx="811">
                  <c:v>26.164579338959769</c:v>
                </c:pt>
                <c:pt idx="812">
                  <c:v>25.745001487312429</c:v>
                </c:pt>
                <c:pt idx="813">
                  <c:v>26.523655343021229</c:v>
                </c:pt>
                <c:pt idx="814">
                  <c:v>24.236330492698141</c:v>
                </c:pt>
                <c:pt idx="815">
                  <c:v>22.696259169383492</c:v>
                </c:pt>
                <c:pt idx="816">
                  <c:v>21.394200428912651</c:v>
                </c:pt>
                <c:pt idx="817">
                  <c:v>19.942957990286502</c:v>
                </c:pt>
                <c:pt idx="818">
                  <c:v>19.859294395608401</c:v>
                </c:pt>
                <c:pt idx="819">
                  <c:v>19.601571878523629</c:v>
                </c:pt>
                <c:pt idx="820">
                  <c:v>19.78084736830511</c:v>
                </c:pt>
                <c:pt idx="821">
                  <c:v>20.195873127657119</c:v>
                </c:pt>
                <c:pt idx="822">
                  <c:v>18.127972926000179</c:v>
                </c:pt>
                <c:pt idx="823">
                  <c:v>18.692735038656831</c:v>
                </c:pt>
                <c:pt idx="824">
                  <c:v>20.59804371253453</c:v>
                </c:pt>
                <c:pt idx="825">
                  <c:v>22.213843145463571</c:v>
                </c:pt>
                <c:pt idx="826">
                  <c:v>21.42030658925685</c:v>
                </c:pt>
                <c:pt idx="827">
                  <c:v>20.92802781858498</c:v>
                </c:pt>
                <c:pt idx="828">
                  <c:v>20.31620923108996</c:v>
                </c:pt>
                <c:pt idx="829">
                  <c:v>20.7346579531008</c:v>
                </c:pt>
                <c:pt idx="830">
                  <c:v>20.644550637712872</c:v>
                </c:pt>
                <c:pt idx="831">
                  <c:v>19.967196786245129</c:v>
                </c:pt>
                <c:pt idx="832">
                  <c:v>20.59974395616895</c:v>
                </c:pt>
                <c:pt idx="833">
                  <c:v>20.521061095229321</c:v>
                </c:pt>
                <c:pt idx="834">
                  <c:v>21.153732477347098</c:v>
                </c:pt>
                <c:pt idx="835">
                  <c:v>20.99972130905558</c:v>
                </c:pt>
                <c:pt idx="836">
                  <c:v>21.74150311752874</c:v>
                </c:pt>
                <c:pt idx="837">
                  <c:v>21.227433328996511</c:v>
                </c:pt>
                <c:pt idx="838">
                  <c:v>21.235277589320031</c:v>
                </c:pt>
                <c:pt idx="839">
                  <c:v>21.46517174272363</c:v>
                </c:pt>
                <c:pt idx="840">
                  <c:v>20.36775610627933</c:v>
                </c:pt>
                <c:pt idx="841">
                  <c:v>20.140850163070379</c:v>
                </c:pt>
                <c:pt idx="842">
                  <c:v>19.22373522014647</c:v>
                </c:pt>
                <c:pt idx="843">
                  <c:v>19.324580971110279</c:v>
                </c:pt>
                <c:pt idx="844">
                  <c:v>18.588132023963801</c:v>
                </c:pt>
                <c:pt idx="845">
                  <c:v>18.586194935713959</c:v>
                </c:pt>
                <c:pt idx="846">
                  <c:v>18.055134379828299</c:v>
                </c:pt>
                <c:pt idx="847">
                  <c:v>18.884966770578739</c:v>
                </c:pt>
                <c:pt idx="848">
                  <c:v>19.465134966873642</c:v>
                </c:pt>
                <c:pt idx="849">
                  <c:v>20.487973269973981</c:v>
                </c:pt>
                <c:pt idx="850">
                  <c:v>20.033233104098091</c:v>
                </c:pt>
                <c:pt idx="851">
                  <c:v>19.944069259533219</c:v>
                </c:pt>
                <c:pt idx="852">
                  <c:v>19.272366112099849</c:v>
                </c:pt>
                <c:pt idx="853">
                  <c:v>18.957195662440188</c:v>
                </c:pt>
                <c:pt idx="854">
                  <c:v>18.387011389911109</c:v>
                </c:pt>
                <c:pt idx="855">
                  <c:v>19.400562786974689</c:v>
                </c:pt>
                <c:pt idx="856">
                  <c:v>19.028765007557279</c:v>
                </c:pt>
                <c:pt idx="857">
                  <c:v>18.076369523021668</c:v>
                </c:pt>
                <c:pt idx="858">
                  <c:v>17.159517923158528</c:v>
                </c:pt>
                <c:pt idx="859">
                  <c:v>16.86027404815934</c:v>
                </c:pt>
                <c:pt idx="860">
                  <c:v>17.080650302267561</c:v>
                </c:pt>
                <c:pt idx="861">
                  <c:v>17.096581884422051</c:v>
                </c:pt>
                <c:pt idx="862">
                  <c:v>17.542618607664082</c:v>
                </c:pt>
                <c:pt idx="863">
                  <c:v>17.747530083061701</c:v>
                </c:pt>
                <c:pt idx="864">
                  <c:v>16.371420481042829</c:v>
                </c:pt>
                <c:pt idx="865">
                  <c:v>15.61691474694639</c:v>
                </c:pt>
                <c:pt idx="866">
                  <c:v>15.804338446214359</c:v>
                </c:pt>
                <c:pt idx="867">
                  <c:v>16.13181207418792</c:v>
                </c:pt>
                <c:pt idx="868">
                  <c:v>15.091759059765719</c:v>
                </c:pt>
                <c:pt idx="869">
                  <c:v>14.6045629869362</c:v>
                </c:pt>
                <c:pt idx="870">
                  <c:v>17.07269329103389</c:v>
                </c:pt>
                <c:pt idx="871">
                  <c:v>17.332826182811029</c:v>
                </c:pt>
                <c:pt idx="872">
                  <c:v>17.5388032455357</c:v>
                </c:pt>
                <c:pt idx="873">
                  <c:v>16.274750941152831</c:v>
                </c:pt>
                <c:pt idx="874">
                  <c:v>15.774279197520951</c:v>
                </c:pt>
                <c:pt idx="875">
                  <c:v>15.78742916286439</c:v>
                </c:pt>
                <c:pt idx="876">
                  <c:v>15.18265494690238</c:v>
                </c:pt>
                <c:pt idx="877">
                  <c:v>14.605892896068131</c:v>
                </c:pt>
                <c:pt idx="878">
                  <c:v>14.072003157104639</c:v>
                </c:pt>
                <c:pt idx="879">
                  <c:v>14.30641814640302</c:v>
                </c:pt>
                <c:pt idx="880">
                  <c:v>14.58149366870852</c:v>
                </c:pt>
                <c:pt idx="881">
                  <c:v>14.762283480105291</c:v>
                </c:pt>
                <c:pt idx="882">
                  <c:v>14.023121654520599</c:v>
                </c:pt>
                <c:pt idx="883">
                  <c:v>14.08183393467211</c:v>
                </c:pt>
                <c:pt idx="884">
                  <c:v>14.31719763117184</c:v>
                </c:pt>
                <c:pt idx="885">
                  <c:v>14.12029669487865</c:v>
                </c:pt>
                <c:pt idx="886">
                  <c:v>14.34227628930425</c:v>
                </c:pt>
                <c:pt idx="887">
                  <c:v>14.624391935506271</c:v>
                </c:pt>
                <c:pt idx="888">
                  <c:v>15.53727785784972</c:v>
                </c:pt>
                <c:pt idx="889">
                  <c:v>15.03212690549851</c:v>
                </c:pt>
                <c:pt idx="890">
                  <c:v>15.27542529724056</c:v>
                </c:pt>
                <c:pt idx="891">
                  <c:v>15.56191763694182</c:v>
                </c:pt>
                <c:pt idx="892">
                  <c:v>15.533951898054809</c:v>
                </c:pt>
                <c:pt idx="893">
                  <c:v>14.693557534420989</c:v>
                </c:pt>
                <c:pt idx="894">
                  <c:v>13.88884688562559</c:v>
                </c:pt>
                <c:pt idx="895">
                  <c:v>15.012552643632169</c:v>
                </c:pt>
                <c:pt idx="896">
                  <c:v>14.968630491676629</c:v>
                </c:pt>
                <c:pt idx="897">
                  <c:v>15.3304053485887</c:v>
                </c:pt>
                <c:pt idx="898">
                  <c:v>14.60465799910491</c:v>
                </c:pt>
                <c:pt idx="899">
                  <c:v>14.61047439228402</c:v>
                </c:pt>
                <c:pt idx="900">
                  <c:v>14.296862251948999</c:v>
                </c:pt>
                <c:pt idx="901">
                  <c:v>13.64521926837268</c:v>
                </c:pt>
                <c:pt idx="902">
                  <c:v>14.1681366241821</c:v>
                </c:pt>
                <c:pt idx="903">
                  <c:v>13.61882318312877</c:v>
                </c:pt>
                <c:pt idx="904">
                  <c:v>13.3804637200135</c:v>
                </c:pt>
                <c:pt idx="905">
                  <c:v>13.40997198741937</c:v>
                </c:pt>
                <c:pt idx="906">
                  <c:v>12.777790623829871</c:v>
                </c:pt>
                <c:pt idx="907">
                  <c:v>12.217338236978719</c:v>
                </c:pt>
                <c:pt idx="908">
                  <c:v>12.402768819654341</c:v>
                </c:pt>
                <c:pt idx="909">
                  <c:v>12.26618119177877</c:v>
                </c:pt>
                <c:pt idx="910">
                  <c:v>12.505773166467881</c:v>
                </c:pt>
                <c:pt idx="911">
                  <c:v>12.167795947014319</c:v>
                </c:pt>
                <c:pt idx="912">
                  <c:v>14.15757713009708</c:v>
                </c:pt>
                <c:pt idx="913">
                  <c:v>13.48336021982267</c:v>
                </c:pt>
                <c:pt idx="914">
                  <c:v>14.23941476487264</c:v>
                </c:pt>
                <c:pt idx="915">
                  <c:v>15.73318082973651</c:v>
                </c:pt>
                <c:pt idx="916">
                  <c:v>16.175164566097909</c:v>
                </c:pt>
                <c:pt idx="917">
                  <c:v>15.619812466311791</c:v>
                </c:pt>
                <c:pt idx="918">
                  <c:v>13.98576249074315</c:v>
                </c:pt>
                <c:pt idx="919">
                  <c:v>13.690710982138549</c:v>
                </c:pt>
                <c:pt idx="920">
                  <c:v>13.309050056262491</c:v>
                </c:pt>
                <c:pt idx="921">
                  <c:v>13.467690069846901</c:v>
                </c:pt>
                <c:pt idx="922">
                  <c:v>13.787716894155441</c:v>
                </c:pt>
                <c:pt idx="923">
                  <c:v>14.779218177020629</c:v>
                </c:pt>
                <c:pt idx="924">
                  <c:v>15.28676204437097</c:v>
                </c:pt>
                <c:pt idx="925">
                  <c:v>15.713852159121579</c:v>
                </c:pt>
                <c:pt idx="926">
                  <c:v>15.213415176279691</c:v>
                </c:pt>
                <c:pt idx="927">
                  <c:v>15.87353552905201</c:v>
                </c:pt>
                <c:pt idx="928">
                  <c:v>16.084274915658689</c:v>
                </c:pt>
                <c:pt idx="929">
                  <c:v>16.29081756985893</c:v>
                </c:pt>
                <c:pt idx="930">
                  <c:v>15.553686627238401</c:v>
                </c:pt>
                <c:pt idx="931">
                  <c:v>15.1168980041178</c:v>
                </c:pt>
                <c:pt idx="932">
                  <c:v>15.26930166106464</c:v>
                </c:pt>
                <c:pt idx="933">
                  <c:v>14.39783809084752</c:v>
                </c:pt>
                <c:pt idx="934">
                  <c:v>17.093681824126811</c:v>
                </c:pt>
                <c:pt idx="935">
                  <c:v>16.228204597503851</c:v>
                </c:pt>
                <c:pt idx="936">
                  <c:v>15.42851178688583</c:v>
                </c:pt>
                <c:pt idx="937">
                  <c:v>15.383152152124209</c:v>
                </c:pt>
                <c:pt idx="938">
                  <c:v>17.47705095287283</c:v>
                </c:pt>
                <c:pt idx="939">
                  <c:v>16.444064013127988</c:v>
                </c:pt>
                <c:pt idx="940">
                  <c:v>18.12231996360584</c:v>
                </c:pt>
                <c:pt idx="941">
                  <c:v>23.46748708613433</c:v>
                </c:pt>
                <c:pt idx="942">
                  <c:v>20.81913497331513</c:v>
                </c:pt>
                <c:pt idx="943">
                  <c:v>20.96325435529312</c:v>
                </c:pt>
                <c:pt idx="944">
                  <c:v>22.28626674953928</c:v>
                </c:pt>
                <c:pt idx="945">
                  <c:v>21.89125379989882</c:v>
                </c:pt>
                <c:pt idx="946">
                  <c:v>20.12140385764803</c:v>
                </c:pt>
                <c:pt idx="947">
                  <c:v>19.293128572162619</c:v>
                </c:pt>
                <c:pt idx="948">
                  <c:v>19.759909819560999</c:v>
                </c:pt>
                <c:pt idx="949">
                  <c:v>18.84811417105167</c:v>
                </c:pt>
                <c:pt idx="950">
                  <c:v>18.969655936014689</c:v>
                </c:pt>
                <c:pt idx="951">
                  <c:v>19.147464533817619</c:v>
                </c:pt>
                <c:pt idx="952">
                  <c:v>21.053787376580988</c:v>
                </c:pt>
                <c:pt idx="953">
                  <c:v>20.934443355448568</c:v>
                </c:pt>
                <c:pt idx="954">
                  <c:v>21.879523799480928</c:v>
                </c:pt>
                <c:pt idx="955">
                  <c:v>22.84136271331236</c:v>
                </c:pt>
                <c:pt idx="956">
                  <c:v>23.2367796093944</c:v>
                </c:pt>
                <c:pt idx="957">
                  <c:v>23.911178932705958</c:v>
                </c:pt>
                <c:pt idx="958">
                  <c:v>20.500689451399712</c:v>
                </c:pt>
                <c:pt idx="959">
                  <c:v>23.723325696142709</c:v>
                </c:pt>
                <c:pt idx="960">
                  <c:v>21.19368619871813</c:v>
                </c:pt>
                <c:pt idx="961">
                  <c:v>20.82013503437928</c:v>
                </c:pt>
                <c:pt idx="962">
                  <c:v>20.847063653629441</c:v>
                </c:pt>
                <c:pt idx="963">
                  <c:v>21.566603613130908</c:v>
                </c:pt>
                <c:pt idx="964">
                  <c:v>22.904970907702261</c:v>
                </c:pt>
                <c:pt idx="965">
                  <c:v>28.050362107108551</c:v>
                </c:pt>
                <c:pt idx="966">
                  <c:v>27.54934920616417</c:v>
                </c:pt>
                <c:pt idx="967">
                  <c:v>27.42370110329237</c:v>
                </c:pt>
                <c:pt idx="968">
                  <c:v>29.842855363813332</c:v>
                </c:pt>
                <c:pt idx="969">
                  <c:v>34.890097345295253</c:v>
                </c:pt>
                <c:pt idx="970">
                  <c:v>34.657275621113612</c:v>
                </c:pt>
                <c:pt idx="971">
                  <c:v>37.890422740133907</c:v>
                </c:pt>
                <c:pt idx="972">
                  <c:v>33.4228421529454</c:v>
                </c:pt>
                <c:pt idx="973">
                  <c:v>36.815106652815707</c:v>
                </c:pt>
                <c:pt idx="974">
                  <c:v>34.45232808284203</c:v>
                </c:pt>
                <c:pt idx="975">
                  <c:v>35.999581491625108</c:v>
                </c:pt>
                <c:pt idx="976">
                  <c:v>34.331021646380101</c:v>
                </c:pt>
                <c:pt idx="977">
                  <c:v>33.639737489314278</c:v>
                </c:pt>
                <c:pt idx="978">
                  <c:v>32.535653350054467</c:v>
                </c:pt>
                <c:pt idx="979">
                  <c:v>32.66489034274769</c:v>
                </c:pt>
                <c:pt idx="980">
                  <c:v>31.592197597708179</c:v>
                </c:pt>
                <c:pt idx="981">
                  <c:v>29.358995963210621</c:v>
                </c:pt>
                <c:pt idx="982">
                  <c:v>27.628247341225102</c:v>
                </c:pt>
                <c:pt idx="983">
                  <c:v>26.453036773998839</c:v>
                </c:pt>
                <c:pt idx="984">
                  <c:v>27.35363249138128</c:v>
                </c:pt>
                <c:pt idx="985">
                  <c:v>25.04955589099826</c:v>
                </c:pt>
                <c:pt idx="986">
                  <c:v>23.846321948034529</c:v>
                </c:pt>
                <c:pt idx="987">
                  <c:v>22.693537760810418</c:v>
                </c:pt>
                <c:pt idx="988">
                  <c:v>21.92953792233558</c:v>
                </c:pt>
                <c:pt idx="989">
                  <c:v>20.456070341696751</c:v>
                </c:pt>
                <c:pt idx="990">
                  <c:v>19.705062881310418</c:v>
                </c:pt>
                <c:pt idx="991">
                  <c:v>23.88126764209013</c:v>
                </c:pt>
                <c:pt idx="992">
                  <c:v>23.265976882041539</c:v>
                </c:pt>
                <c:pt idx="993">
                  <c:v>22.977299965565471</c:v>
                </c:pt>
                <c:pt idx="994">
                  <c:v>22.65881803910392</c:v>
                </c:pt>
                <c:pt idx="995">
                  <c:v>22.341385140423</c:v>
                </c:pt>
                <c:pt idx="996">
                  <c:v>21.711836293870739</c:v>
                </c:pt>
                <c:pt idx="997">
                  <c:v>20.629095086001389</c:v>
                </c:pt>
                <c:pt idx="998">
                  <c:v>19.957000196329961</c:v>
                </c:pt>
                <c:pt idx="999">
                  <c:v>18.427004454576299</c:v>
                </c:pt>
                <c:pt idx="1000">
                  <c:v>18.49277438382941</c:v>
                </c:pt>
                <c:pt idx="1001">
                  <c:v>19.320800739443719</c:v>
                </c:pt>
                <c:pt idx="1002">
                  <c:v>21.412309155716859</c:v>
                </c:pt>
                <c:pt idx="1003">
                  <c:v>20.61595387727569</c:v>
                </c:pt>
                <c:pt idx="1004">
                  <c:v>19.542764711700048</c:v>
                </c:pt>
                <c:pt idx="1005">
                  <c:v>18.635906559774138</c:v>
                </c:pt>
                <c:pt idx="1006">
                  <c:v>18.96421893750453</c:v>
                </c:pt>
                <c:pt idx="1007">
                  <c:v>19.14020156701325</c:v>
                </c:pt>
                <c:pt idx="1008">
                  <c:v>18.960344231355801</c:v>
                </c:pt>
                <c:pt idx="1009">
                  <c:v>19.089858638760951</c:v>
                </c:pt>
                <c:pt idx="1010">
                  <c:v>18.55812948342723</c:v>
                </c:pt>
                <c:pt idx="1011">
                  <c:v>18.224408774927031</c:v>
                </c:pt>
                <c:pt idx="1012">
                  <c:v>17.408808746136149</c:v>
                </c:pt>
                <c:pt idx="1013">
                  <c:v>18.889600502137359</c:v>
                </c:pt>
                <c:pt idx="1014">
                  <c:v>19.74201202079507</c:v>
                </c:pt>
                <c:pt idx="1015">
                  <c:v>22.673923582816052</c:v>
                </c:pt>
                <c:pt idx="1016">
                  <c:v>19.239370494174331</c:v>
                </c:pt>
                <c:pt idx="1017">
                  <c:v>18.588411759069619</c:v>
                </c:pt>
                <c:pt idx="1018">
                  <c:v>19.509392275931251</c:v>
                </c:pt>
                <c:pt idx="1019">
                  <c:v>19.149000811980251</c:v>
                </c:pt>
                <c:pt idx="1020">
                  <c:v>19.408546262760989</c:v>
                </c:pt>
                <c:pt idx="1021">
                  <c:v>17.265230200435791</c:v>
                </c:pt>
                <c:pt idx="1022">
                  <c:v>17.357714047713142</c:v>
                </c:pt>
                <c:pt idx="1023">
                  <c:v>17.928852217298651</c:v>
                </c:pt>
                <c:pt idx="1024">
                  <c:v>18.110168256284311</c:v>
                </c:pt>
                <c:pt idx="1025">
                  <c:v>17.35594902982006</c:v>
                </c:pt>
                <c:pt idx="1026">
                  <c:v>17.351620997381911</c:v>
                </c:pt>
                <c:pt idx="1027">
                  <c:v>17.599597508964202</c:v>
                </c:pt>
                <c:pt idx="1028">
                  <c:v>17.812012828074071</c:v>
                </c:pt>
                <c:pt idx="1029">
                  <c:v>18.34121906360992</c:v>
                </c:pt>
                <c:pt idx="1030">
                  <c:v>17.907873791639659</c:v>
                </c:pt>
                <c:pt idx="1031">
                  <c:v>19.262135770343569</c:v>
                </c:pt>
                <c:pt idx="1032">
                  <c:v>17.50502484068738</c:v>
                </c:pt>
                <c:pt idx="1033">
                  <c:v>19.241955128093871</c:v>
                </c:pt>
                <c:pt idx="1034">
                  <c:v>19.24333046000438</c:v>
                </c:pt>
                <c:pt idx="1035">
                  <c:v>19.367343412350639</c:v>
                </c:pt>
                <c:pt idx="1036">
                  <c:v>19.74235500738687</c:v>
                </c:pt>
                <c:pt idx="1037">
                  <c:v>20.12905335597582</c:v>
                </c:pt>
                <c:pt idx="1038">
                  <c:v>19.821433866219749</c:v>
                </c:pt>
                <c:pt idx="1039">
                  <c:v>18.406287869083499</c:v>
                </c:pt>
                <c:pt idx="1040">
                  <c:v>17.53660410449486</c:v>
                </c:pt>
                <c:pt idx="1041">
                  <c:v>18.492339084293381</c:v>
                </c:pt>
                <c:pt idx="1042">
                  <c:v>22.216094066840309</c:v>
                </c:pt>
                <c:pt idx="1043">
                  <c:v>24.20248777916127</c:v>
                </c:pt>
                <c:pt idx="1044">
                  <c:v>32.575674321626579</c:v>
                </c:pt>
                <c:pt idx="1045">
                  <c:v>31.955067069885839</c:v>
                </c:pt>
                <c:pt idx="1046">
                  <c:v>33.007560651660199</c:v>
                </c:pt>
                <c:pt idx="1047">
                  <c:v>33.067158790329763</c:v>
                </c:pt>
                <c:pt idx="1048">
                  <c:v>32.054063608065299</c:v>
                </c:pt>
                <c:pt idx="1049">
                  <c:v>29.100192613700742</c:v>
                </c:pt>
                <c:pt idx="1050">
                  <c:v>29.19495068695473</c:v>
                </c:pt>
                <c:pt idx="1051">
                  <c:v>34.675337518912229</c:v>
                </c:pt>
                <c:pt idx="1052">
                  <c:v>36.874447139525479</c:v>
                </c:pt>
                <c:pt idx="1053">
                  <c:v>31.950037661262741</c:v>
                </c:pt>
                <c:pt idx="1054">
                  <c:v>31.208939328693539</c:v>
                </c:pt>
                <c:pt idx="1055">
                  <c:v>29.36115938758487</c:v>
                </c:pt>
                <c:pt idx="1056">
                  <c:v>28.707710923336379</c:v>
                </c:pt>
                <c:pt idx="1057">
                  <c:v>29.32573161365378</c:v>
                </c:pt>
                <c:pt idx="1058">
                  <c:v>32.026558018148549</c:v>
                </c:pt>
                <c:pt idx="1059">
                  <c:v>29.217757537932371</c:v>
                </c:pt>
                <c:pt idx="1060">
                  <c:v>28.67054452424669</c:v>
                </c:pt>
                <c:pt idx="1061">
                  <c:v>29.207883938511021</c:v>
                </c:pt>
                <c:pt idx="1062">
                  <c:v>29.39743408605262</c:v>
                </c:pt>
                <c:pt idx="1063">
                  <c:v>30.44637243115816</c:v>
                </c:pt>
                <c:pt idx="1064">
                  <c:v>31.361535639641509</c:v>
                </c:pt>
                <c:pt idx="1065">
                  <c:v>30.930921061166899</c:v>
                </c:pt>
                <c:pt idx="1066">
                  <c:v>31.027813237001929</c:v>
                </c:pt>
                <c:pt idx="1067">
                  <c:v>31.153387734884351</c:v>
                </c:pt>
                <c:pt idx="1068">
                  <c:v>30.321429448787381</c:v>
                </c:pt>
                <c:pt idx="1069">
                  <c:v>30.31127959436693</c:v>
                </c:pt>
                <c:pt idx="1070">
                  <c:v>29.357079437008409</c:v>
                </c:pt>
                <c:pt idx="1071">
                  <c:v>28.993471655073009</c:v>
                </c:pt>
                <c:pt idx="1072">
                  <c:v>28.524625856667789</c:v>
                </c:pt>
                <c:pt idx="1073">
                  <c:v>27.903451340814541</c:v>
                </c:pt>
                <c:pt idx="1074">
                  <c:v>30.740652026772249</c:v>
                </c:pt>
                <c:pt idx="1075">
                  <c:v>30.451447740425781</c:v>
                </c:pt>
                <c:pt idx="1076">
                  <c:v>31.78520312720358</c:v>
                </c:pt>
                <c:pt idx="1077">
                  <c:v>30.70781367897154</c:v>
                </c:pt>
                <c:pt idx="1078">
                  <c:v>30.120294152285538</c:v>
                </c:pt>
                <c:pt idx="1079">
                  <c:v>27.900487215006571</c:v>
                </c:pt>
                <c:pt idx="1080">
                  <c:v>27.27812816770416</c:v>
                </c:pt>
                <c:pt idx="1081">
                  <c:v>28.27729594331225</c:v>
                </c:pt>
                <c:pt idx="1082">
                  <c:v>26.13749480178636</c:v>
                </c:pt>
                <c:pt idx="1083">
                  <c:v>26.58042458279774</c:v>
                </c:pt>
                <c:pt idx="1084">
                  <c:v>26.286731019330119</c:v>
                </c:pt>
                <c:pt idx="1085">
                  <c:v>26.179275826559891</c:v>
                </c:pt>
                <c:pt idx="1086">
                  <c:v>26.616189754321528</c:v>
                </c:pt>
                <c:pt idx="1087">
                  <c:v>26.708026147688742</c:v>
                </c:pt>
                <c:pt idx="1088">
                  <c:v>26.571577977295512</c:v>
                </c:pt>
                <c:pt idx="1089">
                  <c:v>26.90666241482057</c:v>
                </c:pt>
                <c:pt idx="1090">
                  <c:v>26.27400425823518</c:v>
                </c:pt>
                <c:pt idx="1091">
                  <c:v>27.04889536677468</c:v>
                </c:pt>
                <c:pt idx="1092">
                  <c:v>25.34117721449897</c:v>
                </c:pt>
                <c:pt idx="1093">
                  <c:v>24.159201561548631</c:v>
                </c:pt>
                <c:pt idx="1094">
                  <c:v>22.87442436281346</c:v>
                </c:pt>
                <c:pt idx="1095">
                  <c:v>22.40037266147694</c:v>
                </c:pt>
                <c:pt idx="1096">
                  <c:v>25.611960430009329</c:v>
                </c:pt>
                <c:pt idx="1097">
                  <c:v>25.36010735824307</c:v>
                </c:pt>
                <c:pt idx="1098">
                  <c:v>26.51253328673835</c:v>
                </c:pt>
                <c:pt idx="1099">
                  <c:v>25.968085523333521</c:v>
                </c:pt>
                <c:pt idx="1100">
                  <c:v>25.88212199978793</c:v>
                </c:pt>
                <c:pt idx="1101">
                  <c:v>24.85117731728953</c:v>
                </c:pt>
                <c:pt idx="1102">
                  <c:v>25.7302305642189</c:v>
                </c:pt>
                <c:pt idx="1103">
                  <c:v>25.72538699344161</c:v>
                </c:pt>
                <c:pt idx="1104">
                  <c:v>25.80557416762425</c:v>
                </c:pt>
                <c:pt idx="1105">
                  <c:v>26.955455258500638</c:v>
                </c:pt>
                <c:pt idx="1106">
                  <c:v>27.50452734421696</c:v>
                </c:pt>
                <c:pt idx="1107">
                  <c:v>22.448810530326</c:v>
                </c:pt>
                <c:pt idx="1108">
                  <c:v>24.223265402418519</c:v>
                </c:pt>
                <c:pt idx="1109">
                  <c:v>24.08230760813775</c:v>
                </c:pt>
                <c:pt idx="1110">
                  <c:v>23.343479712151211</c:v>
                </c:pt>
                <c:pt idx="1111">
                  <c:v>23.836209258322121</c:v>
                </c:pt>
                <c:pt idx="1112">
                  <c:v>23.67294744296585</c:v>
                </c:pt>
                <c:pt idx="1113">
                  <c:v>22.843606726403909</c:v>
                </c:pt>
                <c:pt idx="1114">
                  <c:v>22.211776073212281</c:v>
                </c:pt>
                <c:pt idx="1115">
                  <c:v>24.20937019084268</c:v>
                </c:pt>
                <c:pt idx="1116">
                  <c:v>24.042301747667508</c:v>
                </c:pt>
                <c:pt idx="1117">
                  <c:v>24.115991682105282</c:v>
                </c:pt>
                <c:pt idx="1118">
                  <c:v>23.010969337976078</c:v>
                </c:pt>
                <c:pt idx="1119">
                  <c:v>23.23959377255013</c:v>
                </c:pt>
                <c:pt idx="1120">
                  <c:v>22.816553803467599</c:v>
                </c:pt>
                <c:pt idx="1121">
                  <c:v>22.59913727981569</c:v>
                </c:pt>
                <c:pt idx="1122">
                  <c:v>23.491191956302512</c:v>
                </c:pt>
                <c:pt idx="1123">
                  <c:v>24.294368086822821</c:v>
                </c:pt>
                <c:pt idx="1124">
                  <c:v>24.24986783805851</c:v>
                </c:pt>
                <c:pt idx="1125">
                  <c:v>22.69653896811424</c:v>
                </c:pt>
                <c:pt idx="1126">
                  <c:v>22.143404903181811</c:v>
                </c:pt>
                <c:pt idx="1127">
                  <c:v>21.76197739559035</c:v>
                </c:pt>
                <c:pt idx="1128">
                  <c:v>22.890944658916059</c:v>
                </c:pt>
                <c:pt idx="1129">
                  <c:v>22.733896506882878</c:v>
                </c:pt>
                <c:pt idx="1130">
                  <c:v>22.200075173204048</c:v>
                </c:pt>
                <c:pt idx="1131">
                  <c:v>21.729731419418631</c:v>
                </c:pt>
                <c:pt idx="1132">
                  <c:v>21.04418744786296</c:v>
                </c:pt>
                <c:pt idx="1133">
                  <c:v>20.99726068378467</c:v>
                </c:pt>
                <c:pt idx="1134">
                  <c:v>20.70021152363557</c:v>
                </c:pt>
                <c:pt idx="1135">
                  <c:v>23.01364508333587</c:v>
                </c:pt>
                <c:pt idx="1136">
                  <c:v>23.013309759800709</c:v>
                </c:pt>
                <c:pt idx="1137">
                  <c:v>21.665708896591209</c:v>
                </c:pt>
                <c:pt idx="1138">
                  <c:v>21.955319254261649</c:v>
                </c:pt>
                <c:pt idx="1139">
                  <c:v>21.162240647671581</c:v>
                </c:pt>
                <c:pt idx="1140">
                  <c:v>20.808332248803321</c:v>
                </c:pt>
                <c:pt idx="1141">
                  <c:v>19.662028000966991</c:v>
                </c:pt>
                <c:pt idx="1142">
                  <c:v>20.367125485230272</c:v>
                </c:pt>
                <c:pt idx="1143">
                  <c:v>20.542446002447271</c:v>
                </c:pt>
                <c:pt idx="1144">
                  <c:v>22.931993463092589</c:v>
                </c:pt>
                <c:pt idx="1145">
                  <c:v>23.62676367810008</c:v>
                </c:pt>
                <c:pt idx="1146">
                  <c:v>23.363193494906049</c:v>
                </c:pt>
                <c:pt idx="1147">
                  <c:v>22.5247411698791</c:v>
                </c:pt>
                <c:pt idx="1148">
                  <c:v>21.36058090433168</c:v>
                </c:pt>
                <c:pt idx="1149">
                  <c:v>20.32594436376435</c:v>
                </c:pt>
                <c:pt idx="1150">
                  <c:v>19.651181031431779</c:v>
                </c:pt>
                <c:pt idx="1151">
                  <c:v>18.745733880843812</c:v>
                </c:pt>
                <c:pt idx="1152">
                  <c:v>19.27655676492175</c:v>
                </c:pt>
                <c:pt idx="1153">
                  <c:v>18.516943193677179</c:v>
                </c:pt>
                <c:pt idx="1154">
                  <c:v>18.472803111500919</c:v>
                </c:pt>
                <c:pt idx="1155">
                  <c:v>21.936201923851652</c:v>
                </c:pt>
                <c:pt idx="1156">
                  <c:v>22.066231245114121</c:v>
                </c:pt>
                <c:pt idx="1157">
                  <c:v>21.147334735799529</c:v>
                </c:pt>
                <c:pt idx="1158">
                  <c:v>21.629198359418329</c:v>
                </c:pt>
                <c:pt idx="1159">
                  <c:v>21.057410122506329</c:v>
                </c:pt>
                <c:pt idx="1160">
                  <c:v>20.648635938159831</c:v>
                </c:pt>
                <c:pt idx="1161">
                  <c:v>19.488301655812979</c:v>
                </c:pt>
                <c:pt idx="1162">
                  <c:v>18.999229746116011</c:v>
                </c:pt>
                <c:pt idx="1163">
                  <c:v>18.502444072094718</c:v>
                </c:pt>
                <c:pt idx="1164">
                  <c:v>18.928182366355099</c:v>
                </c:pt>
                <c:pt idx="1165">
                  <c:v>18.982090066192661</c:v>
                </c:pt>
                <c:pt idx="1166">
                  <c:v>20.058617303667379</c:v>
                </c:pt>
                <c:pt idx="1167">
                  <c:v>20.685229928695861</c:v>
                </c:pt>
                <c:pt idx="1168">
                  <c:v>20.650444476174801</c:v>
                </c:pt>
                <c:pt idx="1169">
                  <c:v>22.26722376161759</c:v>
                </c:pt>
                <c:pt idx="1170">
                  <c:v>25.348979233660181</c:v>
                </c:pt>
                <c:pt idx="1171">
                  <c:v>25.444737930772831</c:v>
                </c:pt>
                <c:pt idx="1172">
                  <c:v>23.173195746605519</c:v>
                </c:pt>
                <c:pt idx="1173">
                  <c:v>24.478496626594641</c:v>
                </c:pt>
                <c:pt idx="1174">
                  <c:v>24.222310673292519</c:v>
                </c:pt>
                <c:pt idx="1175">
                  <c:v>23.86651353503829</c:v>
                </c:pt>
                <c:pt idx="1176">
                  <c:v>22.066867438759171</c:v>
                </c:pt>
                <c:pt idx="1177">
                  <c:v>22.424011969394801</c:v>
                </c:pt>
                <c:pt idx="1178">
                  <c:v>22.602378128992129</c:v>
                </c:pt>
                <c:pt idx="1179">
                  <c:v>24.315748142359329</c:v>
                </c:pt>
                <c:pt idx="1180">
                  <c:v>25.023125671361861</c:v>
                </c:pt>
                <c:pt idx="1181">
                  <c:v>23.57170316946706</c:v>
                </c:pt>
                <c:pt idx="1182">
                  <c:v>23.281271184680548</c:v>
                </c:pt>
                <c:pt idx="1183">
                  <c:v>23.132794369580161</c:v>
                </c:pt>
                <c:pt idx="1184">
                  <c:v>22.655763243320461</c:v>
                </c:pt>
                <c:pt idx="1185">
                  <c:v>24.169812546479079</c:v>
                </c:pt>
                <c:pt idx="1186">
                  <c:v>24.335989680997351</c:v>
                </c:pt>
                <c:pt idx="1187">
                  <c:v>24.725508378653711</c:v>
                </c:pt>
                <c:pt idx="1188">
                  <c:v>22.968525066565441</c:v>
                </c:pt>
                <c:pt idx="1189">
                  <c:v>21.762769003877221</c:v>
                </c:pt>
                <c:pt idx="1190">
                  <c:v>22.766712511619019</c:v>
                </c:pt>
                <c:pt idx="1191">
                  <c:v>23.171358481258579</c:v>
                </c:pt>
                <c:pt idx="1192">
                  <c:v>23.52029461237354</c:v>
                </c:pt>
                <c:pt idx="1193">
                  <c:v>23.057626445521691</c:v>
                </c:pt>
                <c:pt idx="1194">
                  <c:v>24.396456765330541</c:v>
                </c:pt>
                <c:pt idx="1195">
                  <c:v>25.60228567248895</c:v>
                </c:pt>
                <c:pt idx="1196">
                  <c:v>23.021000212743761</c:v>
                </c:pt>
                <c:pt idx="1197">
                  <c:v>24.210386103705201</c:v>
                </c:pt>
                <c:pt idx="1198">
                  <c:v>23.640427781164981</c:v>
                </c:pt>
                <c:pt idx="1199">
                  <c:v>24.4282646352241</c:v>
                </c:pt>
                <c:pt idx="1200">
                  <c:v>22.874318378082481</c:v>
                </c:pt>
                <c:pt idx="1201">
                  <c:v>25.514235865035921</c:v>
                </c:pt>
                <c:pt idx="1202">
                  <c:v>23.93102283026623</c:v>
                </c:pt>
                <c:pt idx="1203">
                  <c:v>23.296438034922041</c:v>
                </c:pt>
                <c:pt idx="1204">
                  <c:v>23.066535716829861</c:v>
                </c:pt>
                <c:pt idx="1205">
                  <c:v>24.848792204272218</c:v>
                </c:pt>
                <c:pt idx="1206">
                  <c:v>25.530733253704</c:v>
                </c:pt>
                <c:pt idx="1207">
                  <c:v>26.898482880295479</c:v>
                </c:pt>
                <c:pt idx="1208">
                  <c:v>26.60898381298281</c:v>
                </c:pt>
                <c:pt idx="1209">
                  <c:v>25.89729164538323</c:v>
                </c:pt>
                <c:pt idx="1210">
                  <c:v>23.928591087497789</c:v>
                </c:pt>
                <c:pt idx="1211">
                  <c:v>22.51372926537265</c:v>
                </c:pt>
                <c:pt idx="1212">
                  <c:v>23.263067875938681</c:v>
                </c:pt>
                <c:pt idx="1213">
                  <c:v>22.553518574821261</c:v>
                </c:pt>
                <c:pt idx="1214">
                  <c:v>22.705731859037751</c:v>
                </c:pt>
                <c:pt idx="1215">
                  <c:v>22.409108911458318</c:v>
                </c:pt>
                <c:pt idx="1216">
                  <c:v>22.896828546969839</c:v>
                </c:pt>
                <c:pt idx="1217">
                  <c:v>22.196230849567758</c:v>
                </c:pt>
                <c:pt idx="1218">
                  <c:v>21.418161154056591</c:v>
                </c:pt>
                <c:pt idx="1219">
                  <c:v>21.919388496859721</c:v>
                </c:pt>
                <c:pt idx="1220">
                  <c:v>21.053955795155449</c:v>
                </c:pt>
                <c:pt idx="1221">
                  <c:v>20.073666932167249</c:v>
                </c:pt>
                <c:pt idx="1222">
                  <c:v>20.10056023662268</c:v>
                </c:pt>
                <c:pt idx="1223">
                  <c:v>20.110953604336689</c:v>
                </c:pt>
                <c:pt idx="1224">
                  <c:v>19.782802238224779</c:v>
                </c:pt>
                <c:pt idx="1225">
                  <c:v>19.0985885190026</c:v>
                </c:pt>
                <c:pt idx="1226">
                  <c:v>19.254528236100299</c:v>
                </c:pt>
                <c:pt idx="1227">
                  <c:v>19.541616169395802</c:v>
                </c:pt>
                <c:pt idx="1228">
                  <c:v>18.8560259805501</c:v>
                </c:pt>
                <c:pt idx="1229">
                  <c:v>18.519972989896701</c:v>
                </c:pt>
                <c:pt idx="1230">
                  <c:v>18.369609752478102</c:v>
                </c:pt>
                <c:pt idx="1231">
                  <c:v>19.2861370906909</c:v>
                </c:pt>
                <c:pt idx="1232">
                  <c:v>19.249168587194099</c:v>
                </c:pt>
                <c:pt idx="1233">
                  <c:v>19.1263844971987</c:v>
                </c:pt>
                <c:pt idx="1234">
                  <c:v>19.241129277799701</c:v>
                </c:pt>
                <c:pt idx="1235">
                  <c:v>18.982789172103999</c:v>
                </c:pt>
                <c:pt idx="1236">
                  <c:v>19.463454983592001</c:v>
                </c:pt>
                <c:pt idx="1237">
                  <c:v>19.516767170036498</c:v>
                </c:pt>
                <c:pt idx="1238">
                  <c:v>19.710788019121502</c:v>
                </c:pt>
                <c:pt idx="1239">
                  <c:v>19.6614818068186</c:v>
                </c:pt>
                <c:pt idx="1240">
                  <c:v>19.723629414016798</c:v>
                </c:pt>
                <c:pt idx="1241">
                  <c:v>20.418153580558499</c:v>
                </c:pt>
                <c:pt idx="1242">
                  <c:v>20.140797176437399</c:v>
                </c:pt>
                <c:pt idx="1243">
                  <c:v>19.7960579140045</c:v>
                </c:pt>
                <c:pt idx="1244">
                  <c:v>19.6729289455483</c:v>
                </c:pt>
                <c:pt idx="1245">
                  <c:v>19.4029029211592</c:v>
                </c:pt>
                <c:pt idx="1246">
                  <c:v>19.3353370280783</c:v>
                </c:pt>
                <c:pt idx="1247">
                  <c:v>19.108709186548801</c:v>
                </c:pt>
                <c:pt idx="1248">
                  <c:v>18.984888574459301</c:v>
                </c:pt>
                <c:pt idx="1249">
                  <c:v>19.279681313207</c:v>
                </c:pt>
                <c:pt idx="1250">
                  <c:v>19.509179112931299</c:v>
                </c:pt>
                <c:pt idx="1251">
                  <c:v>19.568608095217499</c:v>
                </c:pt>
                <c:pt idx="1252">
                  <c:v>19.884486882808002</c:v>
                </c:pt>
                <c:pt idx="1253">
                  <c:v>20.682117784035899</c:v>
                </c:pt>
                <c:pt idx="1254">
                  <c:v>20.314985844720098</c:v>
                </c:pt>
                <c:pt idx="1255">
                  <c:v>19.6770649634527</c:v>
                </c:pt>
                <c:pt idx="1256">
                  <c:v>19.700618659312799</c:v>
                </c:pt>
                <c:pt idx="1257">
                  <c:v>19.362154389917901</c:v>
                </c:pt>
                <c:pt idx="1258">
                  <c:v>19.3945625848168</c:v>
                </c:pt>
                <c:pt idx="1259">
                  <c:v>21.461416619329501</c:v>
                </c:pt>
                <c:pt idx="1260">
                  <c:v>21.4593750764361</c:v>
                </c:pt>
                <c:pt idx="1261">
                  <c:v>22.429264558678799</c:v>
                </c:pt>
                <c:pt idx="1262">
                  <c:v>22.237297694747902</c:v>
                </c:pt>
                <c:pt idx="1263">
                  <c:v>22.711806223875701</c:v>
                </c:pt>
                <c:pt idx="1264">
                  <c:v>22.485273177537501</c:v>
                </c:pt>
                <c:pt idx="1265">
                  <c:v>21.090286645155601</c:v>
                </c:pt>
                <c:pt idx="1266">
                  <c:v>20.303541387193199</c:v>
                </c:pt>
                <c:pt idx="1267">
                  <c:v>20.4666693822846</c:v>
                </c:pt>
                <c:pt idx="1268">
                  <c:v>21.034771583852699</c:v>
                </c:pt>
                <c:pt idx="1269">
                  <c:v>21.587619164049599</c:v>
                </c:pt>
                <c:pt idx="1270">
                  <c:v>20.738145468969801</c:v>
                </c:pt>
                <c:pt idx="1271">
                  <c:v>19.958929167005302</c:v>
                </c:pt>
                <c:pt idx="1272">
                  <c:v>20.1176493404718</c:v>
                </c:pt>
                <c:pt idx="1273">
                  <c:v>19.785313789097501</c:v>
                </c:pt>
                <c:pt idx="1274">
                  <c:v>20.6380519593903</c:v>
                </c:pt>
                <c:pt idx="1275">
                  <c:v>19.709083858158898</c:v>
                </c:pt>
                <c:pt idx="1276">
                  <c:v>19.774456442504299</c:v>
                </c:pt>
                <c:pt idx="1277">
                  <c:v>20.206151972951002</c:v>
                </c:pt>
                <c:pt idx="1278">
                  <c:v>19.827868546044002</c:v>
                </c:pt>
                <c:pt idx="1279">
                  <c:v>18.505869941709001</c:v>
                </c:pt>
                <c:pt idx="1280">
                  <c:v>17.760250362744099</c:v>
                </c:pt>
                <c:pt idx="1281">
                  <c:v>18.0153367486806</c:v>
                </c:pt>
                <c:pt idx="1282">
                  <c:v>18.315187162158601</c:v>
                </c:pt>
                <c:pt idx="1283">
                  <c:v>18.095482984283201</c:v>
                </c:pt>
                <c:pt idx="1284">
                  <c:v>18.638391034542899</c:v>
                </c:pt>
                <c:pt idx="1285">
                  <c:v>18.280252046614098</c:v>
                </c:pt>
                <c:pt idx="1286">
                  <c:v>19.000400568913999</c:v>
                </c:pt>
                <c:pt idx="1287">
                  <c:v>18.2682685382422</c:v>
                </c:pt>
                <c:pt idx="1288">
                  <c:v>18.028050170034799</c:v>
                </c:pt>
                <c:pt idx="1289">
                  <c:v>17.609935980412899</c:v>
                </c:pt>
                <c:pt idx="1290">
                  <c:v>18.4559348069428</c:v>
                </c:pt>
                <c:pt idx="1291">
                  <c:v>18.4317206696123</c:v>
                </c:pt>
                <c:pt idx="1292">
                  <c:v>18.930513393282698</c:v>
                </c:pt>
                <c:pt idx="1293">
                  <c:v>18.6267314389898</c:v>
                </c:pt>
                <c:pt idx="1294">
                  <c:v>18.6819863067516</c:v>
                </c:pt>
                <c:pt idx="1295">
                  <c:v>18.306133667223001</c:v>
                </c:pt>
                <c:pt idx="1296">
                  <c:v>18.425162437045898</c:v>
                </c:pt>
                <c:pt idx="1297">
                  <c:v>18.562415167788501</c:v>
                </c:pt>
                <c:pt idx="1298">
                  <c:v>18.9429939248874</c:v>
                </c:pt>
                <c:pt idx="1299">
                  <c:v>18.299920771822801</c:v>
                </c:pt>
                <c:pt idx="1300">
                  <c:v>18.3039828601122</c:v>
                </c:pt>
                <c:pt idx="1301">
                  <c:v>18.2151972707324</c:v>
                </c:pt>
                <c:pt idx="1302">
                  <c:v>21.6863395233487</c:v>
                </c:pt>
                <c:pt idx="1303">
                  <c:v>23.619821012813901</c:v>
                </c:pt>
                <c:pt idx="1304">
                  <c:v>22.4118046313754</c:v>
                </c:pt>
                <c:pt idx="1305">
                  <c:v>20.807711535190599</c:v>
                </c:pt>
                <c:pt idx="1306">
                  <c:v>20.262283106611701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857-86B0-3F0D0AEA5D62}"/>
            </c:ext>
          </c:extLst>
        </c:ser>
        <c:ser>
          <c:idx val="2"/>
          <c:order val="1"/>
          <c:tx>
            <c:strRef>
              <c:f>vix!$C$1</c:f>
              <c:strCache>
                <c:ptCount val="1"/>
                <c:pt idx="0">
                  <c:v>Vix(实盘操作)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vix!vix_date</c:f>
              <c:numCache>
                <c:formatCode>yyyy\-mm\-dd\ hh:mm:ss</c:formatCode>
                <c:ptCount val="1307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42457</c:v>
                </c:pt>
                <c:pt idx="6">
                  <c:v>42458</c:v>
                </c:pt>
                <c:pt idx="7">
                  <c:v>42459</c:v>
                </c:pt>
                <c:pt idx="8">
                  <c:v>42460</c:v>
                </c:pt>
                <c:pt idx="9">
                  <c:v>42461</c:v>
                </c:pt>
                <c:pt idx="10">
                  <c:v>42465</c:v>
                </c:pt>
                <c:pt idx="11">
                  <c:v>42466</c:v>
                </c:pt>
                <c:pt idx="12">
                  <c:v>42467</c:v>
                </c:pt>
                <c:pt idx="13">
                  <c:v>42468</c:v>
                </c:pt>
                <c:pt idx="14">
                  <c:v>42471</c:v>
                </c:pt>
                <c:pt idx="15">
                  <c:v>42472</c:v>
                </c:pt>
                <c:pt idx="16">
                  <c:v>42473</c:v>
                </c:pt>
                <c:pt idx="17">
                  <c:v>42474</c:v>
                </c:pt>
                <c:pt idx="18">
                  <c:v>42475</c:v>
                </c:pt>
                <c:pt idx="19">
                  <c:v>42478</c:v>
                </c:pt>
                <c:pt idx="20">
                  <c:v>42479</c:v>
                </c:pt>
                <c:pt idx="21">
                  <c:v>42480</c:v>
                </c:pt>
                <c:pt idx="22">
                  <c:v>42481</c:v>
                </c:pt>
                <c:pt idx="23">
                  <c:v>42482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42493</c:v>
                </c:pt>
                <c:pt idx="30">
                  <c:v>42494</c:v>
                </c:pt>
                <c:pt idx="31">
                  <c:v>42495</c:v>
                </c:pt>
                <c:pt idx="32">
                  <c:v>42496</c:v>
                </c:pt>
                <c:pt idx="33">
                  <c:v>42499</c:v>
                </c:pt>
                <c:pt idx="34">
                  <c:v>42500</c:v>
                </c:pt>
                <c:pt idx="35">
                  <c:v>42501</c:v>
                </c:pt>
                <c:pt idx="36">
                  <c:v>42502</c:v>
                </c:pt>
                <c:pt idx="37">
                  <c:v>42503</c:v>
                </c:pt>
                <c:pt idx="38">
                  <c:v>42506</c:v>
                </c:pt>
                <c:pt idx="39">
                  <c:v>42507</c:v>
                </c:pt>
                <c:pt idx="40">
                  <c:v>42508</c:v>
                </c:pt>
                <c:pt idx="41">
                  <c:v>42509</c:v>
                </c:pt>
                <c:pt idx="42">
                  <c:v>42510</c:v>
                </c:pt>
                <c:pt idx="43">
                  <c:v>42513</c:v>
                </c:pt>
                <c:pt idx="44">
                  <c:v>42514</c:v>
                </c:pt>
                <c:pt idx="45">
                  <c:v>42515</c:v>
                </c:pt>
                <c:pt idx="46">
                  <c:v>42516</c:v>
                </c:pt>
                <c:pt idx="47">
                  <c:v>42517</c:v>
                </c:pt>
                <c:pt idx="48">
                  <c:v>42520</c:v>
                </c:pt>
                <c:pt idx="49">
                  <c:v>42521</c:v>
                </c:pt>
                <c:pt idx="50">
                  <c:v>42522</c:v>
                </c:pt>
                <c:pt idx="51">
                  <c:v>42523</c:v>
                </c:pt>
                <c:pt idx="52">
                  <c:v>42524</c:v>
                </c:pt>
                <c:pt idx="53">
                  <c:v>42527</c:v>
                </c:pt>
                <c:pt idx="54">
                  <c:v>42528</c:v>
                </c:pt>
                <c:pt idx="55">
                  <c:v>42529</c:v>
                </c:pt>
                <c:pt idx="56">
                  <c:v>42534</c:v>
                </c:pt>
                <c:pt idx="57">
                  <c:v>42535</c:v>
                </c:pt>
                <c:pt idx="58">
                  <c:v>42536</c:v>
                </c:pt>
                <c:pt idx="59">
                  <c:v>42537</c:v>
                </c:pt>
                <c:pt idx="60">
                  <c:v>42538</c:v>
                </c:pt>
                <c:pt idx="61">
                  <c:v>42541</c:v>
                </c:pt>
                <c:pt idx="62">
                  <c:v>42542</c:v>
                </c:pt>
                <c:pt idx="63">
                  <c:v>42543</c:v>
                </c:pt>
                <c:pt idx="64">
                  <c:v>42544</c:v>
                </c:pt>
                <c:pt idx="65">
                  <c:v>42545</c:v>
                </c:pt>
                <c:pt idx="66">
                  <c:v>42548</c:v>
                </c:pt>
                <c:pt idx="67">
                  <c:v>42549</c:v>
                </c:pt>
                <c:pt idx="68">
                  <c:v>42550</c:v>
                </c:pt>
                <c:pt idx="69">
                  <c:v>42551</c:v>
                </c:pt>
                <c:pt idx="70">
                  <c:v>42552</c:v>
                </c:pt>
                <c:pt idx="71">
                  <c:v>42555</c:v>
                </c:pt>
                <c:pt idx="72">
                  <c:v>42556</c:v>
                </c:pt>
                <c:pt idx="73">
                  <c:v>42557</c:v>
                </c:pt>
                <c:pt idx="74">
                  <c:v>42558</c:v>
                </c:pt>
                <c:pt idx="75">
                  <c:v>42559</c:v>
                </c:pt>
                <c:pt idx="76">
                  <c:v>42562</c:v>
                </c:pt>
                <c:pt idx="77">
                  <c:v>42563</c:v>
                </c:pt>
                <c:pt idx="78">
                  <c:v>42564</c:v>
                </c:pt>
                <c:pt idx="79">
                  <c:v>42565</c:v>
                </c:pt>
                <c:pt idx="80">
                  <c:v>42566</c:v>
                </c:pt>
                <c:pt idx="81">
                  <c:v>42569</c:v>
                </c:pt>
                <c:pt idx="82">
                  <c:v>42570</c:v>
                </c:pt>
                <c:pt idx="83">
                  <c:v>42571</c:v>
                </c:pt>
                <c:pt idx="84">
                  <c:v>42572</c:v>
                </c:pt>
                <c:pt idx="85">
                  <c:v>42573</c:v>
                </c:pt>
                <c:pt idx="86">
                  <c:v>42576</c:v>
                </c:pt>
                <c:pt idx="87">
                  <c:v>42577</c:v>
                </c:pt>
                <c:pt idx="88">
                  <c:v>42578</c:v>
                </c:pt>
                <c:pt idx="89">
                  <c:v>42579</c:v>
                </c:pt>
                <c:pt idx="90">
                  <c:v>42580</c:v>
                </c:pt>
                <c:pt idx="91">
                  <c:v>42583</c:v>
                </c:pt>
                <c:pt idx="92">
                  <c:v>42584</c:v>
                </c:pt>
                <c:pt idx="93">
                  <c:v>42585</c:v>
                </c:pt>
                <c:pt idx="94">
                  <c:v>42586</c:v>
                </c:pt>
                <c:pt idx="95">
                  <c:v>42587</c:v>
                </c:pt>
                <c:pt idx="96">
                  <c:v>42590</c:v>
                </c:pt>
                <c:pt idx="97">
                  <c:v>42591</c:v>
                </c:pt>
                <c:pt idx="98">
                  <c:v>42592</c:v>
                </c:pt>
                <c:pt idx="99">
                  <c:v>42593</c:v>
                </c:pt>
                <c:pt idx="100">
                  <c:v>42594</c:v>
                </c:pt>
                <c:pt idx="101">
                  <c:v>42597</c:v>
                </c:pt>
                <c:pt idx="102">
                  <c:v>42598</c:v>
                </c:pt>
                <c:pt idx="103">
                  <c:v>42599</c:v>
                </c:pt>
                <c:pt idx="104">
                  <c:v>42600</c:v>
                </c:pt>
                <c:pt idx="105">
                  <c:v>42601</c:v>
                </c:pt>
                <c:pt idx="106">
                  <c:v>42604</c:v>
                </c:pt>
                <c:pt idx="107">
                  <c:v>42605</c:v>
                </c:pt>
                <c:pt idx="108">
                  <c:v>42606</c:v>
                </c:pt>
                <c:pt idx="109">
                  <c:v>42607</c:v>
                </c:pt>
                <c:pt idx="110">
                  <c:v>42608</c:v>
                </c:pt>
                <c:pt idx="111">
                  <c:v>42611</c:v>
                </c:pt>
                <c:pt idx="112">
                  <c:v>42612</c:v>
                </c:pt>
                <c:pt idx="113">
                  <c:v>42613</c:v>
                </c:pt>
                <c:pt idx="114">
                  <c:v>42614</c:v>
                </c:pt>
                <c:pt idx="115">
                  <c:v>42615</c:v>
                </c:pt>
                <c:pt idx="116">
                  <c:v>42618</c:v>
                </c:pt>
                <c:pt idx="117">
                  <c:v>42619</c:v>
                </c:pt>
                <c:pt idx="118">
                  <c:v>42620</c:v>
                </c:pt>
                <c:pt idx="119">
                  <c:v>42621</c:v>
                </c:pt>
                <c:pt idx="120">
                  <c:v>42622</c:v>
                </c:pt>
                <c:pt idx="121">
                  <c:v>42625</c:v>
                </c:pt>
                <c:pt idx="122">
                  <c:v>42626</c:v>
                </c:pt>
                <c:pt idx="123">
                  <c:v>42627</c:v>
                </c:pt>
                <c:pt idx="124">
                  <c:v>42632</c:v>
                </c:pt>
                <c:pt idx="125">
                  <c:v>42633</c:v>
                </c:pt>
                <c:pt idx="126">
                  <c:v>42634</c:v>
                </c:pt>
                <c:pt idx="127">
                  <c:v>42635</c:v>
                </c:pt>
                <c:pt idx="128">
                  <c:v>42636</c:v>
                </c:pt>
                <c:pt idx="129">
                  <c:v>42639</c:v>
                </c:pt>
                <c:pt idx="130">
                  <c:v>42640</c:v>
                </c:pt>
                <c:pt idx="131">
                  <c:v>42641</c:v>
                </c:pt>
                <c:pt idx="132">
                  <c:v>42642</c:v>
                </c:pt>
                <c:pt idx="133">
                  <c:v>42643</c:v>
                </c:pt>
                <c:pt idx="134">
                  <c:v>42653</c:v>
                </c:pt>
                <c:pt idx="135">
                  <c:v>42654</c:v>
                </c:pt>
                <c:pt idx="136">
                  <c:v>42655</c:v>
                </c:pt>
                <c:pt idx="137">
                  <c:v>42656</c:v>
                </c:pt>
                <c:pt idx="138">
                  <c:v>42657</c:v>
                </c:pt>
                <c:pt idx="139">
                  <c:v>42660</c:v>
                </c:pt>
                <c:pt idx="140">
                  <c:v>42661</c:v>
                </c:pt>
                <c:pt idx="141">
                  <c:v>42662</c:v>
                </c:pt>
                <c:pt idx="142">
                  <c:v>42663</c:v>
                </c:pt>
                <c:pt idx="143">
                  <c:v>42664</c:v>
                </c:pt>
                <c:pt idx="144">
                  <c:v>42667</c:v>
                </c:pt>
                <c:pt idx="145">
                  <c:v>42668</c:v>
                </c:pt>
                <c:pt idx="146">
                  <c:v>42669</c:v>
                </c:pt>
                <c:pt idx="147">
                  <c:v>42670</c:v>
                </c:pt>
                <c:pt idx="148">
                  <c:v>42671</c:v>
                </c:pt>
                <c:pt idx="149">
                  <c:v>42674</c:v>
                </c:pt>
                <c:pt idx="150">
                  <c:v>42675</c:v>
                </c:pt>
                <c:pt idx="151">
                  <c:v>42676</c:v>
                </c:pt>
                <c:pt idx="152">
                  <c:v>42677</c:v>
                </c:pt>
                <c:pt idx="153">
                  <c:v>42678</c:v>
                </c:pt>
                <c:pt idx="154">
                  <c:v>42681</c:v>
                </c:pt>
                <c:pt idx="155">
                  <c:v>42682</c:v>
                </c:pt>
                <c:pt idx="156">
                  <c:v>42683</c:v>
                </c:pt>
                <c:pt idx="157">
                  <c:v>42684</c:v>
                </c:pt>
                <c:pt idx="158">
                  <c:v>42685</c:v>
                </c:pt>
                <c:pt idx="159">
                  <c:v>42688</c:v>
                </c:pt>
                <c:pt idx="160">
                  <c:v>42689</c:v>
                </c:pt>
                <c:pt idx="161">
                  <c:v>42690</c:v>
                </c:pt>
                <c:pt idx="162">
                  <c:v>42691</c:v>
                </c:pt>
                <c:pt idx="163">
                  <c:v>42692</c:v>
                </c:pt>
                <c:pt idx="164">
                  <c:v>42695</c:v>
                </c:pt>
                <c:pt idx="165">
                  <c:v>42696</c:v>
                </c:pt>
                <c:pt idx="166">
                  <c:v>42697</c:v>
                </c:pt>
                <c:pt idx="167">
                  <c:v>42698</c:v>
                </c:pt>
                <c:pt idx="168">
                  <c:v>42699</c:v>
                </c:pt>
                <c:pt idx="169">
                  <c:v>42702</c:v>
                </c:pt>
                <c:pt idx="170">
                  <c:v>42703</c:v>
                </c:pt>
                <c:pt idx="171">
                  <c:v>42704</c:v>
                </c:pt>
                <c:pt idx="172">
                  <c:v>42705</c:v>
                </c:pt>
                <c:pt idx="173">
                  <c:v>42706</c:v>
                </c:pt>
                <c:pt idx="174">
                  <c:v>42709</c:v>
                </c:pt>
                <c:pt idx="175">
                  <c:v>42710</c:v>
                </c:pt>
                <c:pt idx="176">
                  <c:v>42711</c:v>
                </c:pt>
                <c:pt idx="177">
                  <c:v>42712</c:v>
                </c:pt>
                <c:pt idx="178">
                  <c:v>42713</c:v>
                </c:pt>
                <c:pt idx="179">
                  <c:v>42716</c:v>
                </c:pt>
                <c:pt idx="180">
                  <c:v>42717</c:v>
                </c:pt>
                <c:pt idx="181">
                  <c:v>42718</c:v>
                </c:pt>
                <c:pt idx="182">
                  <c:v>42719</c:v>
                </c:pt>
                <c:pt idx="183">
                  <c:v>42720</c:v>
                </c:pt>
                <c:pt idx="184">
                  <c:v>42723</c:v>
                </c:pt>
                <c:pt idx="185">
                  <c:v>42724</c:v>
                </c:pt>
                <c:pt idx="186">
                  <c:v>42725</c:v>
                </c:pt>
                <c:pt idx="187">
                  <c:v>42726</c:v>
                </c:pt>
                <c:pt idx="188">
                  <c:v>42727</c:v>
                </c:pt>
                <c:pt idx="189">
                  <c:v>42730</c:v>
                </c:pt>
                <c:pt idx="190">
                  <c:v>42731</c:v>
                </c:pt>
                <c:pt idx="191">
                  <c:v>42732</c:v>
                </c:pt>
                <c:pt idx="192">
                  <c:v>42733</c:v>
                </c:pt>
                <c:pt idx="193">
                  <c:v>42734</c:v>
                </c:pt>
                <c:pt idx="194">
                  <c:v>42738</c:v>
                </c:pt>
                <c:pt idx="195">
                  <c:v>42739</c:v>
                </c:pt>
                <c:pt idx="196">
                  <c:v>42740</c:v>
                </c:pt>
                <c:pt idx="197">
                  <c:v>42741</c:v>
                </c:pt>
                <c:pt idx="198">
                  <c:v>42744</c:v>
                </c:pt>
                <c:pt idx="199">
                  <c:v>42745</c:v>
                </c:pt>
                <c:pt idx="200">
                  <c:v>42746</c:v>
                </c:pt>
                <c:pt idx="201">
                  <c:v>42747</c:v>
                </c:pt>
                <c:pt idx="202">
                  <c:v>42748</c:v>
                </c:pt>
                <c:pt idx="203">
                  <c:v>42751</c:v>
                </c:pt>
                <c:pt idx="204">
                  <c:v>42752</c:v>
                </c:pt>
                <c:pt idx="205">
                  <c:v>42753</c:v>
                </c:pt>
                <c:pt idx="206">
                  <c:v>42754</c:v>
                </c:pt>
                <c:pt idx="207">
                  <c:v>42755</c:v>
                </c:pt>
                <c:pt idx="208">
                  <c:v>42758</c:v>
                </c:pt>
                <c:pt idx="209">
                  <c:v>42759</c:v>
                </c:pt>
                <c:pt idx="210">
                  <c:v>42760</c:v>
                </c:pt>
                <c:pt idx="211">
                  <c:v>42761</c:v>
                </c:pt>
                <c:pt idx="212">
                  <c:v>42769</c:v>
                </c:pt>
                <c:pt idx="213">
                  <c:v>42772</c:v>
                </c:pt>
                <c:pt idx="214">
                  <c:v>42773</c:v>
                </c:pt>
                <c:pt idx="215">
                  <c:v>42774</c:v>
                </c:pt>
                <c:pt idx="216">
                  <c:v>42775</c:v>
                </c:pt>
                <c:pt idx="217">
                  <c:v>42776</c:v>
                </c:pt>
                <c:pt idx="218">
                  <c:v>42779</c:v>
                </c:pt>
                <c:pt idx="219">
                  <c:v>42780</c:v>
                </c:pt>
                <c:pt idx="220">
                  <c:v>42781</c:v>
                </c:pt>
                <c:pt idx="221">
                  <c:v>42782</c:v>
                </c:pt>
                <c:pt idx="222">
                  <c:v>42783</c:v>
                </c:pt>
                <c:pt idx="223">
                  <c:v>42786</c:v>
                </c:pt>
                <c:pt idx="224">
                  <c:v>42787</c:v>
                </c:pt>
                <c:pt idx="225">
                  <c:v>42788</c:v>
                </c:pt>
                <c:pt idx="226">
                  <c:v>42789</c:v>
                </c:pt>
                <c:pt idx="227">
                  <c:v>42790</c:v>
                </c:pt>
                <c:pt idx="228">
                  <c:v>42793</c:v>
                </c:pt>
                <c:pt idx="229">
                  <c:v>42794</c:v>
                </c:pt>
                <c:pt idx="230">
                  <c:v>42795</c:v>
                </c:pt>
                <c:pt idx="231">
                  <c:v>42796</c:v>
                </c:pt>
                <c:pt idx="232">
                  <c:v>42797</c:v>
                </c:pt>
                <c:pt idx="233">
                  <c:v>42800</c:v>
                </c:pt>
                <c:pt idx="234">
                  <c:v>42801</c:v>
                </c:pt>
                <c:pt idx="235">
                  <c:v>42802</c:v>
                </c:pt>
                <c:pt idx="236">
                  <c:v>42803</c:v>
                </c:pt>
                <c:pt idx="237">
                  <c:v>42804</c:v>
                </c:pt>
                <c:pt idx="238">
                  <c:v>42807</c:v>
                </c:pt>
                <c:pt idx="239">
                  <c:v>42808</c:v>
                </c:pt>
                <c:pt idx="240">
                  <c:v>42809</c:v>
                </c:pt>
                <c:pt idx="241">
                  <c:v>42810</c:v>
                </c:pt>
                <c:pt idx="242">
                  <c:v>42811</c:v>
                </c:pt>
                <c:pt idx="243">
                  <c:v>42814</c:v>
                </c:pt>
                <c:pt idx="244">
                  <c:v>42815</c:v>
                </c:pt>
                <c:pt idx="245">
                  <c:v>42816</c:v>
                </c:pt>
                <c:pt idx="246">
                  <c:v>42817</c:v>
                </c:pt>
                <c:pt idx="247">
                  <c:v>42818</c:v>
                </c:pt>
                <c:pt idx="248">
                  <c:v>42821</c:v>
                </c:pt>
                <c:pt idx="249">
                  <c:v>42822</c:v>
                </c:pt>
                <c:pt idx="250">
                  <c:v>42823</c:v>
                </c:pt>
                <c:pt idx="251">
                  <c:v>42824</c:v>
                </c:pt>
                <c:pt idx="252">
                  <c:v>42825</c:v>
                </c:pt>
                <c:pt idx="253">
                  <c:v>42830</c:v>
                </c:pt>
                <c:pt idx="254">
                  <c:v>42831</c:v>
                </c:pt>
                <c:pt idx="255">
                  <c:v>42832</c:v>
                </c:pt>
                <c:pt idx="256">
                  <c:v>42835</c:v>
                </c:pt>
                <c:pt idx="257">
                  <c:v>42836</c:v>
                </c:pt>
                <c:pt idx="258">
                  <c:v>42837</c:v>
                </c:pt>
                <c:pt idx="259">
                  <c:v>42838</c:v>
                </c:pt>
                <c:pt idx="260">
                  <c:v>42839</c:v>
                </c:pt>
                <c:pt idx="261">
                  <c:v>42842</c:v>
                </c:pt>
                <c:pt idx="262">
                  <c:v>42843</c:v>
                </c:pt>
                <c:pt idx="263">
                  <c:v>42844</c:v>
                </c:pt>
                <c:pt idx="264">
                  <c:v>42845</c:v>
                </c:pt>
                <c:pt idx="265">
                  <c:v>42846</c:v>
                </c:pt>
                <c:pt idx="266">
                  <c:v>42849</c:v>
                </c:pt>
                <c:pt idx="267">
                  <c:v>42850</c:v>
                </c:pt>
                <c:pt idx="268">
                  <c:v>42851</c:v>
                </c:pt>
                <c:pt idx="269">
                  <c:v>42852</c:v>
                </c:pt>
                <c:pt idx="270">
                  <c:v>42853</c:v>
                </c:pt>
                <c:pt idx="271">
                  <c:v>42857</c:v>
                </c:pt>
                <c:pt idx="272">
                  <c:v>42858</c:v>
                </c:pt>
                <c:pt idx="273">
                  <c:v>42859</c:v>
                </c:pt>
                <c:pt idx="274">
                  <c:v>42860</c:v>
                </c:pt>
                <c:pt idx="275">
                  <c:v>42863</c:v>
                </c:pt>
                <c:pt idx="276">
                  <c:v>42864</c:v>
                </c:pt>
                <c:pt idx="277">
                  <c:v>42865</c:v>
                </c:pt>
                <c:pt idx="278">
                  <c:v>42866</c:v>
                </c:pt>
                <c:pt idx="279">
                  <c:v>42867</c:v>
                </c:pt>
                <c:pt idx="280">
                  <c:v>42870</c:v>
                </c:pt>
                <c:pt idx="281">
                  <c:v>42871</c:v>
                </c:pt>
                <c:pt idx="282">
                  <c:v>42872</c:v>
                </c:pt>
                <c:pt idx="283">
                  <c:v>42873</c:v>
                </c:pt>
                <c:pt idx="284">
                  <c:v>42874</c:v>
                </c:pt>
                <c:pt idx="285">
                  <c:v>42877</c:v>
                </c:pt>
                <c:pt idx="286">
                  <c:v>42878</c:v>
                </c:pt>
                <c:pt idx="287">
                  <c:v>42879</c:v>
                </c:pt>
                <c:pt idx="288">
                  <c:v>42880</c:v>
                </c:pt>
                <c:pt idx="289">
                  <c:v>42881</c:v>
                </c:pt>
                <c:pt idx="290">
                  <c:v>42886</c:v>
                </c:pt>
                <c:pt idx="291">
                  <c:v>42887</c:v>
                </c:pt>
                <c:pt idx="292">
                  <c:v>42888</c:v>
                </c:pt>
                <c:pt idx="293">
                  <c:v>42891</c:v>
                </c:pt>
                <c:pt idx="294">
                  <c:v>42892</c:v>
                </c:pt>
                <c:pt idx="295">
                  <c:v>42893</c:v>
                </c:pt>
                <c:pt idx="296">
                  <c:v>42894</c:v>
                </c:pt>
                <c:pt idx="297">
                  <c:v>42895</c:v>
                </c:pt>
                <c:pt idx="298">
                  <c:v>42898</c:v>
                </c:pt>
                <c:pt idx="299">
                  <c:v>42899</c:v>
                </c:pt>
                <c:pt idx="300">
                  <c:v>42900</c:v>
                </c:pt>
                <c:pt idx="301">
                  <c:v>42901</c:v>
                </c:pt>
                <c:pt idx="302">
                  <c:v>42902</c:v>
                </c:pt>
                <c:pt idx="303">
                  <c:v>42905</c:v>
                </c:pt>
                <c:pt idx="304">
                  <c:v>42906</c:v>
                </c:pt>
                <c:pt idx="305">
                  <c:v>42907</c:v>
                </c:pt>
                <c:pt idx="306">
                  <c:v>42908</c:v>
                </c:pt>
                <c:pt idx="307">
                  <c:v>42909</c:v>
                </c:pt>
                <c:pt idx="308">
                  <c:v>42912</c:v>
                </c:pt>
                <c:pt idx="309">
                  <c:v>42913</c:v>
                </c:pt>
                <c:pt idx="310">
                  <c:v>42914</c:v>
                </c:pt>
                <c:pt idx="311">
                  <c:v>42915</c:v>
                </c:pt>
                <c:pt idx="312">
                  <c:v>42916</c:v>
                </c:pt>
                <c:pt idx="313">
                  <c:v>42919</c:v>
                </c:pt>
                <c:pt idx="314">
                  <c:v>42920</c:v>
                </c:pt>
                <c:pt idx="315">
                  <c:v>42921</c:v>
                </c:pt>
                <c:pt idx="316">
                  <c:v>42922</c:v>
                </c:pt>
                <c:pt idx="317">
                  <c:v>42923</c:v>
                </c:pt>
                <c:pt idx="318">
                  <c:v>42926</c:v>
                </c:pt>
                <c:pt idx="319">
                  <c:v>42927</c:v>
                </c:pt>
                <c:pt idx="320">
                  <c:v>42928</c:v>
                </c:pt>
                <c:pt idx="321">
                  <c:v>42929</c:v>
                </c:pt>
                <c:pt idx="322">
                  <c:v>42930</c:v>
                </c:pt>
                <c:pt idx="323">
                  <c:v>42933</c:v>
                </c:pt>
                <c:pt idx="324">
                  <c:v>42934</c:v>
                </c:pt>
                <c:pt idx="325">
                  <c:v>42935</c:v>
                </c:pt>
                <c:pt idx="326">
                  <c:v>42936</c:v>
                </c:pt>
                <c:pt idx="327">
                  <c:v>42937</c:v>
                </c:pt>
                <c:pt idx="328">
                  <c:v>42940</c:v>
                </c:pt>
                <c:pt idx="329">
                  <c:v>42941</c:v>
                </c:pt>
                <c:pt idx="330">
                  <c:v>42942</c:v>
                </c:pt>
                <c:pt idx="331">
                  <c:v>42943</c:v>
                </c:pt>
                <c:pt idx="332">
                  <c:v>42944</c:v>
                </c:pt>
                <c:pt idx="333">
                  <c:v>42947</c:v>
                </c:pt>
                <c:pt idx="334">
                  <c:v>42948</c:v>
                </c:pt>
                <c:pt idx="335">
                  <c:v>42949</c:v>
                </c:pt>
                <c:pt idx="336">
                  <c:v>42950</c:v>
                </c:pt>
                <c:pt idx="337">
                  <c:v>42951</c:v>
                </c:pt>
                <c:pt idx="338">
                  <c:v>42954</c:v>
                </c:pt>
                <c:pt idx="339">
                  <c:v>42955</c:v>
                </c:pt>
                <c:pt idx="340">
                  <c:v>42956</c:v>
                </c:pt>
                <c:pt idx="341">
                  <c:v>42957</c:v>
                </c:pt>
                <c:pt idx="342">
                  <c:v>42958</c:v>
                </c:pt>
                <c:pt idx="343">
                  <c:v>42961</c:v>
                </c:pt>
                <c:pt idx="344">
                  <c:v>42962</c:v>
                </c:pt>
                <c:pt idx="345">
                  <c:v>42963</c:v>
                </c:pt>
                <c:pt idx="346">
                  <c:v>42964</c:v>
                </c:pt>
                <c:pt idx="347">
                  <c:v>42965</c:v>
                </c:pt>
                <c:pt idx="348">
                  <c:v>42968</c:v>
                </c:pt>
                <c:pt idx="349">
                  <c:v>42969</c:v>
                </c:pt>
                <c:pt idx="350">
                  <c:v>42970</c:v>
                </c:pt>
                <c:pt idx="351">
                  <c:v>42971</c:v>
                </c:pt>
                <c:pt idx="352">
                  <c:v>42972</c:v>
                </c:pt>
                <c:pt idx="353">
                  <c:v>42975</c:v>
                </c:pt>
                <c:pt idx="354">
                  <c:v>42976</c:v>
                </c:pt>
                <c:pt idx="355">
                  <c:v>42977</c:v>
                </c:pt>
                <c:pt idx="356">
                  <c:v>42978</c:v>
                </c:pt>
                <c:pt idx="357">
                  <c:v>42979</c:v>
                </c:pt>
                <c:pt idx="358">
                  <c:v>42982</c:v>
                </c:pt>
                <c:pt idx="359">
                  <c:v>42983</c:v>
                </c:pt>
                <c:pt idx="360">
                  <c:v>42984</c:v>
                </c:pt>
                <c:pt idx="361">
                  <c:v>42985</c:v>
                </c:pt>
                <c:pt idx="362">
                  <c:v>42986</c:v>
                </c:pt>
                <c:pt idx="363">
                  <c:v>42989</c:v>
                </c:pt>
                <c:pt idx="364">
                  <c:v>42990</c:v>
                </c:pt>
                <c:pt idx="365">
                  <c:v>42991</c:v>
                </c:pt>
                <c:pt idx="366">
                  <c:v>42992</c:v>
                </c:pt>
                <c:pt idx="367">
                  <c:v>42993</c:v>
                </c:pt>
                <c:pt idx="368">
                  <c:v>42996</c:v>
                </c:pt>
                <c:pt idx="369">
                  <c:v>42997</c:v>
                </c:pt>
                <c:pt idx="370">
                  <c:v>42998</c:v>
                </c:pt>
                <c:pt idx="371">
                  <c:v>42999</c:v>
                </c:pt>
                <c:pt idx="372">
                  <c:v>43000</c:v>
                </c:pt>
                <c:pt idx="373">
                  <c:v>43003</c:v>
                </c:pt>
                <c:pt idx="374">
                  <c:v>43004</c:v>
                </c:pt>
                <c:pt idx="375">
                  <c:v>43005</c:v>
                </c:pt>
                <c:pt idx="376">
                  <c:v>43006</c:v>
                </c:pt>
                <c:pt idx="377">
                  <c:v>43007</c:v>
                </c:pt>
                <c:pt idx="378">
                  <c:v>43017</c:v>
                </c:pt>
                <c:pt idx="379">
                  <c:v>43018</c:v>
                </c:pt>
                <c:pt idx="380">
                  <c:v>43019</c:v>
                </c:pt>
                <c:pt idx="381">
                  <c:v>43020</c:v>
                </c:pt>
                <c:pt idx="382">
                  <c:v>43021</c:v>
                </c:pt>
                <c:pt idx="383">
                  <c:v>43024</c:v>
                </c:pt>
                <c:pt idx="384">
                  <c:v>43025</c:v>
                </c:pt>
                <c:pt idx="385">
                  <c:v>43026</c:v>
                </c:pt>
                <c:pt idx="386">
                  <c:v>43027</c:v>
                </c:pt>
                <c:pt idx="387">
                  <c:v>43028</c:v>
                </c:pt>
                <c:pt idx="388">
                  <c:v>43031</c:v>
                </c:pt>
                <c:pt idx="389">
                  <c:v>43032</c:v>
                </c:pt>
                <c:pt idx="390">
                  <c:v>43033</c:v>
                </c:pt>
                <c:pt idx="391">
                  <c:v>43034</c:v>
                </c:pt>
                <c:pt idx="392">
                  <c:v>43035</c:v>
                </c:pt>
                <c:pt idx="393">
                  <c:v>43038</c:v>
                </c:pt>
                <c:pt idx="394">
                  <c:v>43039</c:v>
                </c:pt>
                <c:pt idx="395">
                  <c:v>43040</c:v>
                </c:pt>
                <c:pt idx="396">
                  <c:v>43041</c:v>
                </c:pt>
                <c:pt idx="397">
                  <c:v>43042</c:v>
                </c:pt>
                <c:pt idx="398">
                  <c:v>43045</c:v>
                </c:pt>
                <c:pt idx="399">
                  <c:v>43046</c:v>
                </c:pt>
                <c:pt idx="400">
                  <c:v>43047</c:v>
                </c:pt>
                <c:pt idx="401">
                  <c:v>43048</c:v>
                </c:pt>
                <c:pt idx="402">
                  <c:v>43049</c:v>
                </c:pt>
                <c:pt idx="403">
                  <c:v>43052</c:v>
                </c:pt>
                <c:pt idx="404">
                  <c:v>43053</c:v>
                </c:pt>
                <c:pt idx="405">
                  <c:v>43054</c:v>
                </c:pt>
                <c:pt idx="406">
                  <c:v>43055</c:v>
                </c:pt>
                <c:pt idx="407">
                  <c:v>43056</c:v>
                </c:pt>
                <c:pt idx="408">
                  <c:v>43059</c:v>
                </c:pt>
                <c:pt idx="409">
                  <c:v>43060</c:v>
                </c:pt>
                <c:pt idx="410">
                  <c:v>43061</c:v>
                </c:pt>
                <c:pt idx="411">
                  <c:v>43062</c:v>
                </c:pt>
                <c:pt idx="412">
                  <c:v>43063</c:v>
                </c:pt>
                <c:pt idx="413">
                  <c:v>43066</c:v>
                </c:pt>
                <c:pt idx="414">
                  <c:v>43067</c:v>
                </c:pt>
                <c:pt idx="415">
                  <c:v>43068</c:v>
                </c:pt>
                <c:pt idx="416">
                  <c:v>43069</c:v>
                </c:pt>
                <c:pt idx="417">
                  <c:v>43070</c:v>
                </c:pt>
                <c:pt idx="418">
                  <c:v>43073</c:v>
                </c:pt>
                <c:pt idx="419">
                  <c:v>43074</c:v>
                </c:pt>
                <c:pt idx="420">
                  <c:v>43075</c:v>
                </c:pt>
                <c:pt idx="421">
                  <c:v>43076</c:v>
                </c:pt>
                <c:pt idx="422">
                  <c:v>43077</c:v>
                </c:pt>
                <c:pt idx="423">
                  <c:v>43080</c:v>
                </c:pt>
                <c:pt idx="424">
                  <c:v>43081</c:v>
                </c:pt>
                <c:pt idx="425">
                  <c:v>43082</c:v>
                </c:pt>
                <c:pt idx="426">
                  <c:v>43083</c:v>
                </c:pt>
                <c:pt idx="427">
                  <c:v>43084</c:v>
                </c:pt>
                <c:pt idx="428">
                  <c:v>43087</c:v>
                </c:pt>
                <c:pt idx="429">
                  <c:v>43088</c:v>
                </c:pt>
                <c:pt idx="430">
                  <c:v>43089</c:v>
                </c:pt>
                <c:pt idx="431">
                  <c:v>43090</c:v>
                </c:pt>
                <c:pt idx="432">
                  <c:v>43091</c:v>
                </c:pt>
                <c:pt idx="433">
                  <c:v>43094</c:v>
                </c:pt>
                <c:pt idx="434">
                  <c:v>43095</c:v>
                </c:pt>
                <c:pt idx="435">
                  <c:v>43096</c:v>
                </c:pt>
                <c:pt idx="436">
                  <c:v>43097</c:v>
                </c:pt>
                <c:pt idx="437">
                  <c:v>43098</c:v>
                </c:pt>
                <c:pt idx="438">
                  <c:v>43102</c:v>
                </c:pt>
                <c:pt idx="439">
                  <c:v>43103</c:v>
                </c:pt>
                <c:pt idx="440">
                  <c:v>43104</c:v>
                </c:pt>
                <c:pt idx="441">
                  <c:v>43105</c:v>
                </c:pt>
                <c:pt idx="442">
                  <c:v>43108</c:v>
                </c:pt>
                <c:pt idx="443">
                  <c:v>43109</c:v>
                </c:pt>
                <c:pt idx="444">
                  <c:v>43110</c:v>
                </c:pt>
                <c:pt idx="445">
                  <c:v>43111</c:v>
                </c:pt>
                <c:pt idx="446">
                  <c:v>43112</c:v>
                </c:pt>
                <c:pt idx="447">
                  <c:v>43115</c:v>
                </c:pt>
                <c:pt idx="448">
                  <c:v>43116</c:v>
                </c:pt>
                <c:pt idx="449">
                  <c:v>43117</c:v>
                </c:pt>
                <c:pt idx="450">
                  <c:v>43118</c:v>
                </c:pt>
                <c:pt idx="451">
                  <c:v>43119</c:v>
                </c:pt>
                <c:pt idx="452">
                  <c:v>43122</c:v>
                </c:pt>
                <c:pt idx="453">
                  <c:v>43123</c:v>
                </c:pt>
                <c:pt idx="454">
                  <c:v>43124</c:v>
                </c:pt>
                <c:pt idx="455">
                  <c:v>43125</c:v>
                </c:pt>
                <c:pt idx="456">
                  <c:v>43126</c:v>
                </c:pt>
                <c:pt idx="457">
                  <c:v>43129</c:v>
                </c:pt>
                <c:pt idx="458">
                  <c:v>43130</c:v>
                </c:pt>
                <c:pt idx="459">
                  <c:v>43131</c:v>
                </c:pt>
                <c:pt idx="460">
                  <c:v>43132</c:v>
                </c:pt>
                <c:pt idx="461">
                  <c:v>43133</c:v>
                </c:pt>
                <c:pt idx="462">
                  <c:v>43136</c:v>
                </c:pt>
                <c:pt idx="463">
                  <c:v>43137</c:v>
                </c:pt>
                <c:pt idx="464">
                  <c:v>43138</c:v>
                </c:pt>
                <c:pt idx="465">
                  <c:v>43139</c:v>
                </c:pt>
                <c:pt idx="466">
                  <c:v>43140</c:v>
                </c:pt>
                <c:pt idx="467">
                  <c:v>43143</c:v>
                </c:pt>
                <c:pt idx="468">
                  <c:v>43144</c:v>
                </c:pt>
                <c:pt idx="469">
                  <c:v>43145</c:v>
                </c:pt>
                <c:pt idx="470">
                  <c:v>43153</c:v>
                </c:pt>
                <c:pt idx="471">
                  <c:v>43154</c:v>
                </c:pt>
                <c:pt idx="472">
                  <c:v>43157</c:v>
                </c:pt>
                <c:pt idx="473">
                  <c:v>43158</c:v>
                </c:pt>
                <c:pt idx="474">
                  <c:v>43159</c:v>
                </c:pt>
                <c:pt idx="475">
                  <c:v>43160</c:v>
                </c:pt>
                <c:pt idx="476">
                  <c:v>43161</c:v>
                </c:pt>
                <c:pt idx="477">
                  <c:v>43164</c:v>
                </c:pt>
                <c:pt idx="478">
                  <c:v>43165</c:v>
                </c:pt>
                <c:pt idx="479">
                  <c:v>43166</c:v>
                </c:pt>
                <c:pt idx="480">
                  <c:v>43167</c:v>
                </c:pt>
                <c:pt idx="481">
                  <c:v>43168</c:v>
                </c:pt>
                <c:pt idx="482">
                  <c:v>43171</c:v>
                </c:pt>
                <c:pt idx="483">
                  <c:v>43172</c:v>
                </c:pt>
                <c:pt idx="484">
                  <c:v>43173</c:v>
                </c:pt>
                <c:pt idx="485">
                  <c:v>43174</c:v>
                </c:pt>
                <c:pt idx="486">
                  <c:v>43175</c:v>
                </c:pt>
                <c:pt idx="487">
                  <c:v>43178</c:v>
                </c:pt>
                <c:pt idx="488">
                  <c:v>43179</c:v>
                </c:pt>
                <c:pt idx="489">
                  <c:v>43180</c:v>
                </c:pt>
                <c:pt idx="490">
                  <c:v>43181</c:v>
                </c:pt>
                <c:pt idx="491">
                  <c:v>43182</c:v>
                </c:pt>
                <c:pt idx="492">
                  <c:v>43185</c:v>
                </c:pt>
                <c:pt idx="493">
                  <c:v>43186</c:v>
                </c:pt>
                <c:pt idx="494">
                  <c:v>43187</c:v>
                </c:pt>
                <c:pt idx="495">
                  <c:v>43188</c:v>
                </c:pt>
                <c:pt idx="496">
                  <c:v>43189</c:v>
                </c:pt>
                <c:pt idx="497">
                  <c:v>43192</c:v>
                </c:pt>
                <c:pt idx="498">
                  <c:v>43193</c:v>
                </c:pt>
                <c:pt idx="499">
                  <c:v>43194</c:v>
                </c:pt>
                <c:pt idx="500">
                  <c:v>43199</c:v>
                </c:pt>
                <c:pt idx="501">
                  <c:v>43200</c:v>
                </c:pt>
                <c:pt idx="502">
                  <c:v>43201</c:v>
                </c:pt>
                <c:pt idx="503">
                  <c:v>43202</c:v>
                </c:pt>
                <c:pt idx="504">
                  <c:v>43203</c:v>
                </c:pt>
                <c:pt idx="505">
                  <c:v>43206</c:v>
                </c:pt>
                <c:pt idx="506">
                  <c:v>43207</c:v>
                </c:pt>
                <c:pt idx="507">
                  <c:v>43208</c:v>
                </c:pt>
                <c:pt idx="508">
                  <c:v>43209</c:v>
                </c:pt>
                <c:pt idx="509">
                  <c:v>43210</c:v>
                </c:pt>
                <c:pt idx="510">
                  <c:v>43213</c:v>
                </c:pt>
                <c:pt idx="511">
                  <c:v>43214</c:v>
                </c:pt>
                <c:pt idx="512">
                  <c:v>43215</c:v>
                </c:pt>
                <c:pt idx="513">
                  <c:v>43216</c:v>
                </c:pt>
                <c:pt idx="514">
                  <c:v>43217</c:v>
                </c:pt>
                <c:pt idx="515">
                  <c:v>43222</c:v>
                </c:pt>
                <c:pt idx="516">
                  <c:v>43223</c:v>
                </c:pt>
                <c:pt idx="517">
                  <c:v>43224</c:v>
                </c:pt>
                <c:pt idx="518">
                  <c:v>43227</c:v>
                </c:pt>
                <c:pt idx="519">
                  <c:v>43228</c:v>
                </c:pt>
                <c:pt idx="520">
                  <c:v>43229</c:v>
                </c:pt>
                <c:pt idx="521">
                  <c:v>43230</c:v>
                </c:pt>
                <c:pt idx="522">
                  <c:v>43231</c:v>
                </c:pt>
                <c:pt idx="523">
                  <c:v>43234</c:v>
                </c:pt>
                <c:pt idx="524">
                  <c:v>43235</c:v>
                </c:pt>
                <c:pt idx="525">
                  <c:v>43236</c:v>
                </c:pt>
                <c:pt idx="526">
                  <c:v>43237</c:v>
                </c:pt>
                <c:pt idx="527">
                  <c:v>43238</c:v>
                </c:pt>
                <c:pt idx="528">
                  <c:v>43241</c:v>
                </c:pt>
                <c:pt idx="529">
                  <c:v>43242</c:v>
                </c:pt>
                <c:pt idx="530">
                  <c:v>43243</c:v>
                </c:pt>
                <c:pt idx="531">
                  <c:v>43244</c:v>
                </c:pt>
                <c:pt idx="532">
                  <c:v>43245</c:v>
                </c:pt>
                <c:pt idx="533">
                  <c:v>43248</c:v>
                </c:pt>
                <c:pt idx="534">
                  <c:v>43249</c:v>
                </c:pt>
                <c:pt idx="535">
                  <c:v>43250</c:v>
                </c:pt>
                <c:pt idx="536">
                  <c:v>43251</c:v>
                </c:pt>
                <c:pt idx="537">
                  <c:v>43252</c:v>
                </c:pt>
                <c:pt idx="538">
                  <c:v>43255</c:v>
                </c:pt>
                <c:pt idx="539">
                  <c:v>43256</c:v>
                </c:pt>
                <c:pt idx="540">
                  <c:v>43257</c:v>
                </c:pt>
                <c:pt idx="541">
                  <c:v>43258</c:v>
                </c:pt>
                <c:pt idx="542">
                  <c:v>43259</c:v>
                </c:pt>
                <c:pt idx="543">
                  <c:v>43262</c:v>
                </c:pt>
                <c:pt idx="544">
                  <c:v>43263</c:v>
                </c:pt>
                <c:pt idx="545">
                  <c:v>43264</c:v>
                </c:pt>
                <c:pt idx="546">
                  <c:v>43265</c:v>
                </c:pt>
                <c:pt idx="547">
                  <c:v>43266</c:v>
                </c:pt>
                <c:pt idx="548">
                  <c:v>43270</c:v>
                </c:pt>
                <c:pt idx="549">
                  <c:v>43271</c:v>
                </c:pt>
                <c:pt idx="550">
                  <c:v>43272</c:v>
                </c:pt>
                <c:pt idx="551">
                  <c:v>43273</c:v>
                </c:pt>
                <c:pt idx="552">
                  <c:v>43276</c:v>
                </c:pt>
                <c:pt idx="553">
                  <c:v>43277</c:v>
                </c:pt>
                <c:pt idx="554">
                  <c:v>43278</c:v>
                </c:pt>
                <c:pt idx="555">
                  <c:v>43279</c:v>
                </c:pt>
                <c:pt idx="556">
                  <c:v>43280</c:v>
                </c:pt>
                <c:pt idx="557">
                  <c:v>43283</c:v>
                </c:pt>
                <c:pt idx="558">
                  <c:v>43284</c:v>
                </c:pt>
                <c:pt idx="559">
                  <c:v>43285</c:v>
                </c:pt>
                <c:pt idx="560">
                  <c:v>43286</c:v>
                </c:pt>
                <c:pt idx="561">
                  <c:v>43287</c:v>
                </c:pt>
                <c:pt idx="562">
                  <c:v>43290</c:v>
                </c:pt>
                <c:pt idx="563">
                  <c:v>43291</c:v>
                </c:pt>
                <c:pt idx="564">
                  <c:v>43292</c:v>
                </c:pt>
                <c:pt idx="565">
                  <c:v>43293</c:v>
                </c:pt>
                <c:pt idx="566">
                  <c:v>43294</c:v>
                </c:pt>
                <c:pt idx="567">
                  <c:v>43297</c:v>
                </c:pt>
                <c:pt idx="568">
                  <c:v>43298</c:v>
                </c:pt>
                <c:pt idx="569">
                  <c:v>43299</c:v>
                </c:pt>
                <c:pt idx="570">
                  <c:v>43300</c:v>
                </c:pt>
                <c:pt idx="571">
                  <c:v>43301</c:v>
                </c:pt>
                <c:pt idx="572">
                  <c:v>43304</c:v>
                </c:pt>
                <c:pt idx="573">
                  <c:v>43305</c:v>
                </c:pt>
                <c:pt idx="574">
                  <c:v>43306</c:v>
                </c:pt>
                <c:pt idx="575">
                  <c:v>43307</c:v>
                </c:pt>
                <c:pt idx="576">
                  <c:v>43308</c:v>
                </c:pt>
                <c:pt idx="577">
                  <c:v>43311</c:v>
                </c:pt>
                <c:pt idx="578">
                  <c:v>43312</c:v>
                </c:pt>
                <c:pt idx="579">
                  <c:v>43313</c:v>
                </c:pt>
                <c:pt idx="580">
                  <c:v>43314</c:v>
                </c:pt>
                <c:pt idx="581">
                  <c:v>43315</c:v>
                </c:pt>
                <c:pt idx="582">
                  <c:v>43318</c:v>
                </c:pt>
                <c:pt idx="583">
                  <c:v>43319</c:v>
                </c:pt>
                <c:pt idx="584">
                  <c:v>43320</c:v>
                </c:pt>
                <c:pt idx="585">
                  <c:v>43321</c:v>
                </c:pt>
                <c:pt idx="586">
                  <c:v>43322</c:v>
                </c:pt>
                <c:pt idx="587">
                  <c:v>43325</c:v>
                </c:pt>
                <c:pt idx="588">
                  <c:v>43326</c:v>
                </c:pt>
                <c:pt idx="589">
                  <c:v>43327</c:v>
                </c:pt>
                <c:pt idx="590">
                  <c:v>43328</c:v>
                </c:pt>
                <c:pt idx="591">
                  <c:v>43329</c:v>
                </c:pt>
                <c:pt idx="592">
                  <c:v>43332</c:v>
                </c:pt>
                <c:pt idx="593">
                  <c:v>43333</c:v>
                </c:pt>
                <c:pt idx="594">
                  <c:v>43334</c:v>
                </c:pt>
                <c:pt idx="595">
                  <c:v>43335</c:v>
                </c:pt>
                <c:pt idx="596">
                  <c:v>43336</c:v>
                </c:pt>
                <c:pt idx="597">
                  <c:v>43339</c:v>
                </c:pt>
                <c:pt idx="598">
                  <c:v>43340</c:v>
                </c:pt>
                <c:pt idx="599">
                  <c:v>43341</c:v>
                </c:pt>
                <c:pt idx="600">
                  <c:v>43342</c:v>
                </c:pt>
                <c:pt idx="601">
                  <c:v>43343</c:v>
                </c:pt>
                <c:pt idx="602">
                  <c:v>43346</c:v>
                </c:pt>
                <c:pt idx="603">
                  <c:v>43347</c:v>
                </c:pt>
                <c:pt idx="604">
                  <c:v>43348</c:v>
                </c:pt>
                <c:pt idx="605">
                  <c:v>43349</c:v>
                </c:pt>
                <c:pt idx="606">
                  <c:v>43350</c:v>
                </c:pt>
                <c:pt idx="607">
                  <c:v>43353</c:v>
                </c:pt>
                <c:pt idx="608">
                  <c:v>43354</c:v>
                </c:pt>
                <c:pt idx="609">
                  <c:v>43355</c:v>
                </c:pt>
                <c:pt idx="610">
                  <c:v>43356</c:v>
                </c:pt>
                <c:pt idx="611">
                  <c:v>43357</c:v>
                </c:pt>
                <c:pt idx="612">
                  <c:v>43360</c:v>
                </c:pt>
                <c:pt idx="613">
                  <c:v>43361</c:v>
                </c:pt>
                <c:pt idx="614">
                  <c:v>43362</c:v>
                </c:pt>
                <c:pt idx="615">
                  <c:v>43363</c:v>
                </c:pt>
                <c:pt idx="616">
                  <c:v>43364</c:v>
                </c:pt>
                <c:pt idx="617">
                  <c:v>43368</c:v>
                </c:pt>
                <c:pt idx="618">
                  <c:v>43369</c:v>
                </c:pt>
                <c:pt idx="619">
                  <c:v>43370</c:v>
                </c:pt>
                <c:pt idx="620">
                  <c:v>43371</c:v>
                </c:pt>
                <c:pt idx="621">
                  <c:v>43381</c:v>
                </c:pt>
                <c:pt idx="622">
                  <c:v>43382</c:v>
                </c:pt>
                <c:pt idx="623">
                  <c:v>43383</c:v>
                </c:pt>
                <c:pt idx="624">
                  <c:v>43384</c:v>
                </c:pt>
                <c:pt idx="625">
                  <c:v>43385</c:v>
                </c:pt>
                <c:pt idx="626">
                  <c:v>43388</c:v>
                </c:pt>
                <c:pt idx="627">
                  <c:v>43389</c:v>
                </c:pt>
                <c:pt idx="628">
                  <c:v>43390</c:v>
                </c:pt>
                <c:pt idx="629">
                  <c:v>43391</c:v>
                </c:pt>
                <c:pt idx="630">
                  <c:v>43392</c:v>
                </c:pt>
                <c:pt idx="631">
                  <c:v>43395</c:v>
                </c:pt>
                <c:pt idx="632">
                  <c:v>43396</c:v>
                </c:pt>
                <c:pt idx="633">
                  <c:v>43397</c:v>
                </c:pt>
                <c:pt idx="634">
                  <c:v>43398</c:v>
                </c:pt>
                <c:pt idx="635">
                  <c:v>43399</c:v>
                </c:pt>
                <c:pt idx="636">
                  <c:v>43402</c:v>
                </c:pt>
                <c:pt idx="637">
                  <c:v>43403</c:v>
                </c:pt>
                <c:pt idx="638">
                  <c:v>43404</c:v>
                </c:pt>
                <c:pt idx="639">
                  <c:v>43405</c:v>
                </c:pt>
                <c:pt idx="640">
                  <c:v>43406</c:v>
                </c:pt>
                <c:pt idx="641">
                  <c:v>43409</c:v>
                </c:pt>
                <c:pt idx="642">
                  <c:v>43410</c:v>
                </c:pt>
                <c:pt idx="643">
                  <c:v>43411</c:v>
                </c:pt>
                <c:pt idx="644">
                  <c:v>43412</c:v>
                </c:pt>
                <c:pt idx="645">
                  <c:v>43413</c:v>
                </c:pt>
                <c:pt idx="646">
                  <c:v>43416</c:v>
                </c:pt>
                <c:pt idx="647">
                  <c:v>43417</c:v>
                </c:pt>
                <c:pt idx="648">
                  <c:v>43418</c:v>
                </c:pt>
                <c:pt idx="649">
                  <c:v>43419</c:v>
                </c:pt>
                <c:pt idx="650">
                  <c:v>43420</c:v>
                </c:pt>
                <c:pt idx="651">
                  <c:v>43423</c:v>
                </c:pt>
                <c:pt idx="652">
                  <c:v>43424</c:v>
                </c:pt>
                <c:pt idx="653">
                  <c:v>43425</c:v>
                </c:pt>
                <c:pt idx="654">
                  <c:v>43426</c:v>
                </c:pt>
                <c:pt idx="655">
                  <c:v>43427</c:v>
                </c:pt>
                <c:pt idx="656">
                  <c:v>43430</c:v>
                </c:pt>
                <c:pt idx="657">
                  <c:v>43431</c:v>
                </c:pt>
                <c:pt idx="658">
                  <c:v>43432</c:v>
                </c:pt>
                <c:pt idx="659">
                  <c:v>43433</c:v>
                </c:pt>
                <c:pt idx="660">
                  <c:v>43434</c:v>
                </c:pt>
                <c:pt idx="661">
                  <c:v>43437</c:v>
                </c:pt>
                <c:pt idx="662">
                  <c:v>43438</c:v>
                </c:pt>
                <c:pt idx="663">
                  <c:v>43439</c:v>
                </c:pt>
                <c:pt idx="664">
                  <c:v>43440</c:v>
                </c:pt>
                <c:pt idx="665">
                  <c:v>43441</c:v>
                </c:pt>
                <c:pt idx="666">
                  <c:v>43444</c:v>
                </c:pt>
                <c:pt idx="667">
                  <c:v>43445</c:v>
                </c:pt>
                <c:pt idx="668">
                  <c:v>43446</c:v>
                </c:pt>
                <c:pt idx="669">
                  <c:v>43447</c:v>
                </c:pt>
                <c:pt idx="670">
                  <c:v>43448</c:v>
                </c:pt>
                <c:pt idx="671">
                  <c:v>43451</c:v>
                </c:pt>
                <c:pt idx="672">
                  <c:v>43452</c:v>
                </c:pt>
                <c:pt idx="673">
                  <c:v>43453</c:v>
                </c:pt>
                <c:pt idx="674">
                  <c:v>43454</c:v>
                </c:pt>
                <c:pt idx="675">
                  <c:v>43455</c:v>
                </c:pt>
                <c:pt idx="676">
                  <c:v>43458</c:v>
                </c:pt>
                <c:pt idx="677">
                  <c:v>43459</c:v>
                </c:pt>
                <c:pt idx="678">
                  <c:v>43460</c:v>
                </c:pt>
                <c:pt idx="679">
                  <c:v>43461</c:v>
                </c:pt>
                <c:pt idx="680">
                  <c:v>43462</c:v>
                </c:pt>
                <c:pt idx="681">
                  <c:v>43467</c:v>
                </c:pt>
                <c:pt idx="682">
                  <c:v>43468</c:v>
                </c:pt>
                <c:pt idx="683">
                  <c:v>43469</c:v>
                </c:pt>
                <c:pt idx="684">
                  <c:v>43472</c:v>
                </c:pt>
                <c:pt idx="685">
                  <c:v>43473</c:v>
                </c:pt>
                <c:pt idx="686">
                  <c:v>43474</c:v>
                </c:pt>
                <c:pt idx="687">
                  <c:v>43475</c:v>
                </c:pt>
                <c:pt idx="688">
                  <c:v>43476</c:v>
                </c:pt>
                <c:pt idx="689">
                  <c:v>43479</c:v>
                </c:pt>
                <c:pt idx="690">
                  <c:v>43480</c:v>
                </c:pt>
                <c:pt idx="691">
                  <c:v>43481</c:v>
                </c:pt>
                <c:pt idx="692">
                  <c:v>43482</c:v>
                </c:pt>
                <c:pt idx="693">
                  <c:v>43483</c:v>
                </c:pt>
                <c:pt idx="694">
                  <c:v>43486</c:v>
                </c:pt>
                <c:pt idx="695">
                  <c:v>43487</c:v>
                </c:pt>
                <c:pt idx="696">
                  <c:v>43488</c:v>
                </c:pt>
                <c:pt idx="697">
                  <c:v>43489</c:v>
                </c:pt>
                <c:pt idx="698">
                  <c:v>43490</c:v>
                </c:pt>
                <c:pt idx="699">
                  <c:v>43493</c:v>
                </c:pt>
                <c:pt idx="700">
                  <c:v>43494</c:v>
                </c:pt>
                <c:pt idx="701">
                  <c:v>43495</c:v>
                </c:pt>
                <c:pt idx="702">
                  <c:v>43496</c:v>
                </c:pt>
                <c:pt idx="703">
                  <c:v>43497</c:v>
                </c:pt>
                <c:pt idx="704">
                  <c:v>43507</c:v>
                </c:pt>
                <c:pt idx="705">
                  <c:v>43508</c:v>
                </c:pt>
                <c:pt idx="706">
                  <c:v>43509</c:v>
                </c:pt>
                <c:pt idx="707">
                  <c:v>43510</c:v>
                </c:pt>
                <c:pt idx="708">
                  <c:v>43511</c:v>
                </c:pt>
                <c:pt idx="709">
                  <c:v>43514</c:v>
                </c:pt>
                <c:pt idx="710">
                  <c:v>43515</c:v>
                </c:pt>
                <c:pt idx="711">
                  <c:v>43516</c:v>
                </c:pt>
                <c:pt idx="712">
                  <c:v>43517</c:v>
                </c:pt>
                <c:pt idx="713">
                  <c:v>43518</c:v>
                </c:pt>
                <c:pt idx="714">
                  <c:v>43521</c:v>
                </c:pt>
                <c:pt idx="715">
                  <c:v>43522</c:v>
                </c:pt>
                <c:pt idx="716">
                  <c:v>43523</c:v>
                </c:pt>
                <c:pt idx="717">
                  <c:v>43524</c:v>
                </c:pt>
                <c:pt idx="718">
                  <c:v>43525</c:v>
                </c:pt>
                <c:pt idx="719">
                  <c:v>43528</c:v>
                </c:pt>
                <c:pt idx="720">
                  <c:v>43529</c:v>
                </c:pt>
                <c:pt idx="721">
                  <c:v>43530</c:v>
                </c:pt>
                <c:pt idx="722">
                  <c:v>43531</c:v>
                </c:pt>
                <c:pt idx="723">
                  <c:v>43532</c:v>
                </c:pt>
                <c:pt idx="724">
                  <c:v>43535</c:v>
                </c:pt>
                <c:pt idx="725">
                  <c:v>43536</c:v>
                </c:pt>
                <c:pt idx="726">
                  <c:v>43537</c:v>
                </c:pt>
                <c:pt idx="727">
                  <c:v>43538</c:v>
                </c:pt>
                <c:pt idx="728">
                  <c:v>43539</c:v>
                </c:pt>
                <c:pt idx="729">
                  <c:v>43542</c:v>
                </c:pt>
                <c:pt idx="730">
                  <c:v>43543</c:v>
                </c:pt>
                <c:pt idx="731">
                  <c:v>43544</c:v>
                </c:pt>
                <c:pt idx="732">
                  <c:v>43545</c:v>
                </c:pt>
                <c:pt idx="733">
                  <c:v>43546</c:v>
                </c:pt>
                <c:pt idx="734">
                  <c:v>43549</c:v>
                </c:pt>
                <c:pt idx="735">
                  <c:v>43550</c:v>
                </c:pt>
                <c:pt idx="736">
                  <c:v>43551</c:v>
                </c:pt>
                <c:pt idx="737">
                  <c:v>43552</c:v>
                </c:pt>
                <c:pt idx="738">
                  <c:v>43553</c:v>
                </c:pt>
                <c:pt idx="739">
                  <c:v>43556</c:v>
                </c:pt>
                <c:pt idx="740">
                  <c:v>43557</c:v>
                </c:pt>
                <c:pt idx="741">
                  <c:v>43558</c:v>
                </c:pt>
                <c:pt idx="742">
                  <c:v>43559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43574</c:v>
                </c:pt>
                <c:pt idx="753">
                  <c:v>43577</c:v>
                </c:pt>
                <c:pt idx="754">
                  <c:v>43578</c:v>
                </c:pt>
                <c:pt idx="755">
                  <c:v>43579</c:v>
                </c:pt>
                <c:pt idx="756">
                  <c:v>43580</c:v>
                </c:pt>
                <c:pt idx="757">
                  <c:v>43581</c:v>
                </c:pt>
                <c:pt idx="758">
                  <c:v>43584</c:v>
                </c:pt>
                <c:pt idx="759">
                  <c:v>43585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43626</c:v>
                </c:pt>
                <c:pt idx="785">
                  <c:v>43627</c:v>
                </c:pt>
                <c:pt idx="786">
                  <c:v>43628</c:v>
                </c:pt>
                <c:pt idx="787">
                  <c:v>43629</c:v>
                </c:pt>
                <c:pt idx="788">
                  <c:v>43630</c:v>
                </c:pt>
                <c:pt idx="789">
                  <c:v>43633</c:v>
                </c:pt>
                <c:pt idx="790">
                  <c:v>43634</c:v>
                </c:pt>
                <c:pt idx="791">
                  <c:v>43635</c:v>
                </c:pt>
                <c:pt idx="792">
                  <c:v>43636</c:v>
                </c:pt>
                <c:pt idx="793">
                  <c:v>43637</c:v>
                </c:pt>
                <c:pt idx="794">
                  <c:v>43640</c:v>
                </c:pt>
                <c:pt idx="795">
                  <c:v>43641</c:v>
                </c:pt>
                <c:pt idx="796">
                  <c:v>43642</c:v>
                </c:pt>
                <c:pt idx="797">
                  <c:v>43643</c:v>
                </c:pt>
                <c:pt idx="798">
                  <c:v>43644</c:v>
                </c:pt>
                <c:pt idx="799">
                  <c:v>43647</c:v>
                </c:pt>
                <c:pt idx="800">
                  <c:v>43648</c:v>
                </c:pt>
                <c:pt idx="801">
                  <c:v>43649</c:v>
                </c:pt>
                <c:pt idx="802">
                  <c:v>43650</c:v>
                </c:pt>
                <c:pt idx="803">
                  <c:v>43651</c:v>
                </c:pt>
                <c:pt idx="804">
                  <c:v>43654</c:v>
                </c:pt>
                <c:pt idx="805">
                  <c:v>43655</c:v>
                </c:pt>
                <c:pt idx="806">
                  <c:v>43656</c:v>
                </c:pt>
                <c:pt idx="807">
                  <c:v>43657</c:v>
                </c:pt>
                <c:pt idx="808">
                  <c:v>43658</c:v>
                </c:pt>
                <c:pt idx="809">
                  <c:v>43661</c:v>
                </c:pt>
                <c:pt idx="810">
                  <c:v>43662</c:v>
                </c:pt>
                <c:pt idx="811">
                  <c:v>43663</c:v>
                </c:pt>
                <c:pt idx="812">
                  <c:v>43664</c:v>
                </c:pt>
                <c:pt idx="813">
                  <c:v>43665</c:v>
                </c:pt>
                <c:pt idx="814">
                  <c:v>43668</c:v>
                </c:pt>
                <c:pt idx="815">
                  <c:v>43669</c:v>
                </c:pt>
                <c:pt idx="816">
                  <c:v>43670</c:v>
                </c:pt>
                <c:pt idx="817">
                  <c:v>43671</c:v>
                </c:pt>
                <c:pt idx="818">
                  <c:v>43672</c:v>
                </c:pt>
                <c:pt idx="819">
                  <c:v>43675</c:v>
                </c:pt>
                <c:pt idx="820">
                  <c:v>43676</c:v>
                </c:pt>
                <c:pt idx="821">
                  <c:v>43677</c:v>
                </c:pt>
                <c:pt idx="822">
                  <c:v>43678</c:v>
                </c:pt>
                <c:pt idx="823">
                  <c:v>43679</c:v>
                </c:pt>
                <c:pt idx="824">
                  <c:v>43682</c:v>
                </c:pt>
                <c:pt idx="825">
                  <c:v>43683</c:v>
                </c:pt>
                <c:pt idx="826">
                  <c:v>43684</c:v>
                </c:pt>
                <c:pt idx="827">
                  <c:v>43685</c:v>
                </c:pt>
                <c:pt idx="828">
                  <c:v>43686</c:v>
                </c:pt>
                <c:pt idx="829">
                  <c:v>43689</c:v>
                </c:pt>
                <c:pt idx="830">
                  <c:v>43690</c:v>
                </c:pt>
                <c:pt idx="831">
                  <c:v>43691</c:v>
                </c:pt>
                <c:pt idx="832">
                  <c:v>43692</c:v>
                </c:pt>
                <c:pt idx="833">
                  <c:v>43693</c:v>
                </c:pt>
                <c:pt idx="834">
                  <c:v>43696</c:v>
                </c:pt>
                <c:pt idx="835">
                  <c:v>43697</c:v>
                </c:pt>
                <c:pt idx="836">
                  <c:v>43698</c:v>
                </c:pt>
                <c:pt idx="837">
                  <c:v>43699</c:v>
                </c:pt>
                <c:pt idx="838">
                  <c:v>43700</c:v>
                </c:pt>
                <c:pt idx="839">
                  <c:v>43703</c:v>
                </c:pt>
                <c:pt idx="840">
                  <c:v>43704</c:v>
                </c:pt>
                <c:pt idx="841">
                  <c:v>43705</c:v>
                </c:pt>
                <c:pt idx="842">
                  <c:v>43706</c:v>
                </c:pt>
                <c:pt idx="843">
                  <c:v>43707</c:v>
                </c:pt>
                <c:pt idx="844">
                  <c:v>43710</c:v>
                </c:pt>
                <c:pt idx="845">
                  <c:v>43711</c:v>
                </c:pt>
                <c:pt idx="846">
                  <c:v>43712</c:v>
                </c:pt>
                <c:pt idx="847">
                  <c:v>43713</c:v>
                </c:pt>
                <c:pt idx="848">
                  <c:v>43714</c:v>
                </c:pt>
                <c:pt idx="849">
                  <c:v>43717</c:v>
                </c:pt>
                <c:pt idx="850">
                  <c:v>43718</c:v>
                </c:pt>
                <c:pt idx="851">
                  <c:v>43719</c:v>
                </c:pt>
                <c:pt idx="852">
                  <c:v>43720</c:v>
                </c:pt>
                <c:pt idx="853">
                  <c:v>43724</c:v>
                </c:pt>
                <c:pt idx="854">
                  <c:v>43725</c:v>
                </c:pt>
                <c:pt idx="855">
                  <c:v>43726</c:v>
                </c:pt>
                <c:pt idx="856">
                  <c:v>43727</c:v>
                </c:pt>
                <c:pt idx="857">
                  <c:v>43728</c:v>
                </c:pt>
                <c:pt idx="858">
                  <c:v>43731</c:v>
                </c:pt>
                <c:pt idx="859">
                  <c:v>43732</c:v>
                </c:pt>
                <c:pt idx="860">
                  <c:v>43733</c:v>
                </c:pt>
                <c:pt idx="861">
                  <c:v>43734</c:v>
                </c:pt>
                <c:pt idx="862">
                  <c:v>43735</c:v>
                </c:pt>
                <c:pt idx="863">
                  <c:v>43738</c:v>
                </c:pt>
                <c:pt idx="864">
                  <c:v>43746</c:v>
                </c:pt>
                <c:pt idx="865">
                  <c:v>43747</c:v>
                </c:pt>
                <c:pt idx="866">
                  <c:v>43748</c:v>
                </c:pt>
                <c:pt idx="867">
                  <c:v>43749</c:v>
                </c:pt>
                <c:pt idx="868">
                  <c:v>43752</c:v>
                </c:pt>
                <c:pt idx="869">
                  <c:v>43753</c:v>
                </c:pt>
                <c:pt idx="870">
                  <c:v>43754</c:v>
                </c:pt>
                <c:pt idx="871">
                  <c:v>43755</c:v>
                </c:pt>
                <c:pt idx="872">
                  <c:v>43756</c:v>
                </c:pt>
                <c:pt idx="873">
                  <c:v>43759</c:v>
                </c:pt>
                <c:pt idx="874">
                  <c:v>43760</c:v>
                </c:pt>
                <c:pt idx="875">
                  <c:v>43761</c:v>
                </c:pt>
                <c:pt idx="876">
                  <c:v>43762</c:v>
                </c:pt>
                <c:pt idx="877">
                  <c:v>43763</c:v>
                </c:pt>
                <c:pt idx="878">
                  <c:v>43766</c:v>
                </c:pt>
                <c:pt idx="879">
                  <c:v>43767</c:v>
                </c:pt>
                <c:pt idx="880">
                  <c:v>43768</c:v>
                </c:pt>
                <c:pt idx="881">
                  <c:v>43769</c:v>
                </c:pt>
                <c:pt idx="882">
                  <c:v>43770</c:v>
                </c:pt>
                <c:pt idx="883">
                  <c:v>43773</c:v>
                </c:pt>
                <c:pt idx="884">
                  <c:v>43774</c:v>
                </c:pt>
                <c:pt idx="885">
                  <c:v>43775</c:v>
                </c:pt>
                <c:pt idx="886">
                  <c:v>43776</c:v>
                </c:pt>
                <c:pt idx="887">
                  <c:v>43777</c:v>
                </c:pt>
                <c:pt idx="888">
                  <c:v>43780</c:v>
                </c:pt>
                <c:pt idx="889">
                  <c:v>43781</c:v>
                </c:pt>
                <c:pt idx="890">
                  <c:v>43782</c:v>
                </c:pt>
                <c:pt idx="891">
                  <c:v>43783</c:v>
                </c:pt>
                <c:pt idx="892">
                  <c:v>43784</c:v>
                </c:pt>
                <c:pt idx="893">
                  <c:v>43787</c:v>
                </c:pt>
                <c:pt idx="894">
                  <c:v>43788</c:v>
                </c:pt>
                <c:pt idx="895">
                  <c:v>43789</c:v>
                </c:pt>
                <c:pt idx="896">
                  <c:v>43790</c:v>
                </c:pt>
                <c:pt idx="897">
                  <c:v>43791</c:v>
                </c:pt>
                <c:pt idx="898">
                  <c:v>43794</c:v>
                </c:pt>
                <c:pt idx="899">
                  <c:v>43795</c:v>
                </c:pt>
                <c:pt idx="900">
                  <c:v>43796</c:v>
                </c:pt>
                <c:pt idx="901">
                  <c:v>43797</c:v>
                </c:pt>
                <c:pt idx="902">
                  <c:v>43798</c:v>
                </c:pt>
                <c:pt idx="903">
                  <c:v>43801</c:v>
                </c:pt>
                <c:pt idx="904">
                  <c:v>43802</c:v>
                </c:pt>
                <c:pt idx="905">
                  <c:v>43803</c:v>
                </c:pt>
                <c:pt idx="906">
                  <c:v>43804</c:v>
                </c:pt>
                <c:pt idx="907">
                  <c:v>43805</c:v>
                </c:pt>
                <c:pt idx="908">
                  <c:v>43808</c:v>
                </c:pt>
                <c:pt idx="909">
                  <c:v>43809</c:v>
                </c:pt>
                <c:pt idx="910">
                  <c:v>43810</c:v>
                </c:pt>
                <c:pt idx="911">
                  <c:v>43811</c:v>
                </c:pt>
                <c:pt idx="912">
                  <c:v>43812</c:v>
                </c:pt>
                <c:pt idx="913">
                  <c:v>43815</c:v>
                </c:pt>
                <c:pt idx="914">
                  <c:v>43816</c:v>
                </c:pt>
                <c:pt idx="915">
                  <c:v>43817</c:v>
                </c:pt>
                <c:pt idx="916">
                  <c:v>43818</c:v>
                </c:pt>
                <c:pt idx="917">
                  <c:v>43819</c:v>
                </c:pt>
                <c:pt idx="918">
                  <c:v>43822</c:v>
                </c:pt>
                <c:pt idx="919">
                  <c:v>43823</c:v>
                </c:pt>
                <c:pt idx="920">
                  <c:v>43824</c:v>
                </c:pt>
                <c:pt idx="921">
                  <c:v>43825</c:v>
                </c:pt>
                <c:pt idx="922">
                  <c:v>43826</c:v>
                </c:pt>
                <c:pt idx="923">
                  <c:v>43829</c:v>
                </c:pt>
                <c:pt idx="924">
                  <c:v>43830</c:v>
                </c:pt>
                <c:pt idx="925">
                  <c:v>43832</c:v>
                </c:pt>
                <c:pt idx="926">
                  <c:v>43833</c:v>
                </c:pt>
                <c:pt idx="927">
                  <c:v>43836</c:v>
                </c:pt>
                <c:pt idx="928">
                  <c:v>43837</c:v>
                </c:pt>
                <c:pt idx="929">
                  <c:v>43838</c:v>
                </c:pt>
                <c:pt idx="930">
                  <c:v>43839</c:v>
                </c:pt>
                <c:pt idx="931">
                  <c:v>43840</c:v>
                </c:pt>
                <c:pt idx="932">
                  <c:v>43843</c:v>
                </c:pt>
                <c:pt idx="933">
                  <c:v>43844</c:v>
                </c:pt>
                <c:pt idx="934">
                  <c:v>43845</c:v>
                </c:pt>
                <c:pt idx="935">
                  <c:v>43846</c:v>
                </c:pt>
                <c:pt idx="936">
                  <c:v>43847</c:v>
                </c:pt>
                <c:pt idx="937">
                  <c:v>43850</c:v>
                </c:pt>
                <c:pt idx="938">
                  <c:v>43851</c:v>
                </c:pt>
                <c:pt idx="939">
                  <c:v>43852</c:v>
                </c:pt>
                <c:pt idx="940">
                  <c:v>43853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43928</c:v>
                </c:pt>
                <c:pt idx="986">
                  <c:v>43929</c:v>
                </c:pt>
                <c:pt idx="987">
                  <c:v>43930</c:v>
                </c:pt>
                <c:pt idx="988">
                  <c:v>43931</c:v>
                </c:pt>
                <c:pt idx="989">
                  <c:v>43934</c:v>
                </c:pt>
                <c:pt idx="990">
                  <c:v>43935</c:v>
                </c:pt>
                <c:pt idx="991">
                  <c:v>43936</c:v>
                </c:pt>
                <c:pt idx="992">
                  <c:v>43937</c:v>
                </c:pt>
                <c:pt idx="993">
                  <c:v>43938</c:v>
                </c:pt>
                <c:pt idx="994">
                  <c:v>43941</c:v>
                </c:pt>
                <c:pt idx="995">
                  <c:v>43942</c:v>
                </c:pt>
                <c:pt idx="996">
                  <c:v>43943</c:v>
                </c:pt>
                <c:pt idx="997">
                  <c:v>43944</c:v>
                </c:pt>
                <c:pt idx="998">
                  <c:v>43945</c:v>
                </c:pt>
                <c:pt idx="999">
                  <c:v>43948</c:v>
                </c:pt>
                <c:pt idx="1000">
                  <c:v>43949</c:v>
                </c:pt>
                <c:pt idx="1001">
                  <c:v>43950</c:v>
                </c:pt>
                <c:pt idx="1002">
                  <c:v>43951</c:v>
                </c:pt>
                <c:pt idx="1003">
                  <c:v>43957</c:v>
                </c:pt>
                <c:pt idx="1004">
                  <c:v>43958</c:v>
                </c:pt>
                <c:pt idx="1005">
                  <c:v>43959</c:v>
                </c:pt>
                <c:pt idx="1006">
                  <c:v>43962</c:v>
                </c:pt>
                <c:pt idx="1007">
                  <c:v>43963</c:v>
                </c:pt>
                <c:pt idx="1008">
                  <c:v>43964</c:v>
                </c:pt>
                <c:pt idx="1009">
                  <c:v>43965</c:v>
                </c:pt>
                <c:pt idx="1010">
                  <c:v>43966</c:v>
                </c:pt>
                <c:pt idx="1011">
                  <c:v>43969</c:v>
                </c:pt>
                <c:pt idx="1012">
                  <c:v>43970</c:v>
                </c:pt>
                <c:pt idx="1013">
                  <c:v>43971</c:v>
                </c:pt>
                <c:pt idx="1014">
                  <c:v>43972</c:v>
                </c:pt>
                <c:pt idx="1015">
                  <c:v>43973</c:v>
                </c:pt>
                <c:pt idx="1016">
                  <c:v>43976</c:v>
                </c:pt>
                <c:pt idx="1017">
                  <c:v>43977</c:v>
                </c:pt>
                <c:pt idx="1018">
                  <c:v>43978</c:v>
                </c:pt>
                <c:pt idx="1019">
                  <c:v>43979</c:v>
                </c:pt>
                <c:pt idx="1020">
                  <c:v>43980</c:v>
                </c:pt>
                <c:pt idx="1021">
                  <c:v>43983</c:v>
                </c:pt>
                <c:pt idx="1022">
                  <c:v>43984</c:v>
                </c:pt>
                <c:pt idx="1023">
                  <c:v>43985</c:v>
                </c:pt>
                <c:pt idx="1024">
                  <c:v>43986</c:v>
                </c:pt>
                <c:pt idx="1025">
                  <c:v>43987</c:v>
                </c:pt>
                <c:pt idx="1026">
                  <c:v>43990</c:v>
                </c:pt>
                <c:pt idx="1027">
                  <c:v>43991</c:v>
                </c:pt>
                <c:pt idx="1028">
                  <c:v>43992</c:v>
                </c:pt>
                <c:pt idx="1029">
                  <c:v>43993</c:v>
                </c:pt>
                <c:pt idx="1030">
                  <c:v>43994</c:v>
                </c:pt>
                <c:pt idx="1031">
                  <c:v>43997</c:v>
                </c:pt>
                <c:pt idx="1032">
                  <c:v>43998</c:v>
                </c:pt>
                <c:pt idx="1033">
                  <c:v>43999</c:v>
                </c:pt>
                <c:pt idx="1034">
                  <c:v>44000</c:v>
                </c:pt>
                <c:pt idx="1035">
                  <c:v>44001</c:v>
                </c:pt>
                <c:pt idx="1036">
                  <c:v>44004</c:v>
                </c:pt>
                <c:pt idx="1037">
                  <c:v>44005</c:v>
                </c:pt>
                <c:pt idx="1038">
                  <c:v>44006</c:v>
                </c:pt>
                <c:pt idx="1039">
                  <c:v>44011</c:v>
                </c:pt>
                <c:pt idx="1040">
                  <c:v>44012</c:v>
                </c:pt>
                <c:pt idx="1041">
                  <c:v>44013</c:v>
                </c:pt>
                <c:pt idx="1042">
                  <c:v>44014</c:v>
                </c:pt>
                <c:pt idx="1043">
                  <c:v>44015</c:v>
                </c:pt>
                <c:pt idx="1044">
                  <c:v>44018</c:v>
                </c:pt>
                <c:pt idx="1045">
                  <c:v>44019</c:v>
                </c:pt>
                <c:pt idx="1046">
                  <c:v>44020</c:v>
                </c:pt>
                <c:pt idx="1047">
                  <c:v>44021</c:v>
                </c:pt>
                <c:pt idx="1048">
                  <c:v>44022</c:v>
                </c:pt>
                <c:pt idx="1049">
                  <c:v>44025</c:v>
                </c:pt>
                <c:pt idx="1050">
                  <c:v>44026</c:v>
                </c:pt>
                <c:pt idx="1051">
                  <c:v>44027</c:v>
                </c:pt>
                <c:pt idx="1052">
                  <c:v>44028</c:v>
                </c:pt>
                <c:pt idx="1053">
                  <c:v>44029</c:v>
                </c:pt>
                <c:pt idx="1054">
                  <c:v>44032</c:v>
                </c:pt>
                <c:pt idx="1055">
                  <c:v>44033</c:v>
                </c:pt>
                <c:pt idx="1056">
                  <c:v>44034</c:v>
                </c:pt>
                <c:pt idx="1057">
                  <c:v>44035</c:v>
                </c:pt>
                <c:pt idx="1058">
                  <c:v>44036</c:v>
                </c:pt>
                <c:pt idx="1059">
                  <c:v>44039</c:v>
                </c:pt>
                <c:pt idx="1060">
                  <c:v>44040</c:v>
                </c:pt>
                <c:pt idx="1061">
                  <c:v>44041</c:v>
                </c:pt>
                <c:pt idx="1062">
                  <c:v>44042</c:v>
                </c:pt>
                <c:pt idx="1063">
                  <c:v>44043</c:v>
                </c:pt>
                <c:pt idx="1064">
                  <c:v>44046</c:v>
                </c:pt>
                <c:pt idx="1065">
                  <c:v>44047</c:v>
                </c:pt>
                <c:pt idx="1066">
                  <c:v>44048</c:v>
                </c:pt>
                <c:pt idx="1067">
                  <c:v>44049</c:v>
                </c:pt>
                <c:pt idx="1068">
                  <c:v>44050</c:v>
                </c:pt>
                <c:pt idx="1069">
                  <c:v>44053</c:v>
                </c:pt>
                <c:pt idx="1070">
                  <c:v>44054</c:v>
                </c:pt>
                <c:pt idx="1071">
                  <c:v>44055</c:v>
                </c:pt>
                <c:pt idx="1072">
                  <c:v>44056</c:v>
                </c:pt>
                <c:pt idx="1073">
                  <c:v>44057</c:v>
                </c:pt>
                <c:pt idx="1074">
                  <c:v>44060</c:v>
                </c:pt>
                <c:pt idx="1075">
                  <c:v>44061</c:v>
                </c:pt>
                <c:pt idx="1076">
                  <c:v>44062</c:v>
                </c:pt>
                <c:pt idx="1077">
                  <c:v>44063</c:v>
                </c:pt>
                <c:pt idx="1078">
                  <c:v>44064</c:v>
                </c:pt>
                <c:pt idx="1079">
                  <c:v>44067</c:v>
                </c:pt>
                <c:pt idx="1080">
                  <c:v>44068</c:v>
                </c:pt>
                <c:pt idx="1081">
                  <c:v>44069</c:v>
                </c:pt>
                <c:pt idx="1082">
                  <c:v>44070</c:v>
                </c:pt>
                <c:pt idx="1083">
                  <c:v>44071</c:v>
                </c:pt>
                <c:pt idx="1084">
                  <c:v>44074</c:v>
                </c:pt>
                <c:pt idx="1085">
                  <c:v>44075</c:v>
                </c:pt>
                <c:pt idx="1086">
                  <c:v>44076</c:v>
                </c:pt>
                <c:pt idx="1087">
                  <c:v>44077</c:v>
                </c:pt>
                <c:pt idx="1088">
                  <c:v>44078</c:v>
                </c:pt>
                <c:pt idx="1089">
                  <c:v>44081</c:v>
                </c:pt>
                <c:pt idx="1090">
                  <c:v>44082</c:v>
                </c:pt>
                <c:pt idx="1091">
                  <c:v>44083</c:v>
                </c:pt>
                <c:pt idx="1092">
                  <c:v>44084</c:v>
                </c:pt>
                <c:pt idx="1093">
                  <c:v>44085</c:v>
                </c:pt>
                <c:pt idx="1094">
                  <c:v>44088</c:v>
                </c:pt>
                <c:pt idx="1095">
                  <c:v>44089</c:v>
                </c:pt>
                <c:pt idx="1096">
                  <c:v>44090</c:v>
                </c:pt>
                <c:pt idx="1097">
                  <c:v>44091</c:v>
                </c:pt>
                <c:pt idx="1098">
                  <c:v>44092</c:v>
                </c:pt>
                <c:pt idx="1099">
                  <c:v>44095</c:v>
                </c:pt>
                <c:pt idx="1100">
                  <c:v>44096</c:v>
                </c:pt>
                <c:pt idx="1101">
                  <c:v>44097</c:v>
                </c:pt>
                <c:pt idx="1102">
                  <c:v>44098</c:v>
                </c:pt>
                <c:pt idx="1103">
                  <c:v>44099</c:v>
                </c:pt>
                <c:pt idx="1104">
                  <c:v>44102</c:v>
                </c:pt>
                <c:pt idx="1105">
                  <c:v>44103</c:v>
                </c:pt>
                <c:pt idx="1106">
                  <c:v>44104</c:v>
                </c:pt>
                <c:pt idx="1107">
                  <c:v>44113</c:v>
                </c:pt>
                <c:pt idx="1108">
                  <c:v>44116</c:v>
                </c:pt>
                <c:pt idx="1109">
                  <c:v>44117</c:v>
                </c:pt>
                <c:pt idx="1110">
                  <c:v>44118</c:v>
                </c:pt>
                <c:pt idx="1111">
                  <c:v>44119</c:v>
                </c:pt>
                <c:pt idx="1112">
                  <c:v>44120</c:v>
                </c:pt>
                <c:pt idx="1113">
                  <c:v>44123</c:v>
                </c:pt>
                <c:pt idx="1114">
                  <c:v>44124</c:v>
                </c:pt>
                <c:pt idx="1115">
                  <c:v>44125</c:v>
                </c:pt>
                <c:pt idx="1116">
                  <c:v>44126</c:v>
                </c:pt>
                <c:pt idx="1117">
                  <c:v>44127</c:v>
                </c:pt>
                <c:pt idx="1118">
                  <c:v>44130</c:v>
                </c:pt>
                <c:pt idx="1119">
                  <c:v>44131</c:v>
                </c:pt>
                <c:pt idx="1120">
                  <c:v>44132</c:v>
                </c:pt>
                <c:pt idx="1121">
                  <c:v>44133</c:v>
                </c:pt>
                <c:pt idx="1122">
                  <c:v>44134</c:v>
                </c:pt>
                <c:pt idx="1123">
                  <c:v>44137</c:v>
                </c:pt>
                <c:pt idx="1124">
                  <c:v>44138</c:v>
                </c:pt>
                <c:pt idx="1125">
                  <c:v>44139</c:v>
                </c:pt>
                <c:pt idx="1126">
                  <c:v>44140</c:v>
                </c:pt>
                <c:pt idx="1127">
                  <c:v>44141</c:v>
                </c:pt>
                <c:pt idx="1128">
                  <c:v>44144</c:v>
                </c:pt>
                <c:pt idx="1129">
                  <c:v>44145</c:v>
                </c:pt>
                <c:pt idx="1130">
                  <c:v>44146</c:v>
                </c:pt>
                <c:pt idx="1131">
                  <c:v>44147</c:v>
                </c:pt>
                <c:pt idx="1132">
                  <c:v>44148</c:v>
                </c:pt>
                <c:pt idx="1133">
                  <c:v>44151</c:v>
                </c:pt>
                <c:pt idx="1134">
                  <c:v>44152</c:v>
                </c:pt>
                <c:pt idx="1135">
                  <c:v>44153</c:v>
                </c:pt>
                <c:pt idx="1136">
                  <c:v>44154</c:v>
                </c:pt>
                <c:pt idx="1137">
                  <c:v>44155</c:v>
                </c:pt>
                <c:pt idx="1138">
                  <c:v>44158</c:v>
                </c:pt>
                <c:pt idx="1139">
                  <c:v>44159</c:v>
                </c:pt>
                <c:pt idx="1140">
                  <c:v>44160</c:v>
                </c:pt>
                <c:pt idx="1141">
                  <c:v>44161</c:v>
                </c:pt>
                <c:pt idx="1142">
                  <c:v>44162</c:v>
                </c:pt>
                <c:pt idx="1143">
                  <c:v>44165</c:v>
                </c:pt>
                <c:pt idx="1144">
                  <c:v>44166</c:v>
                </c:pt>
                <c:pt idx="1145">
                  <c:v>44167</c:v>
                </c:pt>
                <c:pt idx="1146">
                  <c:v>44168</c:v>
                </c:pt>
                <c:pt idx="1147">
                  <c:v>44169</c:v>
                </c:pt>
                <c:pt idx="1148">
                  <c:v>44172</c:v>
                </c:pt>
                <c:pt idx="1149">
                  <c:v>44173</c:v>
                </c:pt>
                <c:pt idx="1150">
                  <c:v>44174</c:v>
                </c:pt>
                <c:pt idx="1151">
                  <c:v>44175</c:v>
                </c:pt>
                <c:pt idx="1152">
                  <c:v>44176</c:v>
                </c:pt>
                <c:pt idx="1153">
                  <c:v>44179</c:v>
                </c:pt>
                <c:pt idx="1154">
                  <c:v>44180</c:v>
                </c:pt>
                <c:pt idx="1155">
                  <c:v>44181</c:v>
                </c:pt>
                <c:pt idx="1156">
                  <c:v>44182</c:v>
                </c:pt>
                <c:pt idx="1157">
                  <c:v>44183</c:v>
                </c:pt>
                <c:pt idx="1158">
                  <c:v>44186</c:v>
                </c:pt>
                <c:pt idx="1159">
                  <c:v>44187</c:v>
                </c:pt>
                <c:pt idx="1160">
                  <c:v>44188</c:v>
                </c:pt>
                <c:pt idx="1161">
                  <c:v>44189</c:v>
                </c:pt>
                <c:pt idx="1162">
                  <c:v>44190</c:v>
                </c:pt>
                <c:pt idx="1163">
                  <c:v>44193</c:v>
                </c:pt>
                <c:pt idx="1164">
                  <c:v>44194</c:v>
                </c:pt>
                <c:pt idx="1165">
                  <c:v>44195</c:v>
                </c:pt>
                <c:pt idx="1166">
                  <c:v>44196</c:v>
                </c:pt>
                <c:pt idx="1167">
                  <c:v>44200</c:v>
                </c:pt>
                <c:pt idx="1168">
                  <c:v>44201</c:v>
                </c:pt>
                <c:pt idx="1169">
                  <c:v>44202</c:v>
                </c:pt>
                <c:pt idx="1170">
                  <c:v>44203</c:v>
                </c:pt>
                <c:pt idx="1171">
                  <c:v>44204</c:v>
                </c:pt>
                <c:pt idx="1172">
                  <c:v>44207</c:v>
                </c:pt>
                <c:pt idx="1173">
                  <c:v>44208</c:v>
                </c:pt>
                <c:pt idx="1174">
                  <c:v>44209</c:v>
                </c:pt>
                <c:pt idx="1175">
                  <c:v>44210</c:v>
                </c:pt>
                <c:pt idx="1176">
                  <c:v>44211</c:v>
                </c:pt>
                <c:pt idx="1177">
                  <c:v>44214</c:v>
                </c:pt>
                <c:pt idx="1178">
                  <c:v>44215</c:v>
                </c:pt>
                <c:pt idx="1179">
                  <c:v>44216</c:v>
                </c:pt>
                <c:pt idx="1180">
                  <c:v>44217</c:v>
                </c:pt>
                <c:pt idx="1181">
                  <c:v>44218</c:v>
                </c:pt>
                <c:pt idx="1182">
                  <c:v>44221</c:v>
                </c:pt>
                <c:pt idx="1183">
                  <c:v>44222</c:v>
                </c:pt>
                <c:pt idx="1184">
                  <c:v>44223</c:v>
                </c:pt>
                <c:pt idx="1185">
                  <c:v>44224</c:v>
                </c:pt>
                <c:pt idx="1186">
                  <c:v>44225</c:v>
                </c:pt>
                <c:pt idx="1187">
                  <c:v>44228</c:v>
                </c:pt>
                <c:pt idx="1188">
                  <c:v>44229</c:v>
                </c:pt>
                <c:pt idx="1189">
                  <c:v>44230</c:v>
                </c:pt>
                <c:pt idx="1190">
                  <c:v>44231</c:v>
                </c:pt>
                <c:pt idx="1191">
                  <c:v>44232</c:v>
                </c:pt>
                <c:pt idx="1192">
                  <c:v>44235</c:v>
                </c:pt>
                <c:pt idx="1193">
                  <c:v>44236</c:v>
                </c:pt>
                <c:pt idx="1194">
                  <c:v>44237</c:v>
                </c:pt>
                <c:pt idx="1195">
                  <c:v>44245</c:v>
                </c:pt>
                <c:pt idx="1196">
                  <c:v>44246</c:v>
                </c:pt>
                <c:pt idx="1197">
                  <c:v>44249</c:v>
                </c:pt>
                <c:pt idx="1198">
                  <c:v>44250</c:v>
                </c:pt>
                <c:pt idx="1199">
                  <c:v>44251</c:v>
                </c:pt>
                <c:pt idx="1200">
                  <c:v>44252</c:v>
                </c:pt>
                <c:pt idx="1201">
                  <c:v>44253</c:v>
                </c:pt>
                <c:pt idx="1202">
                  <c:v>44256</c:v>
                </c:pt>
                <c:pt idx="1203">
                  <c:v>44257</c:v>
                </c:pt>
                <c:pt idx="1204">
                  <c:v>44258</c:v>
                </c:pt>
                <c:pt idx="1205">
                  <c:v>44259</c:v>
                </c:pt>
                <c:pt idx="1206">
                  <c:v>44260</c:v>
                </c:pt>
                <c:pt idx="1207">
                  <c:v>44263</c:v>
                </c:pt>
                <c:pt idx="1208">
                  <c:v>44264</c:v>
                </c:pt>
                <c:pt idx="1209">
                  <c:v>44265</c:v>
                </c:pt>
                <c:pt idx="1210">
                  <c:v>44266</c:v>
                </c:pt>
                <c:pt idx="1211">
                  <c:v>44267</c:v>
                </c:pt>
                <c:pt idx="1212">
                  <c:v>44270</c:v>
                </c:pt>
                <c:pt idx="1213">
                  <c:v>44271</c:v>
                </c:pt>
                <c:pt idx="1214">
                  <c:v>44272</c:v>
                </c:pt>
                <c:pt idx="1215">
                  <c:v>44273</c:v>
                </c:pt>
                <c:pt idx="1216">
                  <c:v>44274</c:v>
                </c:pt>
                <c:pt idx="1217">
                  <c:v>44277</c:v>
                </c:pt>
                <c:pt idx="1218">
                  <c:v>44278</c:v>
                </c:pt>
                <c:pt idx="1219">
                  <c:v>44279</c:v>
                </c:pt>
                <c:pt idx="1220">
                  <c:v>44280</c:v>
                </c:pt>
                <c:pt idx="1221">
                  <c:v>44281</c:v>
                </c:pt>
                <c:pt idx="1222">
                  <c:v>44284</c:v>
                </c:pt>
                <c:pt idx="1223">
                  <c:v>44285</c:v>
                </c:pt>
                <c:pt idx="1224">
                  <c:v>44286</c:v>
                </c:pt>
                <c:pt idx="1225">
                  <c:v>44287</c:v>
                </c:pt>
                <c:pt idx="1226">
                  <c:v>44288</c:v>
                </c:pt>
                <c:pt idx="1227">
                  <c:v>44292</c:v>
                </c:pt>
                <c:pt idx="1228">
                  <c:v>44293</c:v>
                </c:pt>
                <c:pt idx="1229">
                  <c:v>44294</c:v>
                </c:pt>
                <c:pt idx="1230">
                  <c:v>44295</c:v>
                </c:pt>
                <c:pt idx="1231">
                  <c:v>44298</c:v>
                </c:pt>
                <c:pt idx="1232">
                  <c:v>44299</c:v>
                </c:pt>
                <c:pt idx="1233">
                  <c:v>44300</c:v>
                </c:pt>
                <c:pt idx="1234">
                  <c:v>44301</c:v>
                </c:pt>
                <c:pt idx="1235">
                  <c:v>44302</c:v>
                </c:pt>
                <c:pt idx="1236">
                  <c:v>44305</c:v>
                </c:pt>
                <c:pt idx="1237">
                  <c:v>44306</c:v>
                </c:pt>
                <c:pt idx="1238">
                  <c:v>44307</c:v>
                </c:pt>
                <c:pt idx="1239">
                  <c:v>44308</c:v>
                </c:pt>
                <c:pt idx="1240">
                  <c:v>44309</c:v>
                </c:pt>
                <c:pt idx="1241">
                  <c:v>44312</c:v>
                </c:pt>
                <c:pt idx="1242">
                  <c:v>44313</c:v>
                </c:pt>
                <c:pt idx="1243">
                  <c:v>44314</c:v>
                </c:pt>
                <c:pt idx="1244">
                  <c:v>44315</c:v>
                </c:pt>
                <c:pt idx="1245">
                  <c:v>44316</c:v>
                </c:pt>
                <c:pt idx="1246">
                  <c:v>44322</c:v>
                </c:pt>
                <c:pt idx="1247">
                  <c:v>44323</c:v>
                </c:pt>
                <c:pt idx="1248">
                  <c:v>44326</c:v>
                </c:pt>
                <c:pt idx="1249">
                  <c:v>44327</c:v>
                </c:pt>
                <c:pt idx="1250">
                  <c:v>44328</c:v>
                </c:pt>
                <c:pt idx="1251">
                  <c:v>44329</c:v>
                </c:pt>
                <c:pt idx="1252">
                  <c:v>44330</c:v>
                </c:pt>
                <c:pt idx="1253">
                  <c:v>44333</c:v>
                </c:pt>
                <c:pt idx="1254">
                  <c:v>44334</c:v>
                </c:pt>
                <c:pt idx="1255">
                  <c:v>44335</c:v>
                </c:pt>
                <c:pt idx="1256">
                  <c:v>44336</c:v>
                </c:pt>
                <c:pt idx="1257">
                  <c:v>44337</c:v>
                </c:pt>
                <c:pt idx="1258">
                  <c:v>44340</c:v>
                </c:pt>
                <c:pt idx="1259">
                  <c:v>44341</c:v>
                </c:pt>
                <c:pt idx="1260">
                  <c:v>44342</c:v>
                </c:pt>
                <c:pt idx="1261">
                  <c:v>44343</c:v>
                </c:pt>
                <c:pt idx="1262">
                  <c:v>44344</c:v>
                </c:pt>
                <c:pt idx="1263">
                  <c:v>44347</c:v>
                </c:pt>
                <c:pt idx="1264">
                  <c:v>44348</c:v>
                </c:pt>
                <c:pt idx="1265">
                  <c:v>44349</c:v>
                </c:pt>
                <c:pt idx="1266">
                  <c:v>44350</c:v>
                </c:pt>
                <c:pt idx="1267">
                  <c:v>44351</c:v>
                </c:pt>
                <c:pt idx="1268">
                  <c:v>44354</c:v>
                </c:pt>
                <c:pt idx="1269">
                  <c:v>44355</c:v>
                </c:pt>
                <c:pt idx="1270">
                  <c:v>44356</c:v>
                </c:pt>
                <c:pt idx="1271">
                  <c:v>44357</c:v>
                </c:pt>
                <c:pt idx="1272">
                  <c:v>44358</c:v>
                </c:pt>
                <c:pt idx="1273">
                  <c:v>44362</c:v>
                </c:pt>
                <c:pt idx="1274">
                  <c:v>44363</c:v>
                </c:pt>
                <c:pt idx="1275">
                  <c:v>44364</c:v>
                </c:pt>
                <c:pt idx="1276">
                  <c:v>44365</c:v>
                </c:pt>
                <c:pt idx="1277">
                  <c:v>44368</c:v>
                </c:pt>
                <c:pt idx="1278">
                  <c:v>44369</c:v>
                </c:pt>
                <c:pt idx="1279">
                  <c:v>44370</c:v>
                </c:pt>
                <c:pt idx="1280">
                  <c:v>44371</c:v>
                </c:pt>
                <c:pt idx="1281">
                  <c:v>44372</c:v>
                </c:pt>
                <c:pt idx="1282">
                  <c:v>44375</c:v>
                </c:pt>
                <c:pt idx="1283">
                  <c:v>44376</c:v>
                </c:pt>
                <c:pt idx="1284">
                  <c:v>44377</c:v>
                </c:pt>
                <c:pt idx="1285">
                  <c:v>44378</c:v>
                </c:pt>
                <c:pt idx="1286">
                  <c:v>44379</c:v>
                </c:pt>
                <c:pt idx="1287">
                  <c:v>44382</c:v>
                </c:pt>
                <c:pt idx="1288">
                  <c:v>44383</c:v>
                </c:pt>
                <c:pt idx="1289">
                  <c:v>44384</c:v>
                </c:pt>
                <c:pt idx="1290">
                  <c:v>44385</c:v>
                </c:pt>
                <c:pt idx="1291">
                  <c:v>44386</c:v>
                </c:pt>
                <c:pt idx="1292">
                  <c:v>44389</c:v>
                </c:pt>
                <c:pt idx="1293">
                  <c:v>44390</c:v>
                </c:pt>
                <c:pt idx="1294">
                  <c:v>44391</c:v>
                </c:pt>
                <c:pt idx="1295">
                  <c:v>44392</c:v>
                </c:pt>
                <c:pt idx="1296">
                  <c:v>44393</c:v>
                </c:pt>
                <c:pt idx="1297">
                  <c:v>44396</c:v>
                </c:pt>
                <c:pt idx="1298">
                  <c:v>44397</c:v>
                </c:pt>
                <c:pt idx="1299">
                  <c:v>44398</c:v>
                </c:pt>
                <c:pt idx="1300">
                  <c:v>44399</c:v>
                </c:pt>
                <c:pt idx="1301">
                  <c:v>44400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</c:numCache>
            </c:numRef>
          </c:cat>
          <c:val>
            <c:numRef>
              <c:f>vix!Vix_实盘操作</c:f>
              <c:numCache>
                <c:formatCode>General</c:formatCode>
                <c:ptCount val="10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4-4857-86B0-3F0D0AEA5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2917856"/>
        <c:axId val="772918512"/>
      </c:lineChart>
      <c:dateAx>
        <c:axId val="7729178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2918512"/>
        <c:crosses val="autoZero"/>
        <c:auto val="1"/>
        <c:lblOffset val="100"/>
        <c:baseTimeUnit val="days"/>
      </c:dateAx>
      <c:valAx>
        <c:axId val="77291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291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baseline="0">
                <a:effectLst/>
                <a:latin typeface="Calibri (正文)"/>
              </a:rPr>
              <a:t>波动率指数</a:t>
            </a:r>
            <a:r>
              <a:rPr lang="en-US" altLang="zh-CN" sz="1400" b="0" i="0" baseline="0">
                <a:effectLst/>
                <a:latin typeface="Calibri (正文)"/>
              </a:rPr>
              <a:t>Vix (2016-2021)</a:t>
            </a:r>
            <a:endParaRPr lang="zh-CN" altLang="zh-CN" sz="1400">
              <a:effectLst/>
              <a:latin typeface="Calibri (正文)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vix!$B$1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vix!$A$2:$A$1308</c:f>
              <c:numCache>
                <c:formatCode>yyyy\-mm\-dd\ hh:mm:ss</c:formatCode>
                <c:ptCount val="1307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42457</c:v>
                </c:pt>
                <c:pt idx="6">
                  <c:v>42458</c:v>
                </c:pt>
                <c:pt idx="7">
                  <c:v>42459</c:v>
                </c:pt>
                <c:pt idx="8">
                  <c:v>42460</c:v>
                </c:pt>
                <c:pt idx="9">
                  <c:v>42461</c:v>
                </c:pt>
                <c:pt idx="10">
                  <c:v>42465</c:v>
                </c:pt>
                <c:pt idx="11">
                  <c:v>42466</c:v>
                </c:pt>
                <c:pt idx="12">
                  <c:v>42467</c:v>
                </c:pt>
                <c:pt idx="13">
                  <c:v>42468</c:v>
                </c:pt>
                <c:pt idx="14">
                  <c:v>42471</c:v>
                </c:pt>
                <c:pt idx="15">
                  <c:v>42472</c:v>
                </c:pt>
                <c:pt idx="16">
                  <c:v>42473</c:v>
                </c:pt>
                <c:pt idx="17">
                  <c:v>42474</c:v>
                </c:pt>
                <c:pt idx="18">
                  <c:v>42475</c:v>
                </c:pt>
                <c:pt idx="19">
                  <c:v>42478</c:v>
                </c:pt>
                <c:pt idx="20">
                  <c:v>42479</c:v>
                </c:pt>
                <c:pt idx="21">
                  <c:v>42480</c:v>
                </c:pt>
                <c:pt idx="22">
                  <c:v>42481</c:v>
                </c:pt>
                <c:pt idx="23">
                  <c:v>42482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42493</c:v>
                </c:pt>
                <c:pt idx="30">
                  <c:v>42494</c:v>
                </c:pt>
                <c:pt idx="31">
                  <c:v>42495</c:v>
                </c:pt>
                <c:pt idx="32">
                  <c:v>42496</c:v>
                </c:pt>
                <c:pt idx="33">
                  <c:v>42499</c:v>
                </c:pt>
                <c:pt idx="34">
                  <c:v>42500</c:v>
                </c:pt>
                <c:pt idx="35">
                  <c:v>42501</c:v>
                </c:pt>
                <c:pt idx="36">
                  <c:v>42502</c:v>
                </c:pt>
                <c:pt idx="37">
                  <c:v>42503</c:v>
                </c:pt>
                <c:pt idx="38">
                  <c:v>42506</c:v>
                </c:pt>
                <c:pt idx="39">
                  <c:v>42507</c:v>
                </c:pt>
                <c:pt idx="40">
                  <c:v>42508</c:v>
                </c:pt>
                <c:pt idx="41">
                  <c:v>42509</c:v>
                </c:pt>
                <c:pt idx="42">
                  <c:v>42510</c:v>
                </c:pt>
                <c:pt idx="43">
                  <c:v>42513</c:v>
                </c:pt>
                <c:pt idx="44">
                  <c:v>42514</c:v>
                </c:pt>
                <c:pt idx="45">
                  <c:v>42515</c:v>
                </c:pt>
                <c:pt idx="46">
                  <c:v>42516</c:v>
                </c:pt>
                <c:pt idx="47">
                  <c:v>42517</c:v>
                </c:pt>
                <c:pt idx="48">
                  <c:v>42520</c:v>
                </c:pt>
                <c:pt idx="49">
                  <c:v>42521</c:v>
                </c:pt>
                <c:pt idx="50">
                  <c:v>42522</c:v>
                </c:pt>
                <c:pt idx="51">
                  <c:v>42523</c:v>
                </c:pt>
                <c:pt idx="52">
                  <c:v>42524</c:v>
                </c:pt>
                <c:pt idx="53">
                  <c:v>42527</c:v>
                </c:pt>
                <c:pt idx="54">
                  <c:v>42528</c:v>
                </c:pt>
                <c:pt idx="55">
                  <c:v>42529</c:v>
                </c:pt>
                <c:pt idx="56">
                  <c:v>42534</c:v>
                </c:pt>
                <c:pt idx="57">
                  <c:v>42535</c:v>
                </c:pt>
                <c:pt idx="58">
                  <c:v>42536</c:v>
                </c:pt>
                <c:pt idx="59">
                  <c:v>42537</c:v>
                </c:pt>
                <c:pt idx="60">
                  <c:v>42538</c:v>
                </c:pt>
                <c:pt idx="61">
                  <c:v>42541</c:v>
                </c:pt>
                <c:pt idx="62">
                  <c:v>42542</c:v>
                </c:pt>
                <c:pt idx="63">
                  <c:v>42543</c:v>
                </c:pt>
                <c:pt idx="64">
                  <c:v>42544</c:v>
                </c:pt>
                <c:pt idx="65">
                  <c:v>42545</c:v>
                </c:pt>
                <c:pt idx="66">
                  <c:v>42548</c:v>
                </c:pt>
                <c:pt idx="67">
                  <c:v>42549</c:v>
                </c:pt>
                <c:pt idx="68">
                  <c:v>42550</c:v>
                </c:pt>
                <c:pt idx="69">
                  <c:v>42551</c:v>
                </c:pt>
                <c:pt idx="70">
                  <c:v>42552</c:v>
                </c:pt>
                <c:pt idx="71">
                  <c:v>42555</c:v>
                </c:pt>
                <c:pt idx="72">
                  <c:v>42556</c:v>
                </c:pt>
                <c:pt idx="73">
                  <c:v>42557</c:v>
                </c:pt>
                <c:pt idx="74">
                  <c:v>42558</c:v>
                </c:pt>
                <c:pt idx="75">
                  <c:v>42559</c:v>
                </c:pt>
                <c:pt idx="76">
                  <c:v>42562</c:v>
                </c:pt>
                <c:pt idx="77">
                  <c:v>42563</c:v>
                </c:pt>
                <c:pt idx="78">
                  <c:v>42564</c:v>
                </c:pt>
                <c:pt idx="79">
                  <c:v>42565</c:v>
                </c:pt>
                <c:pt idx="80">
                  <c:v>42566</c:v>
                </c:pt>
                <c:pt idx="81">
                  <c:v>42569</c:v>
                </c:pt>
                <c:pt idx="82">
                  <c:v>42570</c:v>
                </c:pt>
                <c:pt idx="83">
                  <c:v>42571</c:v>
                </c:pt>
                <c:pt idx="84">
                  <c:v>42572</c:v>
                </c:pt>
                <c:pt idx="85">
                  <c:v>42573</c:v>
                </c:pt>
                <c:pt idx="86">
                  <c:v>42576</c:v>
                </c:pt>
                <c:pt idx="87">
                  <c:v>42577</c:v>
                </c:pt>
                <c:pt idx="88">
                  <c:v>42578</c:v>
                </c:pt>
                <c:pt idx="89">
                  <c:v>42579</c:v>
                </c:pt>
                <c:pt idx="90">
                  <c:v>42580</c:v>
                </c:pt>
                <c:pt idx="91">
                  <c:v>42583</c:v>
                </c:pt>
                <c:pt idx="92">
                  <c:v>42584</c:v>
                </c:pt>
                <c:pt idx="93">
                  <c:v>42585</c:v>
                </c:pt>
                <c:pt idx="94">
                  <c:v>42586</c:v>
                </c:pt>
                <c:pt idx="95">
                  <c:v>42587</c:v>
                </c:pt>
                <c:pt idx="96">
                  <c:v>42590</c:v>
                </c:pt>
                <c:pt idx="97">
                  <c:v>42591</c:v>
                </c:pt>
                <c:pt idx="98">
                  <c:v>42592</c:v>
                </c:pt>
                <c:pt idx="99">
                  <c:v>42593</c:v>
                </c:pt>
                <c:pt idx="100">
                  <c:v>42594</c:v>
                </c:pt>
                <c:pt idx="101">
                  <c:v>42597</c:v>
                </c:pt>
                <c:pt idx="102">
                  <c:v>42598</c:v>
                </c:pt>
                <c:pt idx="103">
                  <c:v>42599</c:v>
                </c:pt>
                <c:pt idx="104">
                  <c:v>42600</c:v>
                </c:pt>
                <c:pt idx="105">
                  <c:v>42601</c:v>
                </c:pt>
                <c:pt idx="106">
                  <c:v>42604</c:v>
                </c:pt>
                <c:pt idx="107">
                  <c:v>42605</c:v>
                </c:pt>
                <c:pt idx="108">
                  <c:v>42606</c:v>
                </c:pt>
                <c:pt idx="109">
                  <c:v>42607</c:v>
                </c:pt>
                <c:pt idx="110">
                  <c:v>42608</c:v>
                </c:pt>
                <c:pt idx="111">
                  <c:v>42611</c:v>
                </c:pt>
                <c:pt idx="112">
                  <c:v>42612</c:v>
                </c:pt>
                <c:pt idx="113">
                  <c:v>42613</c:v>
                </c:pt>
                <c:pt idx="114">
                  <c:v>42614</c:v>
                </c:pt>
                <c:pt idx="115">
                  <c:v>42615</c:v>
                </c:pt>
                <c:pt idx="116">
                  <c:v>42618</c:v>
                </c:pt>
                <c:pt idx="117">
                  <c:v>42619</c:v>
                </c:pt>
                <c:pt idx="118">
                  <c:v>42620</c:v>
                </c:pt>
                <c:pt idx="119">
                  <c:v>42621</c:v>
                </c:pt>
                <c:pt idx="120">
                  <c:v>42622</c:v>
                </c:pt>
                <c:pt idx="121">
                  <c:v>42625</c:v>
                </c:pt>
                <c:pt idx="122">
                  <c:v>42626</c:v>
                </c:pt>
                <c:pt idx="123">
                  <c:v>42627</c:v>
                </c:pt>
                <c:pt idx="124">
                  <c:v>42632</c:v>
                </c:pt>
                <c:pt idx="125">
                  <c:v>42633</c:v>
                </c:pt>
                <c:pt idx="126">
                  <c:v>42634</c:v>
                </c:pt>
                <c:pt idx="127">
                  <c:v>42635</c:v>
                </c:pt>
                <c:pt idx="128">
                  <c:v>42636</c:v>
                </c:pt>
                <c:pt idx="129">
                  <c:v>42639</c:v>
                </c:pt>
                <c:pt idx="130">
                  <c:v>42640</c:v>
                </c:pt>
                <c:pt idx="131">
                  <c:v>42641</c:v>
                </c:pt>
                <c:pt idx="132">
                  <c:v>42642</c:v>
                </c:pt>
                <c:pt idx="133">
                  <c:v>42643</c:v>
                </c:pt>
                <c:pt idx="134">
                  <c:v>42653</c:v>
                </c:pt>
                <c:pt idx="135">
                  <c:v>42654</c:v>
                </c:pt>
                <c:pt idx="136">
                  <c:v>42655</c:v>
                </c:pt>
                <c:pt idx="137">
                  <c:v>42656</c:v>
                </c:pt>
                <c:pt idx="138">
                  <c:v>42657</c:v>
                </c:pt>
                <c:pt idx="139">
                  <c:v>42660</c:v>
                </c:pt>
                <c:pt idx="140">
                  <c:v>42661</c:v>
                </c:pt>
                <c:pt idx="141">
                  <c:v>42662</c:v>
                </c:pt>
                <c:pt idx="142">
                  <c:v>42663</c:v>
                </c:pt>
                <c:pt idx="143">
                  <c:v>42664</c:v>
                </c:pt>
                <c:pt idx="144">
                  <c:v>42667</c:v>
                </c:pt>
                <c:pt idx="145">
                  <c:v>42668</c:v>
                </c:pt>
                <c:pt idx="146">
                  <c:v>42669</c:v>
                </c:pt>
                <c:pt idx="147">
                  <c:v>42670</c:v>
                </c:pt>
                <c:pt idx="148">
                  <c:v>42671</c:v>
                </c:pt>
                <c:pt idx="149">
                  <c:v>42674</c:v>
                </c:pt>
                <c:pt idx="150">
                  <c:v>42675</c:v>
                </c:pt>
                <c:pt idx="151">
                  <c:v>42676</c:v>
                </c:pt>
                <c:pt idx="152">
                  <c:v>42677</c:v>
                </c:pt>
                <c:pt idx="153">
                  <c:v>42678</c:v>
                </c:pt>
                <c:pt idx="154">
                  <c:v>42681</c:v>
                </c:pt>
                <c:pt idx="155">
                  <c:v>42682</c:v>
                </c:pt>
                <c:pt idx="156">
                  <c:v>42683</c:v>
                </c:pt>
                <c:pt idx="157">
                  <c:v>42684</c:v>
                </c:pt>
                <c:pt idx="158">
                  <c:v>42685</c:v>
                </c:pt>
                <c:pt idx="159">
                  <c:v>42688</c:v>
                </c:pt>
                <c:pt idx="160">
                  <c:v>42689</c:v>
                </c:pt>
                <c:pt idx="161">
                  <c:v>42690</c:v>
                </c:pt>
                <c:pt idx="162">
                  <c:v>42691</c:v>
                </c:pt>
                <c:pt idx="163">
                  <c:v>42692</c:v>
                </c:pt>
                <c:pt idx="164">
                  <c:v>42695</c:v>
                </c:pt>
                <c:pt idx="165">
                  <c:v>42696</c:v>
                </c:pt>
                <c:pt idx="166">
                  <c:v>42697</c:v>
                </c:pt>
                <c:pt idx="167">
                  <c:v>42698</c:v>
                </c:pt>
                <c:pt idx="168">
                  <c:v>42699</c:v>
                </c:pt>
                <c:pt idx="169">
                  <c:v>42702</c:v>
                </c:pt>
                <c:pt idx="170">
                  <c:v>42703</c:v>
                </c:pt>
                <c:pt idx="171">
                  <c:v>42704</c:v>
                </c:pt>
                <c:pt idx="172">
                  <c:v>42705</c:v>
                </c:pt>
                <c:pt idx="173">
                  <c:v>42706</c:v>
                </c:pt>
                <c:pt idx="174">
                  <c:v>42709</c:v>
                </c:pt>
                <c:pt idx="175">
                  <c:v>42710</c:v>
                </c:pt>
                <c:pt idx="176">
                  <c:v>42711</c:v>
                </c:pt>
                <c:pt idx="177">
                  <c:v>42712</c:v>
                </c:pt>
                <c:pt idx="178">
                  <c:v>42713</c:v>
                </c:pt>
                <c:pt idx="179">
                  <c:v>42716</c:v>
                </c:pt>
                <c:pt idx="180">
                  <c:v>42717</c:v>
                </c:pt>
                <c:pt idx="181">
                  <c:v>42718</c:v>
                </c:pt>
                <c:pt idx="182">
                  <c:v>42719</c:v>
                </c:pt>
                <c:pt idx="183">
                  <c:v>42720</c:v>
                </c:pt>
                <c:pt idx="184">
                  <c:v>42723</c:v>
                </c:pt>
                <c:pt idx="185">
                  <c:v>42724</c:v>
                </c:pt>
                <c:pt idx="186">
                  <c:v>42725</c:v>
                </c:pt>
                <c:pt idx="187">
                  <c:v>42726</c:v>
                </c:pt>
                <c:pt idx="188">
                  <c:v>42727</c:v>
                </c:pt>
                <c:pt idx="189">
                  <c:v>42730</c:v>
                </c:pt>
                <c:pt idx="190">
                  <c:v>42731</c:v>
                </c:pt>
                <c:pt idx="191">
                  <c:v>42732</c:v>
                </c:pt>
                <c:pt idx="192">
                  <c:v>42733</c:v>
                </c:pt>
                <c:pt idx="193">
                  <c:v>42734</c:v>
                </c:pt>
                <c:pt idx="194">
                  <c:v>42738</c:v>
                </c:pt>
                <c:pt idx="195">
                  <c:v>42739</c:v>
                </c:pt>
                <c:pt idx="196">
                  <c:v>42740</c:v>
                </c:pt>
                <c:pt idx="197">
                  <c:v>42741</c:v>
                </c:pt>
                <c:pt idx="198">
                  <c:v>42744</c:v>
                </c:pt>
                <c:pt idx="199">
                  <c:v>42745</c:v>
                </c:pt>
                <c:pt idx="200">
                  <c:v>42746</c:v>
                </c:pt>
                <c:pt idx="201">
                  <c:v>42747</c:v>
                </c:pt>
                <c:pt idx="202">
                  <c:v>42748</c:v>
                </c:pt>
                <c:pt idx="203">
                  <c:v>42751</c:v>
                </c:pt>
                <c:pt idx="204">
                  <c:v>42752</c:v>
                </c:pt>
                <c:pt idx="205">
                  <c:v>42753</c:v>
                </c:pt>
                <c:pt idx="206">
                  <c:v>42754</c:v>
                </c:pt>
                <c:pt idx="207">
                  <c:v>42755</c:v>
                </c:pt>
                <c:pt idx="208">
                  <c:v>42758</c:v>
                </c:pt>
                <c:pt idx="209">
                  <c:v>42759</c:v>
                </c:pt>
                <c:pt idx="210">
                  <c:v>42760</c:v>
                </c:pt>
                <c:pt idx="211">
                  <c:v>42761</c:v>
                </c:pt>
                <c:pt idx="212">
                  <c:v>42769</c:v>
                </c:pt>
                <c:pt idx="213">
                  <c:v>42772</c:v>
                </c:pt>
                <c:pt idx="214">
                  <c:v>42773</c:v>
                </c:pt>
                <c:pt idx="215">
                  <c:v>42774</c:v>
                </c:pt>
                <c:pt idx="216">
                  <c:v>42775</c:v>
                </c:pt>
                <c:pt idx="217">
                  <c:v>42776</c:v>
                </c:pt>
                <c:pt idx="218">
                  <c:v>42779</c:v>
                </c:pt>
                <c:pt idx="219">
                  <c:v>42780</c:v>
                </c:pt>
                <c:pt idx="220">
                  <c:v>42781</c:v>
                </c:pt>
                <c:pt idx="221">
                  <c:v>42782</c:v>
                </c:pt>
                <c:pt idx="222">
                  <c:v>42783</c:v>
                </c:pt>
                <c:pt idx="223">
                  <c:v>42786</c:v>
                </c:pt>
                <c:pt idx="224">
                  <c:v>42787</c:v>
                </c:pt>
                <c:pt idx="225">
                  <c:v>42788</c:v>
                </c:pt>
                <c:pt idx="226">
                  <c:v>42789</c:v>
                </c:pt>
                <c:pt idx="227">
                  <c:v>42790</c:v>
                </c:pt>
                <c:pt idx="228">
                  <c:v>42793</c:v>
                </c:pt>
                <c:pt idx="229">
                  <c:v>42794</c:v>
                </c:pt>
                <c:pt idx="230">
                  <c:v>42795</c:v>
                </c:pt>
                <c:pt idx="231">
                  <c:v>42796</c:v>
                </c:pt>
                <c:pt idx="232">
                  <c:v>42797</c:v>
                </c:pt>
                <c:pt idx="233">
                  <c:v>42800</c:v>
                </c:pt>
                <c:pt idx="234">
                  <c:v>42801</c:v>
                </c:pt>
                <c:pt idx="235">
                  <c:v>42802</c:v>
                </c:pt>
                <c:pt idx="236">
                  <c:v>42803</c:v>
                </c:pt>
                <c:pt idx="237">
                  <c:v>42804</c:v>
                </c:pt>
                <c:pt idx="238">
                  <c:v>42807</c:v>
                </c:pt>
                <c:pt idx="239">
                  <c:v>42808</c:v>
                </c:pt>
                <c:pt idx="240">
                  <c:v>42809</c:v>
                </c:pt>
                <c:pt idx="241">
                  <c:v>42810</c:v>
                </c:pt>
                <c:pt idx="242">
                  <c:v>42811</c:v>
                </c:pt>
                <c:pt idx="243">
                  <c:v>42814</c:v>
                </c:pt>
                <c:pt idx="244">
                  <c:v>42815</c:v>
                </c:pt>
                <c:pt idx="245">
                  <c:v>42816</c:v>
                </c:pt>
                <c:pt idx="246">
                  <c:v>42817</c:v>
                </c:pt>
                <c:pt idx="247">
                  <c:v>42818</c:v>
                </c:pt>
                <c:pt idx="248">
                  <c:v>42821</c:v>
                </c:pt>
                <c:pt idx="249">
                  <c:v>42822</c:v>
                </c:pt>
                <c:pt idx="250">
                  <c:v>42823</c:v>
                </c:pt>
                <c:pt idx="251">
                  <c:v>42824</c:v>
                </c:pt>
                <c:pt idx="252">
                  <c:v>42825</c:v>
                </c:pt>
                <c:pt idx="253">
                  <c:v>42830</c:v>
                </c:pt>
                <c:pt idx="254">
                  <c:v>42831</c:v>
                </c:pt>
                <c:pt idx="255">
                  <c:v>42832</c:v>
                </c:pt>
                <c:pt idx="256">
                  <c:v>42835</c:v>
                </c:pt>
                <c:pt idx="257">
                  <c:v>42836</c:v>
                </c:pt>
                <c:pt idx="258">
                  <c:v>42837</c:v>
                </c:pt>
                <c:pt idx="259">
                  <c:v>42838</c:v>
                </c:pt>
                <c:pt idx="260">
                  <c:v>42839</c:v>
                </c:pt>
                <c:pt idx="261">
                  <c:v>42842</c:v>
                </c:pt>
                <c:pt idx="262">
                  <c:v>42843</c:v>
                </c:pt>
                <c:pt idx="263">
                  <c:v>42844</c:v>
                </c:pt>
                <c:pt idx="264">
                  <c:v>42845</c:v>
                </c:pt>
                <c:pt idx="265">
                  <c:v>42846</c:v>
                </c:pt>
                <c:pt idx="266">
                  <c:v>42849</c:v>
                </c:pt>
                <c:pt idx="267">
                  <c:v>42850</c:v>
                </c:pt>
                <c:pt idx="268">
                  <c:v>42851</c:v>
                </c:pt>
                <c:pt idx="269">
                  <c:v>42852</c:v>
                </c:pt>
                <c:pt idx="270">
                  <c:v>42853</c:v>
                </c:pt>
                <c:pt idx="271">
                  <c:v>42857</c:v>
                </c:pt>
                <c:pt idx="272">
                  <c:v>42858</c:v>
                </c:pt>
                <c:pt idx="273">
                  <c:v>42859</c:v>
                </c:pt>
                <c:pt idx="274">
                  <c:v>42860</c:v>
                </c:pt>
                <c:pt idx="275">
                  <c:v>42863</c:v>
                </c:pt>
                <c:pt idx="276">
                  <c:v>42864</c:v>
                </c:pt>
                <c:pt idx="277">
                  <c:v>42865</c:v>
                </c:pt>
                <c:pt idx="278">
                  <c:v>42866</c:v>
                </c:pt>
                <c:pt idx="279">
                  <c:v>42867</c:v>
                </c:pt>
                <c:pt idx="280">
                  <c:v>42870</c:v>
                </c:pt>
                <c:pt idx="281">
                  <c:v>42871</c:v>
                </c:pt>
                <c:pt idx="282">
                  <c:v>42872</c:v>
                </c:pt>
                <c:pt idx="283">
                  <c:v>42873</c:v>
                </c:pt>
                <c:pt idx="284">
                  <c:v>42874</c:v>
                </c:pt>
                <c:pt idx="285">
                  <c:v>42877</c:v>
                </c:pt>
                <c:pt idx="286">
                  <c:v>42878</c:v>
                </c:pt>
                <c:pt idx="287">
                  <c:v>42879</c:v>
                </c:pt>
                <c:pt idx="288">
                  <c:v>42880</c:v>
                </c:pt>
                <c:pt idx="289">
                  <c:v>42881</c:v>
                </c:pt>
                <c:pt idx="290">
                  <c:v>42886</c:v>
                </c:pt>
                <c:pt idx="291">
                  <c:v>42887</c:v>
                </c:pt>
                <c:pt idx="292">
                  <c:v>42888</c:v>
                </c:pt>
                <c:pt idx="293">
                  <c:v>42891</c:v>
                </c:pt>
                <c:pt idx="294">
                  <c:v>42892</c:v>
                </c:pt>
                <c:pt idx="295">
                  <c:v>42893</c:v>
                </c:pt>
                <c:pt idx="296">
                  <c:v>42894</c:v>
                </c:pt>
                <c:pt idx="297">
                  <c:v>42895</c:v>
                </c:pt>
                <c:pt idx="298">
                  <c:v>42898</c:v>
                </c:pt>
                <c:pt idx="299">
                  <c:v>42899</c:v>
                </c:pt>
                <c:pt idx="300">
                  <c:v>42900</c:v>
                </c:pt>
                <c:pt idx="301">
                  <c:v>42901</c:v>
                </c:pt>
                <c:pt idx="302">
                  <c:v>42902</c:v>
                </c:pt>
                <c:pt idx="303">
                  <c:v>42905</c:v>
                </c:pt>
                <c:pt idx="304">
                  <c:v>42906</c:v>
                </c:pt>
                <c:pt idx="305">
                  <c:v>42907</c:v>
                </c:pt>
                <c:pt idx="306">
                  <c:v>42908</c:v>
                </c:pt>
                <c:pt idx="307">
                  <c:v>42909</c:v>
                </c:pt>
                <c:pt idx="308">
                  <c:v>42912</c:v>
                </c:pt>
                <c:pt idx="309">
                  <c:v>42913</c:v>
                </c:pt>
                <c:pt idx="310">
                  <c:v>42914</c:v>
                </c:pt>
                <c:pt idx="311">
                  <c:v>42915</c:v>
                </c:pt>
                <c:pt idx="312">
                  <c:v>42916</c:v>
                </c:pt>
                <c:pt idx="313">
                  <c:v>42919</c:v>
                </c:pt>
                <c:pt idx="314">
                  <c:v>42920</c:v>
                </c:pt>
                <c:pt idx="315">
                  <c:v>42921</c:v>
                </c:pt>
                <c:pt idx="316">
                  <c:v>42922</c:v>
                </c:pt>
                <c:pt idx="317">
                  <c:v>42923</c:v>
                </c:pt>
                <c:pt idx="318">
                  <c:v>42926</c:v>
                </c:pt>
                <c:pt idx="319">
                  <c:v>42927</c:v>
                </c:pt>
                <c:pt idx="320">
                  <c:v>42928</c:v>
                </c:pt>
                <c:pt idx="321">
                  <c:v>42929</c:v>
                </c:pt>
                <c:pt idx="322">
                  <c:v>42930</c:v>
                </c:pt>
                <c:pt idx="323">
                  <c:v>42933</c:v>
                </c:pt>
                <c:pt idx="324">
                  <c:v>42934</c:v>
                </c:pt>
                <c:pt idx="325">
                  <c:v>42935</c:v>
                </c:pt>
                <c:pt idx="326">
                  <c:v>42936</c:v>
                </c:pt>
                <c:pt idx="327">
                  <c:v>42937</c:v>
                </c:pt>
                <c:pt idx="328">
                  <c:v>42940</c:v>
                </c:pt>
                <c:pt idx="329">
                  <c:v>42941</c:v>
                </c:pt>
                <c:pt idx="330">
                  <c:v>42942</c:v>
                </c:pt>
                <c:pt idx="331">
                  <c:v>42943</c:v>
                </c:pt>
                <c:pt idx="332">
                  <c:v>42944</c:v>
                </c:pt>
                <c:pt idx="333">
                  <c:v>42947</c:v>
                </c:pt>
                <c:pt idx="334">
                  <c:v>42948</c:v>
                </c:pt>
                <c:pt idx="335">
                  <c:v>42949</c:v>
                </c:pt>
                <c:pt idx="336">
                  <c:v>42950</c:v>
                </c:pt>
                <c:pt idx="337">
                  <c:v>42951</c:v>
                </c:pt>
                <c:pt idx="338">
                  <c:v>42954</c:v>
                </c:pt>
                <c:pt idx="339">
                  <c:v>42955</c:v>
                </c:pt>
                <c:pt idx="340">
                  <c:v>42956</c:v>
                </c:pt>
                <c:pt idx="341">
                  <c:v>42957</c:v>
                </c:pt>
                <c:pt idx="342">
                  <c:v>42958</c:v>
                </c:pt>
                <c:pt idx="343">
                  <c:v>42961</c:v>
                </c:pt>
                <c:pt idx="344">
                  <c:v>42962</c:v>
                </c:pt>
                <c:pt idx="345">
                  <c:v>42963</c:v>
                </c:pt>
                <c:pt idx="346">
                  <c:v>42964</c:v>
                </c:pt>
                <c:pt idx="347">
                  <c:v>42965</c:v>
                </c:pt>
                <c:pt idx="348">
                  <c:v>42968</c:v>
                </c:pt>
                <c:pt idx="349">
                  <c:v>42969</c:v>
                </c:pt>
                <c:pt idx="350">
                  <c:v>42970</c:v>
                </c:pt>
                <c:pt idx="351">
                  <c:v>42971</c:v>
                </c:pt>
                <c:pt idx="352">
                  <c:v>42972</c:v>
                </c:pt>
                <c:pt idx="353">
                  <c:v>42975</c:v>
                </c:pt>
                <c:pt idx="354">
                  <c:v>42976</c:v>
                </c:pt>
                <c:pt idx="355">
                  <c:v>42977</c:v>
                </c:pt>
                <c:pt idx="356">
                  <c:v>42978</c:v>
                </c:pt>
                <c:pt idx="357">
                  <c:v>42979</c:v>
                </c:pt>
                <c:pt idx="358">
                  <c:v>42982</c:v>
                </c:pt>
                <c:pt idx="359">
                  <c:v>42983</c:v>
                </c:pt>
                <c:pt idx="360">
                  <c:v>42984</c:v>
                </c:pt>
                <c:pt idx="361">
                  <c:v>42985</c:v>
                </c:pt>
                <c:pt idx="362">
                  <c:v>42986</c:v>
                </c:pt>
                <c:pt idx="363">
                  <c:v>42989</c:v>
                </c:pt>
                <c:pt idx="364">
                  <c:v>42990</c:v>
                </c:pt>
                <c:pt idx="365">
                  <c:v>42991</c:v>
                </c:pt>
                <c:pt idx="366">
                  <c:v>42992</c:v>
                </c:pt>
                <c:pt idx="367">
                  <c:v>42993</c:v>
                </c:pt>
                <c:pt idx="368">
                  <c:v>42996</c:v>
                </c:pt>
                <c:pt idx="369">
                  <c:v>42997</c:v>
                </c:pt>
                <c:pt idx="370">
                  <c:v>42998</c:v>
                </c:pt>
                <c:pt idx="371">
                  <c:v>42999</c:v>
                </c:pt>
                <c:pt idx="372">
                  <c:v>43000</c:v>
                </c:pt>
                <c:pt idx="373">
                  <c:v>43003</c:v>
                </c:pt>
                <c:pt idx="374">
                  <c:v>43004</c:v>
                </c:pt>
                <c:pt idx="375">
                  <c:v>43005</c:v>
                </c:pt>
                <c:pt idx="376">
                  <c:v>43006</c:v>
                </c:pt>
                <c:pt idx="377">
                  <c:v>43007</c:v>
                </c:pt>
                <c:pt idx="378">
                  <c:v>43017</c:v>
                </c:pt>
                <c:pt idx="379">
                  <c:v>43018</c:v>
                </c:pt>
                <c:pt idx="380">
                  <c:v>43019</c:v>
                </c:pt>
                <c:pt idx="381">
                  <c:v>43020</c:v>
                </c:pt>
                <c:pt idx="382">
                  <c:v>43021</c:v>
                </c:pt>
                <c:pt idx="383">
                  <c:v>43024</c:v>
                </c:pt>
                <c:pt idx="384">
                  <c:v>43025</c:v>
                </c:pt>
                <c:pt idx="385">
                  <c:v>43026</c:v>
                </c:pt>
                <c:pt idx="386">
                  <c:v>43027</c:v>
                </c:pt>
                <c:pt idx="387">
                  <c:v>43028</c:v>
                </c:pt>
                <c:pt idx="388">
                  <c:v>43031</c:v>
                </c:pt>
                <c:pt idx="389">
                  <c:v>43032</c:v>
                </c:pt>
                <c:pt idx="390">
                  <c:v>43033</c:v>
                </c:pt>
                <c:pt idx="391">
                  <c:v>43034</c:v>
                </c:pt>
                <c:pt idx="392">
                  <c:v>43035</c:v>
                </c:pt>
                <c:pt idx="393">
                  <c:v>43038</c:v>
                </c:pt>
                <c:pt idx="394">
                  <c:v>43039</c:v>
                </c:pt>
                <c:pt idx="395">
                  <c:v>43040</c:v>
                </c:pt>
                <c:pt idx="396">
                  <c:v>43041</c:v>
                </c:pt>
                <c:pt idx="397">
                  <c:v>43042</c:v>
                </c:pt>
                <c:pt idx="398">
                  <c:v>43045</c:v>
                </c:pt>
                <c:pt idx="399">
                  <c:v>43046</c:v>
                </c:pt>
                <c:pt idx="400">
                  <c:v>43047</c:v>
                </c:pt>
                <c:pt idx="401">
                  <c:v>43048</c:v>
                </c:pt>
                <c:pt idx="402">
                  <c:v>43049</c:v>
                </c:pt>
                <c:pt idx="403">
                  <c:v>43052</c:v>
                </c:pt>
                <c:pt idx="404">
                  <c:v>43053</c:v>
                </c:pt>
                <c:pt idx="405">
                  <c:v>43054</c:v>
                </c:pt>
                <c:pt idx="406">
                  <c:v>43055</c:v>
                </c:pt>
                <c:pt idx="407">
                  <c:v>43056</c:v>
                </c:pt>
                <c:pt idx="408">
                  <c:v>43059</c:v>
                </c:pt>
                <c:pt idx="409">
                  <c:v>43060</c:v>
                </c:pt>
                <c:pt idx="410">
                  <c:v>43061</c:v>
                </c:pt>
                <c:pt idx="411">
                  <c:v>43062</c:v>
                </c:pt>
                <c:pt idx="412">
                  <c:v>43063</c:v>
                </c:pt>
                <c:pt idx="413">
                  <c:v>43066</c:v>
                </c:pt>
                <c:pt idx="414">
                  <c:v>43067</c:v>
                </c:pt>
                <c:pt idx="415">
                  <c:v>43068</c:v>
                </c:pt>
                <c:pt idx="416">
                  <c:v>43069</c:v>
                </c:pt>
                <c:pt idx="417">
                  <c:v>43070</c:v>
                </c:pt>
                <c:pt idx="418">
                  <c:v>43073</c:v>
                </c:pt>
                <c:pt idx="419">
                  <c:v>43074</c:v>
                </c:pt>
                <c:pt idx="420">
                  <c:v>43075</c:v>
                </c:pt>
                <c:pt idx="421">
                  <c:v>43076</c:v>
                </c:pt>
                <c:pt idx="422">
                  <c:v>43077</c:v>
                </c:pt>
                <c:pt idx="423">
                  <c:v>43080</c:v>
                </c:pt>
                <c:pt idx="424">
                  <c:v>43081</c:v>
                </c:pt>
                <c:pt idx="425">
                  <c:v>43082</c:v>
                </c:pt>
                <c:pt idx="426">
                  <c:v>43083</c:v>
                </c:pt>
                <c:pt idx="427">
                  <c:v>43084</c:v>
                </c:pt>
                <c:pt idx="428">
                  <c:v>43087</c:v>
                </c:pt>
                <c:pt idx="429">
                  <c:v>43088</c:v>
                </c:pt>
                <c:pt idx="430">
                  <c:v>43089</c:v>
                </c:pt>
                <c:pt idx="431">
                  <c:v>43090</c:v>
                </c:pt>
                <c:pt idx="432">
                  <c:v>43091</c:v>
                </c:pt>
                <c:pt idx="433">
                  <c:v>43094</c:v>
                </c:pt>
                <c:pt idx="434">
                  <c:v>43095</c:v>
                </c:pt>
                <c:pt idx="435">
                  <c:v>43096</c:v>
                </c:pt>
                <c:pt idx="436">
                  <c:v>43097</c:v>
                </c:pt>
                <c:pt idx="437">
                  <c:v>43098</c:v>
                </c:pt>
                <c:pt idx="438">
                  <c:v>43102</c:v>
                </c:pt>
                <c:pt idx="439">
                  <c:v>43103</c:v>
                </c:pt>
                <c:pt idx="440">
                  <c:v>43104</c:v>
                </c:pt>
                <c:pt idx="441">
                  <c:v>43105</c:v>
                </c:pt>
                <c:pt idx="442">
                  <c:v>43108</c:v>
                </c:pt>
                <c:pt idx="443">
                  <c:v>43109</c:v>
                </c:pt>
                <c:pt idx="444">
                  <c:v>43110</c:v>
                </c:pt>
                <c:pt idx="445">
                  <c:v>43111</c:v>
                </c:pt>
                <c:pt idx="446">
                  <c:v>43112</c:v>
                </c:pt>
                <c:pt idx="447">
                  <c:v>43115</c:v>
                </c:pt>
                <c:pt idx="448">
                  <c:v>43116</c:v>
                </c:pt>
                <c:pt idx="449">
                  <c:v>43117</c:v>
                </c:pt>
                <c:pt idx="450">
                  <c:v>43118</c:v>
                </c:pt>
                <c:pt idx="451">
                  <c:v>43119</c:v>
                </c:pt>
                <c:pt idx="452">
                  <c:v>43122</c:v>
                </c:pt>
                <c:pt idx="453">
                  <c:v>43123</c:v>
                </c:pt>
                <c:pt idx="454">
                  <c:v>43124</c:v>
                </c:pt>
                <c:pt idx="455">
                  <c:v>43125</c:v>
                </c:pt>
                <c:pt idx="456">
                  <c:v>43126</c:v>
                </c:pt>
                <c:pt idx="457">
                  <c:v>43129</c:v>
                </c:pt>
                <c:pt idx="458">
                  <c:v>43130</c:v>
                </c:pt>
                <c:pt idx="459">
                  <c:v>43131</c:v>
                </c:pt>
                <c:pt idx="460">
                  <c:v>43132</c:v>
                </c:pt>
                <c:pt idx="461">
                  <c:v>43133</c:v>
                </c:pt>
                <c:pt idx="462">
                  <c:v>43136</c:v>
                </c:pt>
                <c:pt idx="463">
                  <c:v>43137</c:v>
                </c:pt>
                <c:pt idx="464">
                  <c:v>43138</c:v>
                </c:pt>
                <c:pt idx="465">
                  <c:v>43139</c:v>
                </c:pt>
                <c:pt idx="466">
                  <c:v>43140</c:v>
                </c:pt>
                <c:pt idx="467">
                  <c:v>43143</c:v>
                </c:pt>
                <c:pt idx="468">
                  <c:v>43144</c:v>
                </c:pt>
                <c:pt idx="469">
                  <c:v>43145</c:v>
                </c:pt>
                <c:pt idx="470">
                  <c:v>43153</c:v>
                </c:pt>
                <c:pt idx="471">
                  <c:v>43154</c:v>
                </c:pt>
                <c:pt idx="472">
                  <c:v>43157</c:v>
                </c:pt>
                <c:pt idx="473">
                  <c:v>43158</c:v>
                </c:pt>
                <c:pt idx="474">
                  <c:v>43159</c:v>
                </c:pt>
                <c:pt idx="475">
                  <c:v>43160</c:v>
                </c:pt>
                <c:pt idx="476">
                  <c:v>43161</c:v>
                </c:pt>
                <c:pt idx="477">
                  <c:v>43164</c:v>
                </c:pt>
                <c:pt idx="478">
                  <c:v>43165</c:v>
                </c:pt>
                <c:pt idx="479">
                  <c:v>43166</c:v>
                </c:pt>
                <c:pt idx="480">
                  <c:v>43167</c:v>
                </c:pt>
                <c:pt idx="481">
                  <c:v>43168</c:v>
                </c:pt>
                <c:pt idx="482">
                  <c:v>43171</c:v>
                </c:pt>
                <c:pt idx="483">
                  <c:v>43172</c:v>
                </c:pt>
                <c:pt idx="484">
                  <c:v>43173</c:v>
                </c:pt>
                <c:pt idx="485">
                  <c:v>43174</c:v>
                </c:pt>
                <c:pt idx="486">
                  <c:v>43175</c:v>
                </c:pt>
                <c:pt idx="487">
                  <c:v>43178</c:v>
                </c:pt>
                <c:pt idx="488">
                  <c:v>43179</c:v>
                </c:pt>
                <c:pt idx="489">
                  <c:v>43180</c:v>
                </c:pt>
                <c:pt idx="490">
                  <c:v>43181</c:v>
                </c:pt>
                <c:pt idx="491">
                  <c:v>43182</c:v>
                </c:pt>
                <c:pt idx="492">
                  <c:v>43185</c:v>
                </c:pt>
                <c:pt idx="493">
                  <c:v>43186</c:v>
                </c:pt>
                <c:pt idx="494">
                  <c:v>43187</c:v>
                </c:pt>
                <c:pt idx="495">
                  <c:v>43188</c:v>
                </c:pt>
                <c:pt idx="496">
                  <c:v>43189</c:v>
                </c:pt>
                <c:pt idx="497">
                  <c:v>43192</c:v>
                </c:pt>
                <c:pt idx="498">
                  <c:v>43193</c:v>
                </c:pt>
                <c:pt idx="499">
                  <c:v>43194</c:v>
                </c:pt>
                <c:pt idx="500">
                  <c:v>43199</c:v>
                </c:pt>
                <c:pt idx="501">
                  <c:v>43200</c:v>
                </c:pt>
                <c:pt idx="502">
                  <c:v>43201</c:v>
                </c:pt>
                <c:pt idx="503">
                  <c:v>43202</c:v>
                </c:pt>
                <c:pt idx="504">
                  <c:v>43203</c:v>
                </c:pt>
                <c:pt idx="505">
                  <c:v>43206</c:v>
                </c:pt>
                <c:pt idx="506">
                  <c:v>43207</c:v>
                </c:pt>
                <c:pt idx="507">
                  <c:v>43208</c:v>
                </c:pt>
                <c:pt idx="508">
                  <c:v>43209</c:v>
                </c:pt>
                <c:pt idx="509">
                  <c:v>43210</c:v>
                </c:pt>
                <c:pt idx="510">
                  <c:v>43213</c:v>
                </c:pt>
                <c:pt idx="511">
                  <c:v>43214</c:v>
                </c:pt>
                <c:pt idx="512">
                  <c:v>43215</c:v>
                </c:pt>
                <c:pt idx="513">
                  <c:v>43216</c:v>
                </c:pt>
                <c:pt idx="514">
                  <c:v>43217</c:v>
                </c:pt>
                <c:pt idx="515">
                  <c:v>43222</c:v>
                </c:pt>
                <c:pt idx="516">
                  <c:v>43223</c:v>
                </c:pt>
                <c:pt idx="517">
                  <c:v>43224</c:v>
                </c:pt>
                <c:pt idx="518">
                  <c:v>43227</c:v>
                </c:pt>
                <c:pt idx="519">
                  <c:v>43228</c:v>
                </c:pt>
                <c:pt idx="520">
                  <c:v>43229</c:v>
                </c:pt>
                <c:pt idx="521">
                  <c:v>43230</c:v>
                </c:pt>
                <c:pt idx="522">
                  <c:v>43231</c:v>
                </c:pt>
                <c:pt idx="523">
                  <c:v>43234</c:v>
                </c:pt>
                <c:pt idx="524">
                  <c:v>43235</c:v>
                </c:pt>
                <c:pt idx="525">
                  <c:v>43236</c:v>
                </c:pt>
                <c:pt idx="526">
                  <c:v>43237</c:v>
                </c:pt>
                <c:pt idx="527">
                  <c:v>43238</c:v>
                </c:pt>
                <c:pt idx="528">
                  <c:v>43241</c:v>
                </c:pt>
                <c:pt idx="529">
                  <c:v>43242</c:v>
                </c:pt>
                <c:pt idx="530">
                  <c:v>43243</c:v>
                </c:pt>
                <c:pt idx="531">
                  <c:v>43244</c:v>
                </c:pt>
                <c:pt idx="532">
                  <c:v>43245</c:v>
                </c:pt>
                <c:pt idx="533">
                  <c:v>43248</c:v>
                </c:pt>
                <c:pt idx="534">
                  <c:v>43249</c:v>
                </c:pt>
                <c:pt idx="535">
                  <c:v>43250</c:v>
                </c:pt>
                <c:pt idx="536">
                  <c:v>43251</c:v>
                </c:pt>
                <c:pt idx="537">
                  <c:v>43252</c:v>
                </c:pt>
                <c:pt idx="538">
                  <c:v>43255</c:v>
                </c:pt>
                <c:pt idx="539">
                  <c:v>43256</c:v>
                </c:pt>
                <c:pt idx="540">
                  <c:v>43257</c:v>
                </c:pt>
                <c:pt idx="541">
                  <c:v>43258</c:v>
                </c:pt>
                <c:pt idx="542">
                  <c:v>43259</c:v>
                </c:pt>
                <c:pt idx="543">
                  <c:v>43262</c:v>
                </c:pt>
                <c:pt idx="544">
                  <c:v>43263</c:v>
                </c:pt>
                <c:pt idx="545">
                  <c:v>43264</c:v>
                </c:pt>
                <c:pt idx="546">
                  <c:v>43265</c:v>
                </c:pt>
                <c:pt idx="547">
                  <c:v>43266</c:v>
                </c:pt>
                <c:pt idx="548">
                  <c:v>43270</c:v>
                </c:pt>
                <c:pt idx="549">
                  <c:v>43271</c:v>
                </c:pt>
                <c:pt idx="550">
                  <c:v>43272</c:v>
                </c:pt>
                <c:pt idx="551">
                  <c:v>43273</c:v>
                </c:pt>
                <c:pt idx="552">
                  <c:v>43276</c:v>
                </c:pt>
                <c:pt idx="553">
                  <c:v>43277</c:v>
                </c:pt>
                <c:pt idx="554">
                  <c:v>43278</c:v>
                </c:pt>
                <c:pt idx="555">
                  <c:v>43279</c:v>
                </c:pt>
                <c:pt idx="556">
                  <c:v>43280</c:v>
                </c:pt>
                <c:pt idx="557">
                  <c:v>43283</c:v>
                </c:pt>
                <c:pt idx="558">
                  <c:v>43284</c:v>
                </c:pt>
                <c:pt idx="559">
                  <c:v>43285</c:v>
                </c:pt>
                <c:pt idx="560">
                  <c:v>43286</c:v>
                </c:pt>
                <c:pt idx="561">
                  <c:v>43287</c:v>
                </c:pt>
                <c:pt idx="562">
                  <c:v>43290</c:v>
                </c:pt>
                <c:pt idx="563">
                  <c:v>43291</c:v>
                </c:pt>
                <c:pt idx="564">
                  <c:v>43292</c:v>
                </c:pt>
                <c:pt idx="565">
                  <c:v>43293</c:v>
                </c:pt>
                <c:pt idx="566">
                  <c:v>43294</c:v>
                </c:pt>
                <c:pt idx="567">
                  <c:v>43297</c:v>
                </c:pt>
                <c:pt idx="568">
                  <c:v>43298</c:v>
                </c:pt>
                <c:pt idx="569">
                  <c:v>43299</c:v>
                </c:pt>
                <c:pt idx="570">
                  <c:v>43300</c:v>
                </c:pt>
                <c:pt idx="571">
                  <c:v>43301</c:v>
                </c:pt>
                <c:pt idx="572">
                  <c:v>43304</c:v>
                </c:pt>
                <c:pt idx="573">
                  <c:v>43305</c:v>
                </c:pt>
                <c:pt idx="574">
                  <c:v>43306</c:v>
                </c:pt>
                <c:pt idx="575">
                  <c:v>43307</c:v>
                </c:pt>
                <c:pt idx="576">
                  <c:v>43308</c:v>
                </c:pt>
                <c:pt idx="577">
                  <c:v>43311</c:v>
                </c:pt>
                <c:pt idx="578">
                  <c:v>43312</c:v>
                </c:pt>
                <c:pt idx="579">
                  <c:v>43313</c:v>
                </c:pt>
                <c:pt idx="580">
                  <c:v>43314</c:v>
                </c:pt>
                <c:pt idx="581">
                  <c:v>43315</c:v>
                </c:pt>
                <c:pt idx="582">
                  <c:v>43318</c:v>
                </c:pt>
                <c:pt idx="583">
                  <c:v>43319</c:v>
                </c:pt>
                <c:pt idx="584">
                  <c:v>43320</c:v>
                </c:pt>
                <c:pt idx="585">
                  <c:v>43321</c:v>
                </c:pt>
                <c:pt idx="586">
                  <c:v>43322</c:v>
                </c:pt>
                <c:pt idx="587">
                  <c:v>43325</c:v>
                </c:pt>
                <c:pt idx="588">
                  <c:v>43326</c:v>
                </c:pt>
                <c:pt idx="589">
                  <c:v>43327</c:v>
                </c:pt>
                <c:pt idx="590">
                  <c:v>43328</c:v>
                </c:pt>
                <c:pt idx="591">
                  <c:v>43329</c:v>
                </c:pt>
                <c:pt idx="592">
                  <c:v>43332</c:v>
                </c:pt>
                <c:pt idx="593">
                  <c:v>43333</c:v>
                </c:pt>
                <c:pt idx="594">
                  <c:v>43334</c:v>
                </c:pt>
                <c:pt idx="595">
                  <c:v>43335</c:v>
                </c:pt>
                <c:pt idx="596">
                  <c:v>43336</c:v>
                </c:pt>
                <c:pt idx="597">
                  <c:v>43339</c:v>
                </c:pt>
                <c:pt idx="598">
                  <c:v>43340</c:v>
                </c:pt>
                <c:pt idx="599">
                  <c:v>43341</c:v>
                </c:pt>
                <c:pt idx="600">
                  <c:v>43342</c:v>
                </c:pt>
                <c:pt idx="601">
                  <c:v>43343</c:v>
                </c:pt>
                <c:pt idx="602">
                  <c:v>43346</c:v>
                </c:pt>
                <c:pt idx="603">
                  <c:v>43347</c:v>
                </c:pt>
                <c:pt idx="604">
                  <c:v>43348</c:v>
                </c:pt>
                <c:pt idx="605">
                  <c:v>43349</c:v>
                </c:pt>
                <c:pt idx="606">
                  <c:v>43350</c:v>
                </c:pt>
                <c:pt idx="607">
                  <c:v>43353</c:v>
                </c:pt>
                <c:pt idx="608">
                  <c:v>43354</c:v>
                </c:pt>
                <c:pt idx="609">
                  <c:v>43355</c:v>
                </c:pt>
                <c:pt idx="610">
                  <c:v>43356</c:v>
                </c:pt>
                <c:pt idx="611">
                  <c:v>43357</c:v>
                </c:pt>
                <c:pt idx="612">
                  <c:v>43360</c:v>
                </c:pt>
                <c:pt idx="613">
                  <c:v>43361</c:v>
                </c:pt>
                <c:pt idx="614">
                  <c:v>43362</c:v>
                </c:pt>
                <c:pt idx="615">
                  <c:v>43363</c:v>
                </c:pt>
                <c:pt idx="616">
                  <c:v>43364</c:v>
                </c:pt>
                <c:pt idx="617">
                  <c:v>43368</c:v>
                </c:pt>
                <c:pt idx="618">
                  <c:v>43369</c:v>
                </c:pt>
                <c:pt idx="619">
                  <c:v>43370</c:v>
                </c:pt>
                <c:pt idx="620">
                  <c:v>43371</c:v>
                </c:pt>
                <c:pt idx="621">
                  <c:v>43381</c:v>
                </c:pt>
                <c:pt idx="622">
                  <c:v>43382</c:v>
                </c:pt>
                <c:pt idx="623">
                  <c:v>43383</c:v>
                </c:pt>
                <c:pt idx="624">
                  <c:v>43384</c:v>
                </c:pt>
                <c:pt idx="625">
                  <c:v>43385</c:v>
                </c:pt>
                <c:pt idx="626">
                  <c:v>43388</c:v>
                </c:pt>
                <c:pt idx="627">
                  <c:v>43389</c:v>
                </c:pt>
                <c:pt idx="628">
                  <c:v>43390</c:v>
                </c:pt>
                <c:pt idx="629">
                  <c:v>43391</c:v>
                </c:pt>
                <c:pt idx="630">
                  <c:v>43392</c:v>
                </c:pt>
                <c:pt idx="631">
                  <c:v>43395</c:v>
                </c:pt>
                <c:pt idx="632">
                  <c:v>43396</c:v>
                </c:pt>
                <c:pt idx="633">
                  <c:v>43397</c:v>
                </c:pt>
                <c:pt idx="634">
                  <c:v>43398</c:v>
                </c:pt>
                <c:pt idx="635">
                  <c:v>43399</c:v>
                </c:pt>
                <c:pt idx="636">
                  <c:v>43402</c:v>
                </c:pt>
                <c:pt idx="637">
                  <c:v>43403</c:v>
                </c:pt>
                <c:pt idx="638">
                  <c:v>43404</c:v>
                </c:pt>
                <c:pt idx="639">
                  <c:v>43405</c:v>
                </c:pt>
                <c:pt idx="640">
                  <c:v>43406</c:v>
                </c:pt>
                <c:pt idx="641">
                  <c:v>43409</c:v>
                </c:pt>
                <c:pt idx="642">
                  <c:v>43410</c:v>
                </c:pt>
                <c:pt idx="643">
                  <c:v>43411</c:v>
                </c:pt>
                <c:pt idx="644">
                  <c:v>43412</c:v>
                </c:pt>
                <c:pt idx="645">
                  <c:v>43413</c:v>
                </c:pt>
                <c:pt idx="646">
                  <c:v>43416</c:v>
                </c:pt>
                <c:pt idx="647">
                  <c:v>43417</c:v>
                </c:pt>
                <c:pt idx="648">
                  <c:v>43418</c:v>
                </c:pt>
                <c:pt idx="649">
                  <c:v>43419</c:v>
                </c:pt>
                <c:pt idx="650">
                  <c:v>43420</c:v>
                </c:pt>
                <c:pt idx="651">
                  <c:v>43423</c:v>
                </c:pt>
                <c:pt idx="652">
                  <c:v>43424</c:v>
                </c:pt>
                <c:pt idx="653">
                  <c:v>43425</c:v>
                </c:pt>
                <c:pt idx="654">
                  <c:v>43426</c:v>
                </c:pt>
                <c:pt idx="655">
                  <c:v>43427</c:v>
                </c:pt>
                <c:pt idx="656">
                  <c:v>43430</c:v>
                </c:pt>
                <c:pt idx="657">
                  <c:v>43431</c:v>
                </c:pt>
                <c:pt idx="658">
                  <c:v>43432</c:v>
                </c:pt>
                <c:pt idx="659">
                  <c:v>43433</c:v>
                </c:pt>
                <c:pt idx="660">
                  <c:v>43434</c:v>
                </c:pt>
                <c:pt idx="661">
                  <c:v>43437</c:v>
                </c:pt>
                <c:pt idx="662">
                  <c:v>43438</c:v>
                </c:pt>
                <c:pt idx="663">
                  <c:v>43439</c:v>
                </c:pt>
                <c:pt idx="664">
                  <c:v>43440</c:v>
                </c:pt>
                <c:pt idx="665">
                  <c:v>43441</c:v>
                </c:pt>
                <c:pt idx="666">
                  <c:v>43444</c:v>
                </c:pt>
                <c:pt idx="667">
                  <c:v>43445</c:v>
                </c:pt>
                <c:pt idx="668">
                  <c:v>43446</c:v>
                </c:pt>
                <c:pt idx="669">
                  <c:v>43447</c:v>
                </c:pt>
                <c:pt idx="670">
                  <c:v>43448</c:v>
                </c:pt>
                <c:pt idx="671">
                  <c:v>43451</c:v>
                </c:pt>
                <c:pt idx="672">
                  <c:v>43452</c:v>
                </c:pt>
                <c:pt idx="673">
                  <c:v>43453</c:v>
                </c:pt>
                <c:pt idx="674">
                  <c:v>43454</c:v>
                </c:pt>
                <c:pt idx="675">
                  <c:v>43455</c:v>
                </c:pt>
                <c:pt idx="676">
                  <c:v>43458</c:v>
                </c:pt>
                <c:pt idx="677">
                  <c:v>43459</c:v>
                </c:pt>
                <c:pt idx="678">
                  <c:v>43460</c:v>
                </c:pt>
                <c:pt idx="679">
                  <c:v>43461</c:v>
                </c:pt>
                <c:pt idx="680">
                  <c:v>43462</c:v>
                </c:pt>
                <c:pt idx="681">
                  <c:v>43467</c:v>
                </c:pt>
                <c:pt idx="682">
                  <c:v>43468</c:v>
                </c:pt>
                <c:pt idx="683">
                  <c:v>43469</c:v>
                </c:pt>
                <c:pt idx="684">
                  <c:v>43472</c:v>
                </c:pt>
                <c:pt idx="685">
                  <c:v>43473</c:v>
                </c:pt>
                <c:pt idx="686">
                  <c:v>43474</c:v>
                </c:pt>
                <c:pt idx="687">
                  <c:v>43475</c:v>
                </c:pt>
                <c:pt idx="688">
                  <c:v>43476</c:v>
                </c:pt>
                <c:pt idx="689">
                  <c:v>43479</c:v>
                </c:pt>
                <c:pt idx="690">
                  <c:v>43480</c:v>
                </c:pt>
                <c:pt idx="691">
                  <c:v>43481</c:v>
                </c:pt>
                <c:pt idx="692">
                  <c:v>43482</c:v>
                </c:pt>
                <c:pt idx="693">
                  <c:v>43483</c:v>
                </c:pt>
                <c:pt idx="694">
                  <c:v>43486</c:v>
                </c:pt>
                <c:pt idx="695">
                  <c:v>43487</c:v>
                </c:pt>
                <c:pt idx="696">
                  <c:v>43488</c:v>
                </c:pt>
                <c:pt idx="697">
                  <c:v>43489</c:v>
                </c:pt>
                <c:pt idx="698">
                  <c:v>43490</c:v>
                </c:pt>
                <c:pt idx="699">
                  <c:v>43493</c:v>
                </c:pt>
                <c:pt idx="700">
                  <c:v>43494</c:v>
                </c:pt>
                <c:pt idx="701">
                  <c:v>43495</c:v>
                </c:pt>
                <c:pt idx="702">
                  <c:v>43496</c:v>
                </c:pt>
                <c:pt idx="703">
                  <c:v>43497</c:v>
                </c:pt>
                <c:pt idx="704">
                  <c:v>43507</c:v>
                </c:pt>
                <c:pt idx="705">
                  <c:v>43508</c:v>
                </c:pt>
                <c:pt idx="706">
                  <c:v>43509</c:v>
                </c:pt>
                <c:pt idx="707">
                  <c:v>43510</c:v>
                </c:pt>
                <c:pt idx="708">
                  <c:v>43511</c:v>
                </c:pt>
                <c:pt idx="709">
                  <c:v>43514</c:v>
                </c:pt>
                <c:pt idx="710">
                  <c:v>43515</c:v>
                </c:pt>
                <c:pt idx="711">
                  <c:v>43516</c:v>
                </c:pt>
                <c:pt idx="712">
                  <c:v>43517</c:v>
                </c:pt>
                <c:pt idx="713">
                  <c:v>43518</c:v>
                </c:pt>
                <c:pt idx="714">
                  <c:v>43521</c:v>
                </c:pt>
                <c:pt idx="715">
                  <c:v>43522</c:v>
                </c:pt>
                <c:pt idx="716">
                  <c:v>43523</c:v>
                </c:pt>
                <c:pt idx="717">
                  <c:v>43524</c:v>
                </c:pt>
                <c:pt idx="718">
                  <c:v>43525</c:v>
                </c:pt>
                <c:pt idx="719">
                  <c:v>43528</c:v>
                </c:pt>
                <c:pt idx="720">
                  <c:v>43529</c:v>
                </c:pt>
                <c:pt idx="721">
                  <c:v>43530</c:v>
                </c:pt>
                <c:pt idx="722">
                  <c:v>43531</c:v>
                </c:pt>
                <c:pt idx="723">
                  <c:v>43532</c:v>
                </c:pt>
                <c:pt idx="724">
                  <c:v>43535</c:v>
                </c:pt>
                <c:pt idx="725">
                  <c:v>43536</c:v>
                </c:pt>
                <c:pt idx="726">
                  <c:v>43537</c:v>
                </c:pt>
                <c:pt idx="727">
                  <c:v>43538</c:v>
                </c:pt>
                <c:pt idx="728">
                  <c:v>43539</c:v>
                </c:pt>
                <c:pt idx="729">
                  <c:v>43542</c:v>
                </c:pt>
                <c:pt idx="730">
                  <c:v>43543</c:v>
                </c:pt>
                <c:pt idx="731">
                  <c:v>43544</c:v>
                </c:pt>
                <c:pt idx="732">
                  <c:v>43545</c:v>
                </c:pt>
                <c:pt idx="733">
                  <c:v>43546</c:v>
                </c:pt>
                <c:pt idx="734">
                  <c:v>43549</c:v>
                </c:pt>
                <c:pt idx="735">
                  <c:v>43550</c:v>
                </c:pt>
                <c:pt idx="736">
                  <c:v>43551</c:v>
                </c:pt>
                <c:pt idx="737">
                  <c:v>43552</c:v>
                </c:pt>
                <c:pt idx="738">
                  <c:v>43553</c:v>
                </c:pt>
                <c:pt idx="739">
                  <c:v>43556</c:v>
                </c:pt>
                <c:pt idx="740">
                  <c:v>43557</c:v>
                </c:pt>
                <c:pt idx="741">
                  <c:v>43558</c:v>
                </c:pt>
                <c:pt idx="742">
                  <c:v>43559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43574</c:v>
                </c:pt>
                <c:pt idx="753">
                  <c:v>43577</c:v>
                </c:pt>
                <c:pt idx="754">
                  <c:v>43578</c:v>
                </c:pt>
                <c:pt idx="755">
                  <c:v>43579</c:v>
                </c:pt>
                <c:pt idx="756">
                  <c:v>43580</c:v>
                </c:pt>
                <c:pt idx="757">
                  <c:v>43581</c:v>
                </c:pt>
                <c:pt idx="758">
                  <c:v>43584</c:v>
                </c:pt>
                <c:pt idx="759">
                  <c:v>43585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43626</c:v>
                </c:pt>
                <c:pt idx="785">
                  <c:v>43627</c:v>
                </c:pt>
                <c:pt idx="786">
                  <c:v>43628</c:v>
                </c:pt>
                <c:pt idx="787">
                  <c:v>43629</c:v>
                </c:pt>
                <c:pt idx="788">
                  <c:v>43630</c:v>
                </c:pt>
                <c:pt idx="789">
                  <c:v>43633</c:v>
                </c:pt>
                <c:pt idx="790">
                  <c:v>43634</c:v>
                </c:pt>
                <c:pt idx="791">
                  <c:v>43635</c:v>
                </c:pt>
                <c:pt idx="792">
                  <c:v>43636</c:v>
                </c:pt>
                <c:pt idx="793">
                  <c:v>43637</c:v>
                </c:pt>
                <c:pt idx="794">
                  <c:v>43640</c:v>
                </c:pt>
                <c:pt idx="795">
                  <c:v>43641</c:v>
                </c:pt>
                <c:pt idx="796">
                  <c:v>43642</c:v>
                </c:pt>
                <c:pt idx="797">
                  <c:v>43643</c:v>
                </c:pt>
                <c:pt idx="798">
                  <c:v>43644</c:v>
                </c:pt>
                <c:pt idx="799">
                  <c:v>43647</c:v>
                </c:pt>
                <c:pt idx="800">
                  <c:v>43648</c:v>
                </c:pt>
                <c:pt idx="801">
                  <c:v>43649</c:v>
                </c:pt>
                <c:pt idx="802">
                  <c:v>43650</c:v>
                </c:pt>
                <c:pt idx="803">
                  <c:v>43651</c:v>
                </c:pt>
                <c:pt idx="804">
                  <c:v>43654</c:v>
                </c:pt>
                <c:pt idx="805">
                  <c:v>43655</c:v>
                </c:pt>
                <c:pt idx="806">
                  <c:v>43656</c:v>
                </c:pt>
                <c:pt idx="807">
                  <c:v>43657</c:v>
                </c:pt>
                <c:pt idx="808">
                  <c:v>43658</c:v>
                </c:pt>
                <c:pt idx="809">
                  <c:v>43661</c:v>
                </c:pt>
                <c:pt idx="810">
                  <c:v>43662</c:v>
                </c:pt>
                <c:pt idx="811">
                  <c:v>43663</c:v>
                </c:pt>
                <c:pt idx="812">
                  <c:v>43664</c:v>
                </c:pt>
                <c:pt idx="813">
                  <c:v>43665</c:v>
                </c:pt>
                <c:pt idx="814">
                  <c:v>43668</c:v>
                </c:pt>
                <c:pt idx="815">
                  <c:v>43669</c:v>
                </c:pt>
                <c:pt idx="816">
                  <c:v>43670</c:v>
                </c:pt>
                <c:pt idx="817">
                  <c:v>43671</c:v>
                </c:pt>
                <c:pt idx="818">
                  <c:v>43672</c:v>
                </c:pt>
                <c:pt idx="819">
                  <c:v>43675</c:v>
                </c:pt>
                <c:pt idx="820">
                  <c:v>43676</c:v>
                </c:pt>
                <c:pt idx="821">
                  <c:v>43677</c:v>
                </c:pt>
                <c:pt idx="822">
                  <c:v>43678</c:v>
                </c:pt>
                <c:pt idx="823">
                  <c:v>43679</c:v>
                </c:pt>
                <c:pt idx="824">
                  <c:v>43682</c:v>
                </c:pt>
                <c:pt idx="825">
                  <c:v>43683</c:v>
                </c:pt>
                <c:pt idx="826">
                  <c:v>43684</c:v>
                </c:pt>
                <c:pt idx="827">
                  <c:v>43685</c:v>
                </c:pt>
                <c:pt idx="828">
                  <c:v>43686</c:v>
                </c:pt>
                <c:pt idx="829">
                  <c:v>43689</c:v>
                </c:pt>
                <c:pt idx="830">
                  <c:v>43690</c:v>
                </c:pt>
                <c:pt idx="831">
                  <c:v>43691</c:v>
                </c:pt>
                <c:pt idx="832">
                  <c:v>43692</c:v>
                </c:pt>
                <c:pt idx="833">
                  <c:v>43693</c:v>
                </c:pt>
                <c:pt idx="834">
                  <c:v>43696</c:v>
                </c:pt>
                <c:pt idx="835">
                  <c:v>43697</c:v>
                </c:pt>
                <c:pt idx="836">
                  <c:v>43698</c:v>
                </c:pt>
                <c:pt idx="837">
                  <c:v>43699</c:v>
                </c:pt>
                <c:pt idx="838">
                  <c:v>43700</c:v>
                </c:pt>
                <c:pt idx="839">
                  <c:v>43703</c:v>
                </c:pt>
                <c:pt idx="840">
                  <c:v>43704</c:v>
                </c:pt>
                <c:pt idx="841">
                  <c:v>43705</c:v>
                </c:pt>
                <c:pt idx="842">
                  <c:v>43706</c:v>
                </c:pt>
                <c:pt idx="843">
                  <c:v>43707</c:v>
                </c:pt>
                <c:pt idx="844">
                  <c:v>43710</c:v>
                </c:pt>
                <c:pt idx="845">
                  <c:v>43711</c:v>
                </c:pt>
                <c:pt idx="846">
                  <c:v>43712</c:v>
                </c:pt>
                <c:pt idx="847">
                  <c:v>43713</c:v>
                </c:pt>
                <c:pt idx="848">
                  <c:v>43714</c:v>
                </c:pt>
                <c:pt idx="849">
                  <c:v>43717</c:v>
                </c:pt>
                <c:pt idx="850">
                  <c:v>43718</c:v>
                </c:pt>
                <c:pt idx="851">
                  <c:v>43719</c:v>
                </c:pt>
                <c:pt idx="852">
                  <c:v>43720</c:v>
                </c:pt>
                <c:pt idx="853">
                  <c:v>43724</c:v>
                </c:pt>
                <c:pt idx="854">
                  <c:v>43725</c:v>
                </c:pt>
                <c:pt idx="855">
                  <c:v>43726</c:v>
                </c:pt>
                <c:pt idx="856">
                  <c:v>43727</c:v>
                </c:pt>
                <c:pt idx="857">
                  <c:v>43728</c:v>
                </c:pt>
                <c:pt idx="858">
                  <c:v>43731</c:v>
                </c:pt>
                <c:pt idx="859">
                  <c:v>43732</c:v>
                </c:pt>
                <c:pt idx="860">
                  <c:v>43733</c:v>
                </c:pt>
                <c:pt idx="861">
                  <c:v>43734</c:v>
                </c:pt>
                <c:pt idx="862">
                  <c:v>43735</c:v>
                </c:pt>
                <c:pt idx="863">
                  <c:v>43738</c:v>
                </c:pt>
                <c:pt idx="864">
                  <c:v>43746</c:v>
                </c:pt>
                <c:pt idx="865">
                  <c:v>43747</c:v>
                </c:pt>
                <c:pt idx="866">
                  <c:v>43748</c:v>
                </c:pt>
                <c:pt idx="867">
                  <c:v>43749</c:v>
                </c:pt>
                <c:pt idx="868">
                  <c:v>43752</c:v>
                </c:pt>
                <c:pt idx="869">
                  <c:v>43753</c:v>
                </c:pt>
                <c:pt idx="870">
                  <c:v>43754</c:v>
                </c:pt>
                <c:pt idx="871">
                  <c:v>43755</c:v>
                </c:pt>
                <c:pt idx="872">
                  <c:v>43756</c:v>
                </c:pt>
                <c:pt idx="873">
                  <c:v>43759</c:v>
                </c:pt>
                <c:pt idx="874">
                  <c:v>43760</c:v>
                </c:pt>
                <c:pt idx="875">
                  <c:v>43761</c:v>
                </c:pt>
                <c:pt idx="876">
                  <c:v>43762</c:v>
                </c:pt>
                <c:pt idx="877">
                  <c:v>43763</c:v>
                </c:pt>
                <c:pt idx="878">
                  <c:v>43766</c:v>
                </c:pt>
                <c:pt idx="879">
                  <c:v>43767</c:v>
                </c:pt>
                <c:pt idx="880">
                  <c:v>43768</c:v>
                </c:pt>
                <c:pt idx="881">
                  <c:v>43769</c:v>
                </c:pt>
                <c:pt idx="882">
                  <c:v>43770</c:v>
                </c:pt>
                <c:pt idx="883">
                  <c:v>43773</c:v>
                </c:pt>
                <c:pt idx="884">
                  <c:v>43774</c:v>
                </c:pt>
                <c:pt idx="885">
                  <c:v>43775</c:v>
                </c:pt>
                <c:pt idx="886">
                  <c:v>43776</c:v>
                </c:pt>
                <c:pt idx="887">
                  <c:v>43777</c:v>
                </c:pt>
                <c:pt idx="888">
                  <c:v>43780</c:v>
                </c:pt>
                <c:pt idx="889">
                  <c:v>43781</c:v>
                </c:pt>
                <c:pt idx="890">
                  <c:v>43782</c:v>
                </c:pt>
                <c:pt idx="891">
                  <c:v>43783</c:v>
                </c:pt>
                <c:pt idx="892">
                  <c:v>43784</c:v>
                </c:pt>
                <c:pt idx="893">
                  <c:v>43787</c:v>
                </c:pt>
                <c:pt idx="894">
                  <c:v>43788</c:v>
                </c:pt>
                <c:pt idx="895">
                  <c:v>43789</c:v>
                </c:pt>
                <c:pt idx="896">
                  <c:v>43790</c:v>
                </c:pt>
                <c:pt idx="897">
                  <c:v>43791</c:v>
                </c:pt>
                <c:pt idx="898">
                  <c:v>43794</c:v>
                </c:pt>
                <c:pt idx="899">
                  <c:v>43795</c:v>
                </c:pt>
                <c:pt idx="900">
                  <c:v>43796</c:v>
                </c:pt>
                <c:pt idx="901">
                  <c:v>43797</c:v>
                </c:pt>
                <c:pt idx="902">
                  <c:v>43798</c:v>
                </c:pt>
                <c:pt idx="903">
                  <c:v>43801</c:v>
                </c:pt>
                <c:pt idx="904">
                  <c:v>43802</c:v>
                </c:pt>
                <c:pt idx="905">
                  <c:v>43803</c:v>
                </c:pt>
                <c:pt idx="906">
                  <c:v>43804</c:v>
                </c:pt>
                <c:pt idx="907">
                  <c:v>43805</c:v>
                </c:pt>
                <c:pt idx="908">
                  <c:v>43808</c:v>
                </c:pt>
                <c:pt idx="909">
                  <c:v>43809</c:v>
                </c:pt>
                <c:pt idx="910">
                  <c:v>43810</c:v>
                </c:pt>
                <c:pt idx="911">
                  <c:v>43811</c:v>
                </c:pt>
                <c:pt idx="912">
                  <c:v>43812</c:v>
                </c:pt>
                <c:pt idx="913">
                  <c:v>43815</c:v>
                </c:pt>
                <c:pt idx="914">
                  <c:v>43816</c:v>
                </c:pt>
                <c:pt idx="915">
                  <c:v>43817</c:v>
                </c:pt>
                <c:pt idx="916">
                  <c:v>43818</c:v>
                </c:pt>
                <c:pt idx="917">
                  <c:v>43819</c:v>
                </c:pt>
                <c:pt idx="918">
                  <c:v>43822</c:v>
                </c:pt>
                <c:pt idx="919">
                  <c:v>43823</c:v>
                </c:pt>
                <c:pt idx="920">
                  <c:v>43824</c:v>
                </c:pt>
                <c:pt idx="921">
                  <c:v>43825</c:v>
                </c:pt>
                <c:pt idx="922">
                  <c:v>43826</c:v>
                </c:pt>
                <c:pt idx="923">
                  <c:v>43829</c:v>
                </c:pt>
                <c:pt idx="924">
                  <c:v>43830</c:v>
                </c:pt>
                <c:pt idx="925">
                  <c:v>43832</c:v>
                </c:pt>
                <c:pt idx="926">
                  <c:v>43833</c:v>
                </c:pt>
                <c:pt idx="927">
                  <c:v>43836</c:v>
                </c:pt>
                <c:pt idx="928">
                  <c:v>43837</c:v>
                </c:pt>
                <c:pt idx="929">
                  <c:v>43838</c:v>
                </c:pt>
                <c:pt idx="930">
                  <c:v>43839</c:v>
                </c:pt>
                <c:pt idx="931">
                  <c:v>43840</c:v>
                </c:pt>
                <c:pt idx="932">
                  <c:v>43843</c:v>
                </c:pt>
                <c:pt idx="933">
                  <c:v>43844</c:v>
                </c:pt>
                <c:pt idx="934">
                  <c:v>43845</c:v>
                </c:pt>
                <c:pt idx="935">
                  <c:v>43846</c:v>
                </c:pt>
                <c:pt idx="936">
                  <c:v>43847</c:v>
                </c:pt>
                <c:pt idx="937">
                  <c:v>43850</c:v>
                </c:pt>
                <c:pt idx="938">
                  <c:v>43851</c:v>
                </c:pt>
                <c:pt idx="939">
                  <c:v>43852</c:v>
                </c:pt>
                <c:pt idx="940">
                  <c:v>43853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43928</c:v>
                </c:pt>
                <c:pt idx="986">
                  <c:v>43929</c:v>
                </c:pt>
                <c:pt idx="987">
                  <c:v>43930</c:v>
                </c:pt>
                <c:pt idx="988">
                  <c:v>43931</c:v>
                </c:pt>
                <c:pt idx="989">
                  <c:v>43934</c:v>
                </c:pt>
                <c:pt idx="990">
                  <c:v>43935</c:v>
                </c:pt>
                <c:pt idx="991">
                  <c:v>43936</c:v>
                </c:pt>
                <c:pt idx="992">
                  <c:v>43937</c:v>
                </c:pt>
                <c:pt idx="993">
                  <c:v>43938</c:v>
                </c:pt>
                <c:pt idx="994">
                  <c:v>43941</c:v>
                </c:pt>
                <c:pt idx="995">
                  <c:v>43942</c:v>
                </c:pt>
                <c:pt idx="996">
                  <c:v>43943</c:v>
                </c:pt>
                <c:pt idx="997">
                  <c:v>43944</c:v>
                </c:pt>
                <c:pt idx="998">
                  <c:v>43945</c:v>
                </c:pt>
                <c:pt idx="999">
                  <c:v>43948</c:v>
                </c:pt>
                <c:pt idx="1000">
                  <c:v>43949</c:v>
                </c:pt>
                <c:pt idx="1001">
                  <c:v>43950</c:v>
                </c:pt>
                <c:pt idx="1002">
                  <c:v>43951</c:v>
                </c:pt>
                <c:pt idx="1003">
                  <c:v>43957</c:v>
                </c:pt>
                <c:pt idx="1004">
                  <c:v>43958</c:v>
                </c:pt>
                <c:pt idx="1005">
                  <c:v>43959</c:v>
                </c:pt>
                <c:pt idx="1006">
                  <c:v>43962</c:v>
                </c:pt>
                <c:pt idx="1007">
                  <c:v>43963</c:v>
                </c:pt>
                <c:pt idx="1008">
                  <c:v>43964</c:v>
                </c:pt>
                <c:pt idx="1009">
                  <c:v>43965</c:v>
                </c:pt>
                <c:pt idx="1010">
                  <c:v>43966</c:v>
                </c:pt>
                <c:pt idx="1011">
                  <c:v>43969</c:v>
                </c:pt>
                <c:pt idx="1012">
                  <c:v>43970</c:v>
                </c:pt>
                <c:pt idx="1013">
                  <c:v>43971</c:v>
                </c:pt>
                <c:pt idx="1014">
                  <c:v>43972</c:v>
                </c:pt>
                <c:pt idx="1015">
                  <c:v>43973</c:v>
                </c:pt>
                <c:pt idx="1016">
                  <c:v>43976</c:v>
                </c:pt>
                <c:pt idx="1017">
                  <c:v>43977</c:v>
                </c:pt>
                <c:pt idx="1018">
                  <c:v>43978</c:v>
                </c:pt>
                <c:pt idx="1019">
                  <c:v>43979</c:v>
                </c:pt>
                <c:pt idx="1020">
                  <c:v>43980</c:v>
                </c:pt>
                <c:pt idx="1021">
                  <c:v>43983</c:v>
                </c:pt>
                <c:pt idx="1022">
                  <c:v>43984</c:v>
                </c:pt>
                <c:pt idx="1023">
                  <c:v>43985</c:v>
                </c:pt>
                <c:pt idx="1024">
                  <c:v>43986</c:v>
                </c:pt>
                <c:pt idx="1025">
                  <c:v>43987</c:v>
                </c:pt>
                <c:pt idx="1026">
                  <c:v>43990</c:v>
                </c:pt>
                <c:pt idx="1027">
                  <c:v>43991</c:v>
                </c:pt>
                <c:pt idx="1028">
                  <c:v>43992</c:v>
                </c:pt>
                <c:pt idx="1029">
                  <c:v>43993</c:v>
                </c:pt>
                <c:pt idx="1030">
                  <c:v>43994</c:v>
                </c:pt>
                <c:pt idx="1031">
                  <c:v>43997</c:v>
                </c:pt>
                <c:pt idx="1032">
                  <c:v>43998</c:v>
                </c:pt>
                <c:pt idx="1033">
                  <c:v>43999</c:v>
                </c:pt>
                <c:pt idx="1034">
                  <c:v>44000</c:v>
                </c:pt>
                <c:pt idx="1035">
                  <c:v>44001</c:v>
                </c:pt>
                <c:pt idx="1036">
                  <c:v>44004</c:v>
                </c:pt>
                <c:pt idx="1037">
                  <c:v>44005</c:v>
                </c:pt>
                <c:pt idx="1038">
                  <c:v>44006</c:v>
                </c:pt>
                <c:pt idx="1039">
                  <c:v>44011</c:v>
                </c:pt>
                <c:pt idx="1040">
                  <c:v>44012</c:v>
                </c:pt>
                <c:pt idx="1041">
                  <c:v>44013</c:v>
                </c:pt>
                <c:pt idx="1042">
                  <c:v>44014</c:v>
                </c:pt>
                <c:pt idx="1043">
                  <c:v>44015</c:v>
                </c:pt>
                <c:pt idx="1044">
                  <c:v>44018</c:v>
                </c:pt>
                <c:pt idx="1045">
                  <c:v>44019</c:v>
                </c:pt>
                <c:pt idx="1046">
                  <c:v>44020</c:v>
                </c:pt>
                <c:pt idx="1047">
                  <c:v>44021</c:v>
                </c:pt>
                <c:pt idx="1048">
                  <c:v>44022</c:v>
                </c:pt>
                <c:pt idx="1049">
                  <c:v>44025</c:v>
                </c:pt>
                <c:pt idx="1050">
                  <c:v>44026</c:v>
                </c:pt>
                <c:pt idx="1051">
                  <c:v>44027</c:v>
                </c:pt>
                <c:pt idx="1052">
                  <c:v>44028</c:v>
                </c:pt>
                <c:pt idx="1053">
                  <c:v>44029</c:v>
                </c:pt>
                <c:pt idx="1054">
                  <c:v>44032</c:v>
                </c:pt>
                <c:pt idx="1055">
                  <c:v>44033</c:v>
                </c:pt>
                <c:pt idx="1056">
                  <c:v>44034</c:v>
                </c:pt>
                <c:pt idx="1057">
                  <c:v>44035</c:v>
                </c:pt>
                <c:pt idx="1058">
                  <c:v>44036</c:v>
                </c:pt>
                <c:pt idx="1059">
                  <c:v>44039</c:v>
                </c:pt>
                <c:pt idx="1060">
                  <c:v>44040</c:v>
                </c:pt>
                <c:pt idx="1061">
                  <c:v>44041</c:v>
                </c:pt>
                <c:pt idx="1062">
                  <c:v>44042</c:v>
                </c:pt>
                <c:pt idx="1063">
                  <c:v>44043</c:v>
                </c:pt>
                <c:pt idx="1064">
                  <c:v>44046</c:v>
                </c:pt>
                <c:pt idx="1065">
                  <c:v>44047</c:v>
                </c:pt>
                <c:pt idx="1066">
                  <c:v>44048</c:v>
                </c:pt>
                <c:pt idx="1067">
                  <c:v>44049</c:v>
                </c:pt>
                <c:pt idx="1068">
                  <c:v>44050</c:v>
                </c:pt>
                <c:pt idx="1069">
                  <c:v>44053</c:v>
                </c:pt>
                <c:pt idx="1070">
                  <c:v>44054</c:v>
                </c:pt>
                <c:pt idx="1071">
                  <c:v>44055</c:v>
                </c:pt>
                <c:pt idx="1072">
                  <c:v>44056</c:v>
                </c:pt>
                <c:pt idx="1073">
                  <c:v>44057</c:v>
                </c:pt>
                <c:pt idx="1074">
                  <c:v>44060</c:v>
                </c:pt>
                <c:pt idx="1075">
                  <c:v>44061</c:v>
                </c:pt>
                <c:pt idx="1076">
                  <c:v>44062</c:v>
                </c:pt>
                <c:pt idx="1077">
                  <c:v>44063</c:v>
                </c:pt>
                <c:pt idx="1078">
                  <c:v>44064</c:v>
                </c:pt>
                <c:pt idx="1079">
                  <c:v>44067</c:v>
                </c:pt>
                <c:pt idx="1080">
                  <c:v>44068</c:v>
                </c:pt>
                <c:pt idx="1081">
                  <c:v>44069</c:v>
                </c:pt>
                <c:pt idx="1082">
                  <c:v>44070</c:v>
                </c:pt>
                <c:pt idx="1083">
                  <c:v>44071</c:v>
                </c:pt>
                <c:pt idx="1084">
                  <c:v>44074</c:v>
                </c:pt>
                <c:pt idx="1085">
                  <c:v>44075</c:v>
                </c:pt>
                <c:pt idx="1086">
                  <c:v>44076</c:v>
                </c:pt>
                <c:pt idx="1087">
                  <c:v>44077</c:v>
                </c:pt>
                <c:pt idx="1088">
                  <c:v>44078</c:v>
                </c:pt>
                <c:pt idx="1089">
                  <c:v>44081</c:v>
                </c:pt>
                <c:pt idx="1090">
                  <c:v>44082</c:v>
                </c:pt>
                <c:pt idx="1091">
                  <c:v>44083</c:v>
                </c:pt>
                <c:pt idx="1092">
                  <c:v>44084</c:v>
                </c:pt>
                <c:pt idx="1093">
                  <c:v>44085</c:v>
                </c:pt>
                <c:pt idx="1094">
                  <c:v>44088</c:v>
                </c:pt>
                <c:pt idx="1095">
                  <c:v>44089</c:v>
                </c:pt>
                <c:pt idx="1096">
                  <c:v>44090</c:v>
                </c:pt>
                <c:pt idx="1097">
                  <c:v>44091</c:v>
                </c:pt>
                <c:pt idx="1098">
                  <c:v>44092</c:v>
                </c:pt>
                <c:pt idx="1099">
                  <c:v>44095</c:v>
                </c:pt>
                <c:pt idx="1100">
                  <c:v>44096</c:v>
                </c:pt>
                <c:pt idx="1101">
                  <c:v>44097</c:v>
                </c:pt>
                <c:pt idx="1102">
                  <c:v>44098</c:v>
                </c:pt>
                <c:pt idx="1103">
                  <c:v>44099</c:v>
                </c:pt>
                <c:pt idx="1104">
                  <c:v>44102</c:v>
                </c:pt>
                <c:pt idx="1105">
                  <c:v>44103</c:v>
                </c:pt>
                <c:pt idx="1106">
                  <c:v>44104</c:v>
                </c:pt>
                <c:pt idx="1107">
                  <c:v>44113</c:v>
                </c:pt>
                <c:pt idx="1108">
                  <c:v>44116</c:v>
                </c:pt>
                <c:pt idx="1109">
                  <c:v>44117</c:v>
                </c:pt>
                <c:pt idx="1110">
                  <c:v>44118</c:v>
                </c:pt>
                <c:pt idx="1111">
                  <c:v>44119</c:v>
                </c:pt>
                <c:pt idx="1112">
                  <c:v>44120</c:v>
                </c:pt>
                <c:pt idx="1113">
                  <c:v>44123</c:v>
                </c:pt>
                <c:pt idx="1114">
                  <c:v>44124</c:v>
                </c:pt>
                <c:pt idx="1115">
                  <c:v>44125</c:v>
                </c:pt>
                <c:pt idx="1116">
                  <c:v>44126</c:v>
                </c:pt>
                <c:pt idx="1117">
                  <c:v>44127</c:v>
                </c:pt>
                <c:pt idx="1118">
                  <c:v>44130</c:v>
                </c:pt>
                <c:pt idx="1119">
                  <c:v>44131</c:v>
                </c:pt>
                <c:pt idx="1120">
                  <c:v>44132</c:v>
                </c:pt>
                <c:pt idx="1121">
                  <c:v>44133</c:v>
                </c:pt>
                <c:pt idx="1122">
                  <c:v>44134</c:v>
                </c:pt>
                <c:pt idx="1123">
                  <c:v>44137</c:v>
                </c:pt>
                <c:pt idx="1124">
                  <c:v>44138</c:v>
                </c:pt>
                <c:pt idx="1125">
                  <c:v>44139</c:v>
                </c:pt>
                <c:pt idx="1126">
                  <c:v>44140</c:v>
                </c:pt>
                <c:pt idx="1127">
                  <c:v>44141</c:v>
                </c:pt>
                <c:pt idx="1128">
                  <c:v>44144</c:v>
                </c:pt>
                <c:pt idx="1129">
                  <c:v>44145</c:v>
                </c:pt>
                <c:pt idx="1130">
                  <c:v>44146</c:v>
                </c:pt>
                <c:pt idx="1131">
                  <c:v>44147</c:v>
                </c:pt>
                <c:pt idx="1132">
                  <c:v>44148</c:v>
                </c:pt>
                <c:pt idx="1133">
                  <c:v>44151</c:v>
                </c:pt>
                <c:pt idx="1134">
                  <c:v>44152</c:v>
                </c:pt>
                <c:pt idx="1135">
                  <c:v>44153</c:v>
                </c:pt>
                <c:pt idx="1136">
                  <c:v>44154</c:v>
                </c:pt>
                <c:pt idx="1137">
                  <c:v>44155</c:v>
                </c:pt>
                <c:pt idx="1138">
                  <c:v>44158</c:v>
                </c:pt>
                <c:pt idx="1139">
                  <c:v>44159</c:v>
                </c:pt>
                <c:pt idx="1140">
                  <c:v>44160</c:v>
                </c:pt>
                <c:pt idx="1141">
                  <c:v>44161</c:v>
                </c:pt>
                <c:pt idx="1142">
                  <c:v>44162</c:v>
                </c:pt>
                <c:pt idx="1143">
                  <c:v>44165</c:v>
                </c:pt>
                <c:pt idx="1144">
                  <c:v>44166</c:v>
                </c:pt>
                <c:pt idx="1145">
                  <c:v>44167</c:v>
                </c:pt>
                <c:pt idx="1146">
                  <c:v>44168</c:v>
                </c:pt>
                <c:pt idx="1147">
                  <c:v>44169</c:v>
                </c:pt>
                <c:pt idx="1148">
                  <c:v>44172</c:v>
                </c:pt>
                <c:pt idx="1149">
                  <c:v>44173</c:v>
                </c:pt>
                <c:pt idx="1150">
                  <c:v>44174</c:v>
                </c:pt>
                <c:pt idx="1151">
                  <c:v>44175</c:v>
                </c:pt>
                <c:pt idx="1152">
                  <c:v>44176</c:v>
                </c:pt>
                <c:pt idx="1153">
                  <c:v>44179</c:v>
                </c:pt>
                <c:pt idx="1154">
                  <c:v>44180</c:v>
                </c:pt>
                <c:pt idx="1155">
                  <c:v>44181</c:v>
                </c:pt>
                <c:pt idx="1156">
                  <c:v>44182</c:v>
                </c:pt>
                <c:pt idx="1157">
                  <c:v>44183</c:v>
                </c:pt>
                <c:pt idx="1158">
                  <c:v>44186</c:v>
                </c:pt>
                <c:pt idx="1159">
                  <c:v>44187</c:v>
                </c:pt>
                <c:pt idx="1160">
                  <c:v>44188</c:v>
                </c:pt>
                <c:pt idx="1161">
                  <c:v>44189</c:v>
                </c:pt>
                <c:pt idx="1162">
                  <c:v>44190</c:v>
                </c:pt>
                <c:pt idx="1163">
                  <c:v>44193</c:v>
                </c:pt>
                <c:pt idx="1164">
                  <c:v>44194</c:v>
                </c:pt>
                <c:pt idx="1165">
                  <c:v>44195</c:v>
                </c:pt>
                <c:pt idx="1166">
                  <c:v>44196</c:v>
                </c:pt>
                <c:pt idx="1167">
                  <c:v>44200</c:v>
                </c:pt>
                <c:pt idx="1168">
                  <c:v>44201</c:v>
                </c:pt>
                <c:pt idx="1169">
                  <c:v>44202</c:v>
                </c:pt>
                <c:pt idx="1170">
                  <c:v>44203</c:v>
                </c:pt>
                <c:pt idx="1171">
                  <c:v>44204</c:v>
                </c:pt>
                <c:pt idx="1172">
                  <c:v>44207</c:v>
                </c:pt>
                <c:pt idx="1173">
                  <c:v>44208</c:v>
                </c:pt>
                <c:pt idx="1174">
                  <c:v>44209</c:v>
                </c:pt>
                <c:pt idx="1175">
                  <c:v>44210</c:v>
                </c:pt>
                <c:pt idx="1176">
                  <c:v>44211</c:v>
                </c:pt>
                <c:pt idx="1177">
                  <c:v>44214</c:v>
                </c:pt>
                <c:pt idx="1178">
                  <c:v>44215</c:v>
                </c:pt>
                <c:pt idx="1179">
                  <c:v>44216</c:v>
                </c:pt>
                <c:pt idx="1180">
                  <c:v>44217</c:v>
                </c:pt>
                <c:pt idx="1181">
                  <c:v>44218</c:v>
                </c:pt>
                <c:pt idx="1182">
                  <c:v>44221</c:v>
                </c:pt>
                <c:pt idx="1183">
                  <c:v>44222</c:v>
                </c:pt>
                <c:pt idx="1184">
                  <c:v>44223</c:v>
                </c:pt>
                <c:pt idx="1185">
                  <c:v>44224</c:v>
                </c:pt>
                <c:pt idx="1186">
                  <c:v>44225</c:v>
                </c:pt>
                <c:pt idx="1187">
                  <c:v>44228</c:v>
                </c:pt>
                <c:pt idx="1188">
                  <c:v>44229</c:v>
                </c:pt>
                <c:pt idx="1189">
                  <c:v>44230</c:v>
                </c:pt>
                <c:pt idx="1190">
                  <c:v>44231</c:v>
                </c:pt>
                <c:pt idx="1191">
                  <c:v>44232</c:v>
                </c:pt>
                <c:pt idx="1192">
                  <c:v>44235</c:v>
                </c:pt>
                <c:pt idx="1193">
                  <c:v>44236</c:v>
                </c:pt>
                <c:pt idx="1194">
                  <c:v>44237</c:v>
                </c:pt>
                <c:pt idx="1195">
                  <c:v>44245</c:v>
                </c:pt>
                <c:pt idx="1196">
                  <c:v>44246</c:v>
                </c:pt>
                <c:pt idx="1197">
                  <c:v>44249</c:v>
                </c:pt>
                <c:pt idx="1198">
                  <c:v>44250</c:v>
                </c:pt>
                <c:pt idx="1199">
                  <c:v>44251</c:v>
                </c:pt>
                <c:pt idx="1200">
                  <c:v>44252</c:v>
                </c:pt>
                <c:pt idx="1201">
                  <c:v>44253</c:v>
                </c:pt>
                <c:pt idx="1202">
                  <c:v>44256</c:v>
                </c:pt>
                <c:pt idx="1203">
                  <c:v>44257</c:v>
                </c:pt>
                <c:pt idx="1204">
                  <c:v>44258</c:v>
                </c:pt>
                <c:pt idx="1205">
                  <c:v>44259</c:v>
                </c:pt>
                <c:pt idx="1206">
                  <c:v>44260</c:v>
                </c:pt>
                <c:pt idx="1207">
                  <c:v>44263</c:v>
                </c:pt>
                <c:pt idx="1208">
                  <c:v>44264</c:v>
                </c:pt>
                <c:pt idx="1209">
                  <c:v>44265</c:v>
                </c:pt>
                <c:pt idx="1210">
                  <c:v>44266</c:v>
                </c:pt>
                <c:pt idx="1211">
                  <c:v>44267</c:v>
                </c:pt>
                <c:pt idx="1212">
                  <c:v>44270</c:v>
                </c:pt>
                <c:pt idx="1213">
                  <c:v>44271</c:v>
                </c:pt>
                <c:pt idx="1214">
                  <c:v>44272</c:v>
                </c:pt>
                <c:pt idx="1215">
                  <c:v>44273</c:v>
                </c:pt>
                <c:pt idx="1216">
                  <c:v>44274</c:v>
                </c:pt>
                <c:pt idx="1217">
                  <c:v>44277</c:v>
                </c:pt>
                <c:pt idx="1218">
                  <c:v>44278</c:v>
                </c:pt>
                <c:pt idx="1219">
                  <c:v>44279</c:v>
                </c:pt>
                <c:pt idx="1220">
                  <c:v>44280</c:v>
                </c:pt>
                <c:pt idx="1221">
                  <c:v>44281</c:v>
                </c:pt>
                <c:pt idx="1222">
                  <c:v>44284</c:v>
                </c:pt>
                <c:pt idx="1223">
                  <c:v>44285</c:v>
                </c:pt>
                <c:pt idx="1224">
                  <c:v>44286</c:v>
                </c:pt>
                <c:pt idx="1225">
                  <c:v>44287</c:v>
                </c:pt>
                <c:pt idx="1226">
                  <c:v>44288</c:v>
                </c:pt>
                <c:pt idx="1227">
                  <c:v>44292</c:v>
                </c:pt>
                <c:pt idx="1228">
                  <c:v>44293</c:v>
                </c:pt>
                <c:pt idx="1229">
                  <c:v>44294</c:v>
                </c:pt>
                <c:pt idx="1230">
                  <c:v>44295</c:v>
                </c:pt>
                <c:pt idx="1231">
                  <c:v>44298</c:v>
                </c:pt>
                <c:pt idx="1232">
                  <c:v>44299</c:v>
                </c:pt>
                <c:pt idx="1233">
                  <c:v>44300</c:v>
                </c:pt>
                <c:pt idx="1234">
                  <c:v>44301</c:v>
                </c:pt>
                <c:pt idx="1235">
                  <c:v>44302</c:v>
                </c:pt>
                <c:pt idx="1236">
                  <c:v>44305</c:v>
                </c:pt>
                <c:pt idx="1237">
                  <c:v>44306</c:v>
                </c:pt>
                <c:pt idx="1238">
                  <c:v>44307</c:v>
                </c:pt>
                <c:pt idx="1239">
                  <c:v>44308</c:v>
                </c:pt>
                <c:pt idx="1240">
                  <c:v>44309</c:v>
                </c:pt>
                <c:pt idx="1241">
                  <c:v>44312</c:v>
                </c:pt>
                <c:pt idx="1242">
                  <c:v>44313</c:v>
                </c:pt>
                <c:pt idx="1243">
                  <c:v>44314</c:v>
                </c:pt>
                <c:pt idx="1244">
                  <c:v>44315</c:v>
                </c:pt>
                <c:pt idx="1245">
                  <c:v>44316</c:v>
                </c:pt>
                <c:pt idx="1246">
                  <c:v>44322</c:v>
                </c:pt>
                <c:pt idx="1247">
                  <c:v>44323</c:v>
                </c:pt>
                <c:pt idx="1248">
                  <c:v>44326</c:v>
                </c:pt>
                <c:pt idx="1249">
                  <c:v>44327</c:v>
                </c:pt>
                <c:pt idx="1250">
                  <c:v>44328</c:v>
                </c:pt>
                <c:pt idx="1251">
                  <c:v>44329</c:v>
                </c:pt>
                <c:pt idx="1252">
                  <c:v>44330</c:v>
                </c:pt>
                <c:pt idx="1253">
                  <c:v>44333</c:v>
                </c:pt>
                <c:pt idx="1254">
                  <c:v>44334</c:v>
                </c:pt>
                <c:pt idx="1255">
                  <c:v>44335</c:v>
                </c:pt>
                <c:pt idx="1256">
                  <c:v>44336</c:v>
                </c:pt>
                <c:pt idx="1257">
                  <c:v>44337</c:v>
                </c:pt>
                <c:pt idx="1258">
                  <c:v>44340</c:v>
                </c:pt>
                <c:pt idx="1259">
                  <c:v>44341</c:v>
                </c:pt>
                <c:pt idx="1260">
                  <c:v>44342</c:v>
                </c:pt>
                <c:pt idx="1261">
                  <c:v>44343</c:v>
                </c:pt>
                <c:pt idx="1262">
                  <c:v>44344</c:v>
                </c:pt>
                <c:pt idx="1263">
                  <c:v>44347</c:v>
                </c:pt>
                <c:pt idx="1264">
                  <c:v>44348</c:v>
                </c:pt>
                <c:pt idx="1265">
                  <c:v>44349</c:v>
                </c:pt>
                <c:pt idx="1266">
                  <c:v>44350</c:v>
                </c:pt>
                <c:pt idx="1267">
                  <c:v>44351</c:v>
                </c:pt>
                <c:pt idx="1268">
                  <c:v>44354</c:v>
                </c:pt>
                <c:pt idx="1269">
                  <c:v>44355</c:v>
                </c:pt>
                <c:pt idx="1270">
                  <c:v>44356</c:v>
                </c:pt>
                <c:pt idx="1271">
                  <c:v>44357</c:v>
                </c:pt>
                <c:pt idx="1272">
                  <c:v>44358</c:v>
                </c:pt>
                <c:pt idx="1273">
                  <c:v>44362</c:v>
                </c:pt>
                <c:pt idx="1274">
                  <c:v>44363</c:v>
                </c:pt>
                <c:pt idx="1275">
                  <c:v>44364</c:v>
                </c:pt>
                <c:pt idx="1276">
                  <c:v>44365</c:v>
                </c:pt>
                <c:pt idx="1277">
                  <c:v>44368</c:v>
                </c:pt>
                <c:pt idx="1278">
                  <c:v>44369</c:v>
                </c:pt>
                <c:pt idx="1279">
                  <c:v>44370</c:v>
                </c:pt>
                <c:pt idx="1280">
                  <c:v>44371</c:v>
                </c:pt>
                <c:pt idx="1281">
                  <c:v>44372</c:v>
                </c:pt>
                <c:pt idx="1282">
                  <c:v>44375</c:v>
                </c:pt>
                <c:pt idx="1283">
                  <c:v>44376</c:v>
                </c:pt>
                <c:pt idx="1284">
                  <c:v>44377</c:v>
                </c:pt>
                <c:pt idx="1285">
                  <c:v>44378</c:v>
                </c:pt>
                <c:pt idx="1286">
                  <c:v>44379</c:v>
                </c:pt>
                <c:pt idx="1287">
                  <c:v>44382</c:v>
                </c:pt>
                <c:pt idx="1288">
                  <c:v>44383</c:v>
                </c:pt>
                <c:pt idx="1289">
                  <c:v>44384</c:v>
                </c:pt>
                <c:pt idx="1290">
                  <c:v>44385</c:v>
                </c:pt>
                <c:pt idx="1291">
                  <c:v>44386</c:v>
                </c:pt>
                <c:pt idx="1292">
                  <c:v>44389</c:v>
                </c:pt>
                <c:pt idx="1293">
                  <c:v>44390</c:v>
                </c:pt>
                <c:pt idx="1294">
                  <c:v>44391</c:v>
                </c:pt>
                <c:pt idx="1295">
                  <c:v>44392</c:v>
                </c:pt>
                <c:pt idx="1296">
                  <c:v>44393</c:v>
                </c:pt>
                <c:pt idx="1297">
                  <c:v>44396</c:v>
                </c:pt>
                <c:pt idx="1298">
                  <c:v>44397</c:v>
                </c:pt>
                <c:pt idx="1299">
                  <c:v>44398</c:v>
                </c:pt>
                <c:pt idx="1300">
                  <c:v>44399</c:v>
                </c:pt>
                <c:pt idx="1301">
                  <c:v>44400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</c:numCache>
            </c:numRef>
          </c:cat>
          <c:val>
            <c:numRef>
              <c:f>vix!$B$2:$B$1308</c:f>
              <c:numCache>
                <c:formatCode>General</c:formatCode>
                <c:ptCount val="1307"/>
                <c:pt idx="0">
                  <c:v>31.623688251502621</c:v>
                </c:pt>
                <c:pt idx="1">
                  <c:v>33.109723464132493</c:v>
                </c:pt>
                <c:pt idx="2">
                  <c:v>33.510247036645893</c:v>
                </c:pt>
                <c:pt idx="3">
                  <c:v>31.78476022569475</c:v>
                </c:pt>
                <c:pt idx="4">
                  <c:v>29.333649849464901</c:v>
                </c:pt>
                <c:pt idx="5">
                  <c:v>27.955452660453009</c:v>
                </c:pt>
                <c:pt idx="6">
                  <c:v>28.080941833613579</c:v>
                </c:pt>
                <c:pt idx="7">
                  <c:v>27.443079078309911</c:v>
                </c:pt>
                <c:pt idx="8">
                  <c:v>27.780653625453699</c:v>
                </c:pt>
                <c:pt idx="9">
                  <c:v>27.2884412296665</c:v>
                </c:pt>
                <c:pt idx="10">
                  <c:v>26.841245563903492</c:v>
                </c:pt>
                <c:pt idx="11">
                  <c:v>26.816994047880751</c:v>
                </c:pt>
                <c:pt idx="12">
                  <c:v>25.62536652433111</c:v>
                </c:pt>
                <c:pt idx="13">
                  <c:v>24.530404634603471</c:v>
                </c:pt>
                <c:pt idx="14">
                  <c:v>24.220405707429361</c:v>
                </c:pt>
                <c:pt idx="15">
                  <c:v>23.49560565089368</c:v>
                </c:pt>
                <c:pt idx="16">
                  <c:v>23.364200461883879</c:v>
                </c:pt>
                <c:pt idx="17">
                  <c:v>22.819188266364911</c:v>
                </c:pt>
                <c:pt idx="18">
                  <c:v>22.84552001734486</c:v>
                </c:pt>
                <c:pt idx="19">
                  <c:v>23.051981009197782</c:v>
                </c:pt>
                <c:pt idx="20">
                  <c:v>22.388121041411491</c:v>
                </c:pt>
                <c:pt idx="21">
                  <c:v>24.29937538603161</c:v>
                </c:pt>
                <c:pt idx="22">
                  <c:v>23.402681223472889</c:v>
                </c:pt>
                <c:pt idx="23">
                  <c:v>22.59346843618497</c:v>
                </c:pt>
                <c:pt idx="24">
                  <c:v>22.071992961762291</c:v>
                </c:pt>
                <c:pt idx="25">
                  <c:v>22.460905529243171</c:v>
                </c:pt>
                <c:pt idx="26">
                  <c:v>22.431232317090341</c:v>
                </c:pt>
                <c:pt idx="27">
                  <c:v>21.428763354314881</c:v>
                </c:pt>
                <c:pt idx="28">
                  <c:v>20.630430518495949</c:v>
                </c:pt>
                <c:pt idx="29">
                  <c:v>20.582450478348111</c:v>
                </c:pt>
                <c:pt idx="30">
                  <c:v>20.040708122573069</c:v>
                </c:pt>
                <c:pt idx="31">
                  <c:v>19.73443165260306</c:v>
                </c:pt>
                <c:pt idx="32">
                  <c:v>20.445680510281601</c:v>
                </c:pt>
                <c:pt idx="33">
                  <c:v>23.11204323399858</c:v>
                </c:pt>
                <c:pt idx="34">
                  <c:v>21.971525502906641</c:v>
                </c:pt>
                <c:pt idx="35">
                  <c:v>20.60664804675255</c:v>
                </c:pt>
                <c:pt idx="36">
                  <c:v>20.678806893052919</c:v>
                </c:pt>
                <c:pt idx="37">
                  <c:v>20.019540973663901</c:v>
                </c:pt>
                <c:pt idx="38">
                  <c:v>19.7380069608501</c:v>
                </c:pt>
                <c:pt idx="39">
                  <c:v>19.292472371535681</c:v>
                </c:pt>
                <c:pt idx="40">
                  <c:v>20.947435897076961</c:v>
                </c:pt>
                <c:pt idx="41">
                  <c:v>19.811012639517099</c:v>
                </c:pt>
                <c:pt idx="42">
                  <c:v>18.698322543574559</c:v>
                </c:pt>
                <c:pt idx="43">
                  <c:v>17.053589797010641</c:v>
                </c:pt>
                <c:pt idx="44">
                  <c:v>16.833812728349208</c:v>
                </c:pt>
                <c:pt idx="45">
                  <c:v>17.51608987987753</c:v>
                </c:pt>
                <c:pt idx="46">
                  <c:v>16.050723053952719</c:v>
                </c:pt>
                <c:pt idx="47">
                  <c:v>15.5058365507911</c:v>
                </c:pt>
                <c:pt idx="48">
                  <c:v>15.83562089815149</c:v>
                </c:pt>
                <c:pt idx="49">
                  <c:v>18.25174528434292</c:v>
                </c:pt>
                <c:pt idx="50">
                  <c:v>18.15116013809811</c:v>
                </c:pt>
                <c:pt idx="51">
                  <c:v>17.8864494320866</c:v>
                </c:pt>
                <c:pt idx="52">
                  <c:v>17.987945577103979</c:v>
                </c:pt>
                <c:pt idx="53">
                  <c:v>18.139799958651381</c:v>
                </c:pt>
                <c:pt idx="54">
                  <c:v>17.964467503425841</c:v>
                </c:pt>
                <c:pt idx="55">
                  <c:v>18.245864938483731</c:v>
                </c:pt>
                <c:pt idx="56">
                  <c:v>19.501890698243081</c:v>
                </c:pt>
                <c:pt idx="57">
                  <c:v>18.972669200637831</c:v>
                </c:pt>
                <c:pt idx="58">
                  <c:v>19.782844662736242</c:v>
                </c:pt>
                <c:pt idx="59">
                  <c:v>19.27874394841816</c:v>
                </c:pt>
                <c:pt idx="60">
                  <c:v>18.3344564517264</c:v>
                </c:pt>
                <c:pt idx="61">
                  <c:v>18.496889788465371</c:v>
                </c:pt>
                <c:pt idx="62">
                  <c:v>18.114867639738371</c:v>
                </c:pt>
                <c:pt idx="63">
                  <c:v>18.423324175745481</c:v>
                </c:pt>
                <c:pt idx="64">
                  <c:v>18.62731026240127</c:v>
                </c:pt>
                <c:pt idx="65">
                  <c:v>18.728969942529861</c:v>
                </c:pt>
                <c:pt idx="66">
                  <c:v>17.47262437293104</c:v>
                </c:pt>
                <c:pt idx="67">
                  <c:v>16.64059485655843</c:v>
                </c:pt>
                <c:pt idx="68">
                  <c:v>16.109888746990318</c:v>
                </c:pt>
                <c:pt idx="69">
                  <c:v>15.72323067453836</c:v>
                </c:pt>
                <c:pt idx="70">
                  <c:v>15.44046184299336</c:v>
                </c:pt>
                <c:pt idx="71">
                  <c:v>15.342167261636691</c:v>
                </c:pt>
                <c:pt idx="72">
                  <c:v>15.857699024188589</c:v>
                </c:pt>
                <c:pt idx="73">
                  <c:v>15.833725360643371</c:v>
                </c:pt>
                <c:pt idx="74">
                  <c:v>16.464794071060641</c:v>
                </c:pt>
                <c:pt idx="75">
                  <c:v>16.44275392765195</c:v>
                </c:pt>
                <c:pt idx="76">
                  <c:v>16.221531940136678</c:v>
                </c:pt>
                <c:pt idx="77">
                  <c:v>15.8881279022856</c:v>
                </c:pt>
                <c:pt idx="78">
                  <c:v>17.001678326585239</c:v>
                </c:pt>
                <c:pt idx="79">
                  <c:v>16.763917748524619</c:v>
                </c:pt>
                <c:pt idx="80">
                  <c:v>16.879965927005081</c:v>
                </c:pt>
                <c:pt idx="81">
                  <c:v>17.597651619419711</c:v>
                </c:pt>
                <c:pt idx="82">
                  <c:v>17.541079481218841</c:v>
                </c:pt>
                <c:pt idx="83">
                  <c:v>18.954268897964202</c:v>
                </c:pt>
                <c:pt idx="84">
                  <c:v>18.730076617253641</c:v>
                </c:pt>
                <c:pt idx="85">
                  <c:v>18.186072676438119</c:v>
                </c:pt>
                <c:pt idx="86">
                  <c:v>17.10778076798907</c:v>
                </c:pt>
                <c:pt idx="87">
                  <c:v>16.578842772931939</c:v>
                </c:pt>
                <c:pt idx="88">
                  <c:v>17.275345326610989</c:v>
                </c:pt>
                <c:pt idx="89">
                  <c:v>16.154126797131031</c:v>
                </c:pt>
                <c:pt idx="90">
                  <c:v>16.04122830209981</c:v>
                </c:pt>
                <c:pt idx="91">
                  <c:v>16.10232325063598</c:v>
                </c:pt>
                <c:pt idx="92">
                  <c:v>15.60780260420964</c:v>
                </c:pt>
                <c:pt idx="93">
                  <c:v>15.213523025808049</c:v>
                </c:pt>
                <c:pt idx="94">
                  <c:v>14.850997577499321</c:v>
                </c:pt>
                <c:pt idx="95">
                  <c:v>14.58507296276073</c:v>
                </c:pt>
                <c:pt idx="96">
                  <c:v>14.488808487921631</c:v>
                </c:pt>
                <c:pt idx="97">
                  <c:v>14.053761034550311</c:v>
                </c:pt>
                <c:pt idx="98">
                  <c:v>14.090482447578619</c:v>
                </c:pt>
                <c:pt idx="99">
                  <c:v>14.22185475098518</c:v>
                </c:pt>
                <c:pt idx="100">
                  <c:v>14.24598829799428</c:v>
                </c:pt>
                <c:pt idx="101">
                  <c:v>16.428515778207011</c:v>
                </c:pt>
                <c:pt idx="102">
                  <c:v>16.629019853433441</c:v>
                </c:pt>
                <c:pt idx="103">
                  <c:v>19.738204949013159</c:v>
                </c:pt>
                <c:pt idx="104">
                  <c:v>19.855271527116859</c:v>
                </c:pt>
                <c:pt idx="105">
                  <c:v>19.747382241039929</c:v>
                </c:pt>
                <c:pt idx="106">
                  <c:v>19.19922923796123</c:v>
                </c:pt>
                <c:pt idx="107">
                  <c:v>18.583419329665379</c:v>
                </c:pt>
                <c:pt idx="108">
                  <c:v>18.369171461318778</c:v>
                </c:pt>
                <c:pt idx="109">
                  <c:v>18.218793165055359</c:v>
                </c:pt>
                <c:pt idx="110">
                  <c:v>17.90549375644019</c:v>
                </c:pt>
                <c:pt idx="111">
                  <c:v>17.511861990697589</c:v>
                </c:pt>
                <c:pt idx="112">
                  <c:v>17.426785585963142</c:v>
                </c:pt>
                <c:pt idx="113">
                  <c:v>17.715405539586861</c:v>
                </c:pt>
                <c:pt idx="114">
                  <c:v>17.71071328818088</c:v>
                </c:pt>
                <c:pt idx="115">
                  <c:v>17.670692759799021</c:v>
                </c:pt>
                <c:pt idx="116">
                  <c:v>17.56063278890651</c:v>
                </c:pt>
                <c:pt idx="117">
                  <c:v>17.35976984666668</c:v>
                </c:pt>
                <c:pt idx="118">
                  <c:v>17.389006804970482</c:v>
                </c:pt>
                <c:pt idx="119">
                  <c:v>16.955970506412541</c:v>
                </c:pt>
                <c:pt idx="120">
                  <c:v>15.9185427058393</c:v>
                </c:pt>
                <c:pt idx="121">
                  <c:v>16.138974685704369</c:v>
                </c:pt>
                <c:pt idx="122">
                  <c:v>14.931419157158039</c:v>
                </c:pt>
                <c:pt idx="123">
                  <c:v>14.918202647453681</c:v>
                </c:pt>
                <c:pt idx="124">
                  <c:v>14.762930254922839</c:v>
                </c:pt>
                <c:pt idx="125">
                  <c:v>14.36821709075668</c:v>
                </c:pt>
                <c:pt idx="126">
                  <c:v>15.644030479141261</c:v>
                </c:pt>
                <c:pt idx="127">
                  <c:v>14.49700921853943</c:v>
                </c:pt>
                <c:pt idx="128">
                  <c:v>13.94282839225839</c:v>
                </c:pt>
                <c:pt idx="129">
                  <c:v>13.497211049487211</c:v>
                </c:pt>
                <c:pt idx="130">
                  <c:v>13.75179148252683</c:v>
                </c:pt>
                <c:pt idx="131">
                  <c:v>13.86117112050859</c:v>
                </c:pt>
                <c:pt idx="132">
                  <c:v>12.55642340711438</c:v>
                </c:pt>
                <c:pt idx="133">
                  <c:v>13.634877360184881</c:v>
                </c:pt>
                <c:pt idx="134">
                  <c:v>14.0997668449454</c:v>
                </c:pt>
                <c:pt idx="135">
                  <c:v>13.45009819535314</c:v>
                </c:pt>
                <c:pt idx="136">
                  <c:v>13.455222374107001</c:v>
                </c:pt>
                <c:pt idx="137">
                  <c:v>13.163347106071839</c:v>
                </c:pt>
                <c:pt idx="138">
                  <c:v>12.59093455625869</c:v>
                </c:pt>
                <c:pt idx="139">
                  <c:v>12.37596193907024</c:v>
                </c:pt>
                <c:pt idx="140">
                  <c:v>12.46340364231707</c:v>
                </c:pt>
                <c:pt idx="141">
                  <c:v>13.96268328597499</c:v>
                </c:pt>
                <c:pt idx="142">
                  <c:v>13.34949198447122</c:v>
                </c:pt>
                <c:pt idx="143">
                  <c:v>13.11933483452251</c:v>
                </c:pt>
                <c:pt idx="144">
                  <c:v>13.24907148406561</c:v>
                </c:pt>
                <c:pt idx="145">
                  <c:v>13.523408260026541</c:v>
                </c:pt>
                <c:pt idx="146">
                  <c:v>13.79409704649377</c:v>
                </c:pt>
                <c:pt idx="147">
                  <c:v>13.474756249796391</c:v>
                </c:pt>
                <c:pt idx="148">
                  <c:v>13.58615639962024</c:v>
                </c:pt>
                <c:pt idx="149">
                  <c:v>13.62596303773525</c:v>
                </c:pt>
                <c:pt idx="150">
                  <c:v>13.803680575864989</c:v>
                </c:pt>
                <c:pt idx="151">
                  <c:v>14.20785333823701</c:v>
                </c:pt>
                <c:pt idx="152">
                  <c:v>15.06754635743777</c:v>
                </c:pt>
                <c:pt idx="153">
                  <c:v>15.169559275507151</c:v>
                </c:pt>
                <c:pt idx="154">
                  <c:v>16.297894497429709</c:v>
                </c:pt>
                <c:pt idx="155">
                  <c:v>16.036861316297841</c:v>
                </c:pt>
                <c:pt idx="156">
                  <c:v>15.635209011395929</c:v>
                </c:pt>
                <c:pt idx="157">
                  <c:v>14.199984885662969</c:v>
                </c:pt>
                <c:pt idx="158">
                  <c:v>13.83848499235024</c:v>
                </c:pt>
                <c:pt idx="159">
                  <c:v>14.451414498816799</c:v>
                </c:pt>
                <c:pt idx="160">
                  <c:v>14.42347721939783</c:v>
                </c:pt>
                <c:pt idx="161">
                  <c:v>16.616977150197521</c:v>
                </c:pt>
                <c:pt idx="162">
                  <c:v>16.079395943459911</c:v>
                </c:pt>
                <c:pt idx="163">
                  <c:v>15.69943719838095</c:v>
                </c:pt>
                <c:pt idx="164">
                  <c:v>14.582351082490931</c:v>
                </c:pt>
                <c:pt idx="165">
                  <c:v>15.201093706449219</c:v>
                </c:pt>
                <c:pt idx="166">
                  <c:v>15.171928866614749</c:v>
                </c:pt>
                <c:pt idx="167">
                  <c:v>14.63649373143531</c:v>
                </c:pt>
                <c:pt idx="168">
                  <c:v>14.33570482457049</c:v>
                </c:pt>
                <c:pt idx="169">
                  <c:v>15.636347820573929</c:v>
                </c:pt>
                <c:pt idx="170">
                  <c:v>14.892137601306519</c:v>
                </c:pt>
                <c:pt idx="171">
                  <c:v>16.407224469304101</c:v>
                </c:pt>
                <c:pt idx="172">
                  <c:v>15.83525946149155</c:v>
                </c:pt>
                <c:pt idx="173">
                  <c:v>16.193050606248519</c:v>
                </c:pt>
                <c:pt idx="174">
                  <c:v>16.331891599146541</c:v>
                </c:pt>
                <c:pt idx="175">
                  <c:v>15.67643835672612</c:v>
                </c:pt>
                <c:pt idx="176">
                  <c:v>15.137879990648109</c:v>
                </c:pt>
                <c:pt idx="177">
                  <c:v>14.13064003886206</c:v>
                </c:pt>
                <c:pt idx="178">
                  <c:v>14.55246313832513</c:v>
                </c:pt>
                <c:pt idx="179">
                  <c:v>15.42049943194008</c:v>
                </c:pt>
                <c:pt idx="180">
                  <c:v>15.4354862150157</c:v>
                </c:pt>
                <c:pt idx="181">
                  <c:v>15.858116696586601</c:v>
                </c:pt>
                <c:pt idx="182">
                  <c:v>17.178869624688179</c:v>
                </c:pt>
                <c:pt idx="183">
                  <c:v>16.461067647478639</c:v>
                </c:pt>
                <c:pt idx="184">
                  <c:v>16.589610696144099</c:v>
                </c:pt>
                <c:pt idx="185">
                  <c:v>17.726608490695511</c:v>
                </c:pt>
                <c:pt idx="186">
                  <c:v>18.305800639389592</c:v>
                </c:pt>
                <c:pt idx="187">
                  <c:v>18.36699368874056</c:v>
                </c:pt>
                <c:pt idx="188">
                  <c:v>17.677256653196221</c:v>
                </c:pt>
                <c:pt idx="189">
                  <c:v>17.33412128472969</c:v>
                </c:pt>
                <c:pt idx="190">
                  <c:v>18.02901354727139</c:v>
                </c:pt>
                <c:pt idx="191">
                  <c:v>17.895475386005359</c:v>
                </c:pt>
                <c:pt idx="192">
                  <c:v>16.97853809554708</c:v>
                </c:pt>
                <c:pt idx="193">
                  <c:v>16.86438639808669</c:v>
                </c:pt>
                <c:pt idx="194">
                  <c:v>15.87418225378409</c:v>
                </c:pt>
                <c:pt idx="195">
                  <c:v>14.75034768428756</c:v>
                </c:pt>
                <c:pt idx="196">
                  <c:v>14.7391674277369</c:v>
                </c:pt>
                <c:pt idx="197">
                  <c:v>14.4765760036163</c:v>
                </c:pt>
                <c:pt idx="198">
                  <c:v>14.14138757087451</c:v>
                </c:pt>
                <c:pt idx="199">
                  <c:v>13.829717403769941</c:v>
                </c:pt>
                <c:pt idx="200">
                  <c:v>13.768315332198449</c:v>
                </c:pt>
                <c:pt idx="201">
                  <c:v>13.56887382326151</c:v>
                </c:pt>
                <c:pt idx="202">
                  <c:v>13.294660693053411</c:v>
                </c:pt>
                <c:pt idx="203">
                  <c:v>13.32489204145041</c:v>
                </c:pt>
                <c:pt idx="204">
                  <c:v>12.31574559073319</c:v>
                </c:pt>
                <c:pt idx="205">
                  <c:v>13.12169372144397</c:v>
                </c:pt>
                <c:pt idx="206">
                  <c:v>12.85892444775347</c:v>
                </c:pt>
                <c:pt idx="207">
                  <c:v>12.277738728104129</c:v>
                </c:pt>
                <c:pt idx="208">
                  <c:v>11.664391585413791</c:v>
                </c:pt>
                <c:pt idx="209">
                  <c:v>11.636713660183799</c:v>
                </c:pt>
                <c:pt idx="210">
                  <c:v>11.43827919959177</c:v>
                </c:pt>
                <c:pt idx="211">
                  <c:v>11.32427967085302</c:v>
                </c:pt>
                <c:pt idx="212">
                  <c:v>12.43487523198786</c:v>
                </c:pt>
                <c:pt idx="213">
                  <c:v>12.52273574674413</c:v>
                </c:pt>
                <c:pt idx="214">
                  <c:v>11.92470872837098</c:v>
                </c:pt>
                <c:pt idx="215">
                  <c:v>12.785552255587749</c:v>
                </c:pt>
                <c:pt idx="216">
                  <c:v>12.617635450570949</c:v>
                </c:pt>
                <c:pt idx="217">
                  <c:v>12.446372925639951</c:v>
                </c:pt>
                <c:pt idx="218">
                  <c:v>12.07005674000929</c:v>
                </c:pt>
                <c:pt idx="219">
                  <c:v>11.375833654723021</c:v>
                </c:pt>
                <c:pt idx="220">
                  <c:v>11.94092878753251</c:v>
                </c:pt>
                <c:pt idx="221">
                  <c:v>11.91046190918153</c:v>
                </c:pt>
                <c:pt idx="222">
                  <c:v>12.220626695627439</c:v>
                </c:pt>
                <c:pt idx="223">
                  <c:v>12.084440001575169</c:v>
                </c:pt>
                <c:pt idx="224">
                  <c:v>12.298376370152591</c:v>
                </c:pt>
                <c:pt idx="225">
                  <c:v>11.89446229892439</c:v>
                </c:pt>
                <c:pt idx="226">
                  <c:v>11.056038900900489</c:v>
                </c:pt>
                <c:pt idx="227">
                  <c:v>11.2159209276523</c:v>
                </c:pt>
                <c:pt idx="228">
                  <c:v>11.992309903717469</c:v>
                </c:pt>
                <c:pt idx="229">
                  <c:v>11.941096737068269</c:v>
                </c:pt>
                <c:pt idx="230">
                  <c:v>11.71435174937954</c:v>
                </c:pt>
                <c:pt idx="231">
                  <c:v>12.033117036021</c:v>
                </c:pt>
                <c:pt idx="232">
                  <c:v>11.228573197366501</c:v>
                </c:pt>
                <c:pt idx="233">
                  <c:v>11.686121238638741</c:v>
                </c:pt>
                <c:pt idx="234">
                  <c:v>11.60488198289303</c:v>
                </c:pt>
                <c:pt idx="235">
                  <c:v>10.801592896326071</c:v>
                </c:pt>
                <c:pt idx="236">
                  <c:v>10.45551941560468</c:v>
                </c:pt>
                <c:pt idx="237">
                  <c:v>10.202641830166289</c:v>
                </c:pt>
                <c:pt idx="238">
                  <c:v>10.63911497975025</c:v>
                </c:pt>
                <c:pt idx="239">
                  <c:v>10.716091860494</c:v>
                </c:pt>
                <c:pt idx="240">
                  <c:v>13.102313948207231</c:v>
                </c:pt>
                <c:pt idx="241">
                  <c:v>12.09506885024587</c:v>
                </c:pt>
                <c:pt idx="242">
                  <c:v>11.602636595833779</c:v>
                </c:pt>
                <c:pt idx="243">
                  <c:v>11.163145560159339</c:v>
                </c:pt>
                <c:pt idx="244">
                  <c:v>11.07539992288063</c:v>
                </c:pt>
                <c:pt idx="245">
                  <c:v>10.848373654313271</c:v>
                </c:pt>
                <c:pt idx="246">
                  <c:v>10.012598071261991</c:v>
                </c:pt>
                <c:pt idx="247">
                  <c:v>9.8934650691040371</c:v>
                </c:pt>
                <c:pt idx="248">
                  <c:v>10.25771135868764</c:v>
                </c:pt>
                <c:pt idx="249">
                  <c:v>10.351078448884911</c:v>
                </c:pt>
                <c:pt idx="250">
                  <c:v>10.03904773911875</c:v>
                </c:pt>
                <c:pt idx="251">
                  <c:v>9.9061381156062023</c:v>
                </c:pt>
                <c:pt idx="252">
                  <c:v>9.6546870549313386</c:v>
                </c:pt>
                <c:pt idx="253">
                  <c:v>10.073461338745391</c:v>
                </c:pt>
                <c:pt idx="254">
                  <c:v>10.09320360489334</c:v>
                </c:pt>
                <c:pt idx="255">
                  <c:v>10.05595525801729</c:v>
                </c:pt>
                <c:pt idx="256">
                  <c:v>10.12526896852447</c:v>
                </c:pt>
                <c:pt idx="257">
                  <c:v>9.9812646521542163</c:v>
                </c:pt>
                <c:pt idx="258">
                  <c:v>9.9934992483600489</c:v>
                </c:pt>
                <c:pt idx="259">
                  <c:v>9.9889169534773909</c:v>
                </c:pt>
                <c:pt idx="260">
                  <c:v>10.4221912825689</c:v>
                </c:pt>
                <c:pt idx="261">
                  <c:v>10.252236772940851</c:v>
                </c:pt>
                <c:pt idx="262">
                  <c:v>10.260013580454901</c:v>
                </c:pt>
                <c:pt idx="263">
                  <c:v>11.282070144428261</c:v>
                </c:pt>
                <c:pt idx="264">
                  <c:v>10.85072144388444</c:v>
                </c:pt>
                <c:pt idx="265">
                  <c:v>10.193799251208111</c:v>
                </c:pt>
                <c:pt idx="266">
                  <c:v>10.078099390201031</c:v>
                </c:pt>
                <c:pt idx="267">
                  <c:v>9.6693574740410728</c:v>
                </c:pt>
                <c:pt idx="268">
                  <c:v>9.2938984549308792</c:v>
                </c:pt>
                <c:pt idx="269">
                  <c:v>9.0999381428499539</c:v>
                </c:pt>
                <c:pt idx="270">
                  <c:v>9.1333424962565779</c:v>
                </c:pt>
                <c:pt idx="271">
                  <c:v>9.0985515063978557</c:v>
                </c:pt>
                <c:pt idx="272">
                  <c:v>9.0691141317031647</c:v>
                </c:pt>
                <c:pt idx="273">
                  <c:v>9.015974808563973</c:v>
                </c:pt>
                <c:pt idx="274">
                  <c:v>9.3061443793011893</c:v>
                </c:pt>
                <c:pt idx="275">
                  <c:v>9.2596523648081757</c:v>
                </c:pt>
                <c:pt idx="276">
                  <c:v>8.8550888964331911</c:v>
                </c:pt>
                <c:pt idx="277">
                  <c:v>8.37953600845103</c:v>
                </c:pt>
                <c:pt idx="278">
                  <c:v>8.3181070547652745</c:v>
                </c:pt>
                <c:pt idx="279">
                  <c:v>8.7299775488917284</c:v>
                </c:pt>
                <c:pt idx="280">
                  <c:v>8.8699672317829137</c:v>
                </c:pt>
                <c:pt idx="281">
                  <c:v>8.6673045629419718</c:v>
                </c:pt>
                <c:pt idx="282">
                  <c:v>9.9199659694098177</c:v>
                </c:pt>
                <c:pt idx="283">
                  <c:v>9.9094154419148062</c:v>
                </c:pt>
                <c:pt idx="284">
                  <c:v>10.03583534615662</c:v>
                </c:pt>
                <c:pt idx="285">
                  <c:v>9.4044908174481243</c:v>
                </c:pt>
                <c:pt idx="286">
                  <c:v>9.4019907767168185</c:v>
                </c:pt>
                <c:pt idx="287">
                  <c:v>9.3718947723786119</c:v>
                </c:pt>
                <c:pt idx="288">
                  <c:v>13.1335342891383</c:v>
                </c:pt>
                <c:pt idx="289">
                  <c:v>11.37150121139625</c:v>
                </c:pt>
                <c:pt idx="290">
                  <c:v>12.02143428558554</c:v>
                </c:pt>
                <c:pt idx="291">
                  <c:v>12.12280821839172</c:v>
                </c:pt>
                <c:pt idx="292">
                  <c:v>12.6228572184767</c:v>
                </c:pt>
                <c:pt idx="293">
                  <c:v>11.83721309498763</c:v>
                </c:pt>
                <c:pt idx="294">
                  <c:v>12.388610227338511</c:v>
                </c:pt>
                <c:pt idx="295">
                  <c:v>13.524383717242671</c:v>
                </c:pt>
                <c:pt idx="296">
                  <c:v>14.18423254284024</c:v>
                </c:pt>
                <c:pt idx="297">
                  <c:v>14.95243881400709</c:v>
                </c:pt>
                <c:pt idx="298">
                  <c:v>15.399513299982489</c:v>
                </c:pt>
                <c:pt idx="299">
                  <c:v>15.03984202363489</c:v>
                </c:pt>
                <c:pt idx="300">
                  <c:v>14.257857976395981</c:v>
                </c:pt>
                <c:pt idx="301">
                  <c:v>13.76972552025426</c:v>
                </c:pt>
                <c:pt idx="302">
                  <c:v>13.202928934687129</c:v>
                </c:pt>
                <c:pt idx="303">
                  <c:v>13.71607741722619</c:v>
                </c:pt>
                <c:pt idx="304">
                  <c:v>13.8833257524937</c:v>
                </c:pt>
                <c:pt idx="305">
                  <c:v>14.316070978727501</c:v>
                </c:pt>
                <c:pt idx="306">
                  <c:v>14.50144370869323</c:v>
                </c:pt>
                <c:pt idx="307">
                  <c:v>14.59119617946844</c:v>
                </c:pt>
                <c:pt idx="308">
                  <c:v>15.3855108430129</c:v>
                </c:pt>
                <c:pt idx="309">
                  <c:v>14.86314224536266</c:v>
                </c:pt>
                <c:pt idx="310">
                  <c:v>15.04977079141141</c:v>
                </c:pt>
                <c:pt idx="311">
                  <c:v>14.473910541955661</c:v>
                </c:pt>
                <c:pt idx="312">
                  <c:v>14.409003845190981</c:v>
                </c:pt>
                <c:pt idx="313">
                  <c:v>13.94141752802048</c:v>
                </c:pt>
                <c:pt idx="314">
                  <c:v>13.124499189891109</c:v>
                </c:pt>
                <c:pt idx="315">
                  <c:v>14.23705336411278</c:v>
                </c:pt>
                <c:pt idx="316">
                  <c:v>13.828502046775579</c:v>
                </c:pt>
                <c:pt idx="317">
                  <c:v>13.88124187835199</c:v>
                </c:pt>
                <c:pt idx="318">
                  <c:v>13.90428207965245</c:v>
                </c:pt>
                <c:pt idx="319">
                  <c:v>13.734527115930369</c:v>
                </c:pt>
                <c:pt idx="320">
                  <c:v>14.78084159351334</c:v>
                </c:pt>
                <c:pt idx="321">
                  <c:v>14.791152785770549</c:v>
                </c:pt>
                <c:pt idx="322">
                  <c:v>15.77438433670096</c:v>
                </c:pt>
                <c:pt idx="323">
                  <c:v>17.354942806262709</c:v>
                </c:pt>
                <c:pt idx="324">
                  <c:v>16.930518337044479</c:v>
                </c:pt>
                <c:pt idx="325">
                  <c:v>17.245708260786959</c:v>
                </c:pt>
                <c:pt idx="326">
                  <c:v>18.320908641345909</c:v>
                </c:pt>
                <c:pt idx="327">
                  <c:v>16.95183496306997</c:v>
                </c:pt>
                <c:pt idx="328">
                  <c:v>15.71826505417914</c:v>
                </c:pt>
                <c:pt idx="329">
                  <c:v>15.39140548230824</c:v>
                </c:pt>
                <c:pt idx="330">
                  <c:v>15.94952716816282</c:v>
                </c:pt>
                <c:pt idx="331">
                  <c:v>15.88858720110729</c:v>
                </c:pt>
                <c:pt idx="332">
                  <c:v>15.57472042405543</c:v>
                </c:pt>
                <c:pt idx="333">
                  <c:v>15.75842769624567</c:v>
                </c:pt>
                <c:pt idx="334">
                  <c:v>15.071414759615489</c:v>
                </c:pt>
                <c:pt idx="335">
                  <c:v>14.83629875483051</c:v>
                </c:pt>
                <c:pt idx="336">
                  <c:v>15.276733936663829</c:v>
                </c:pt>
                <c:pt idx="337">
                  <c:v>14.952700230169111</c:v>
                </c:pt>
                <c:pt idx="338">
                  <c:v>15.37735300835778</c:v>
                </c:pt>
                <c:pt idx="339">
                  <c:v>15.016042608018131</c:v>
                </c:pt>
                <c:pt idx="340">
                  <c:v>14.262314886144891</c:v>
                </c:pt>
                <c:pt idx="341">
                  <c:v>13.69574297654961</c:v>
                </c:pt>
                <c:pt idx="342">
                  <c:v>14.612302844405949</c:v>
                </c:pt>
                <c:pt idx="343">
                  <c:v>14.26767533053305</c:v>
                </c:pt>
                <c:pt idx="344">
                  <c:v>14.011074166841571</c:v>
                </c:pt>
                <c:pt idx="345">
                  <c:v>16.30507008875167</c:v>
                </c:pt>
                <c:pt idx="346">
                  <c:v>16.016218645201789</c:v>
                </c:pt>
                <c:pt idx="347">
                  <c:v>15.55089359764338</c:v>
                </c:pt>
                <c:pt idx="348">
                  <c:v>14.55124763276544</c:v>
                </c:pt>
                <c:pt idx="349">
                  <c:v>13.678296887987891</c:v>
                </c:pt>
                <c:pt idx="350">
                  <c:v>14.17726159854573</c:v>
                </c:pt>
                <c:pt idx="351">
                  <c:v>13.61314312311068</c:v>
                </c:pt>
                <c:pt idx="352">
                  <c:v>14.51298522770697</c:v>
                </c:pt>
                <c:pt idx="353">
                  <c:v>14.333271880305951</c:v>
                </c:pt>
                <c:pt idx="354">
                  <c:v>14.94741594962912</c:v>
                </c:pt>
                <c:pt idx="355">
                  <c:v>14.674779488211041</c:v>
                </c:pt>
                <c:pt idx="356">
                  <c:v>14.6018732066489</c:v>
                </c:pt>
                <c:pt idx="357">
                  <c:v>14.515363143792159</c:v>
                </c:pt>
                <c:pt idx="358">
                  <c:v>15.01886253660553</c:v>
                </c:pt>
                <c:pt idx="359">
                  <c:v>15.00880919770445</c:v>
                </c:pt>
                <c:pt idx="360">
                  <c:v>15.23699243583914</c:v>
                </c:pt>
                <c:pt idx="361">
                  <c:v>14.715286979593101</c:v>
                </c:pt>
                <c:pt idx="362">
                  <c:v>14.46853201430546</c:v>
                </c:pt>
                <c:pt idx="363">
                  <c:v>15.118778107566261</c:v>
                </c:pt>
                <c:pt idx="364">
                  <c:v>15.186128589846071</c:v>
                </c:pt>
                <c:pt idx="365">
                  <c:v>15.31460969473398</c:v>
                </c:pt>
                <c:pt idx="366">
                  <c:v>14.074962517045639</c:v>
                </c:pt>
                <c:pt idx="367">
                  <c:v>13.62557067215859</c:v>
                </c:pt>
                <c:pt idx="368">
                  <c:v>13.713636165193771</c:v>
                </c:pt>
                <c:pt idx="369">
                  <c:v>12.954142969640509</c:v>
                </c:pt>
                <c:pt idx="370">
                  <c:v>13.77376034376344</c:v>
                </c:pt>
                <c:pt idx="371">
                  <c:v>13.58537120505189</c:v>
                </c:pt>
                <c:pt idx="372">
                  <c:v>13.210718190737181</c:v>
                </c:pt>
                <c:pt idx="373">
                  <c:v>12.83274463164115</c:v>
                </c:pt>
                <c:pt idx="374">
                  <c:v>12.73177834914406</c:v>
                </c:pt>
                <c:pt idx="375">
                  <c:v>12.319727421213431</c:v>
                </c:pt>
                <c:pt idx="376">
                  <c:v>10.5379434539787</c:v>
                </c:pt>
                <c:pt idx="377">
                  <c:v>10.94404806094858</c:v>
                </c:pt>
                <c:pt idx="378">
                  <c:v>11.595945301334091</c:v>
                </c:pt>
                <c:pt idx="379">
                  <c:v>11.65024761701852</c:v>
                </c:pt>
                <c:pt idx="380">
                  <c:v>11.065421117293649</c:v>
                </c:pt>
                <c:pt idx="381">
                  <c:v>10.688480723897371</c:v>
                </c:pt>
                <c:pt idx="382">
                  <c:v>10.67229908945697</c:v>
                </c:pt>
                <c:pt idx="383">
                  <c:v>10.55918007977262</c:v>
                </c:pt>
                <c:pt idx="384">
                  <c:v>10.65718867280488</c:v>
                </c:pt>
                <c:pt idx="385">
                  <c:v>11.068147862460661</c:v>
                </c:pt>
                <c:pt idx="386">
                  <c:v>11.11188038939366</c:v>
                </c:pt>
                <c:pt idx="387">
                  <c:v>10.973182377604511</c:v>
                </c:pt>
                <c:pt idx="388">
                  <c:v>10.332192103328801</c:v>
                </c:pt>
                <c:pt idx="389">
                  <c:v>11.59062189525544</c:v>
                </c:pt>
                <c:pt idx="390">
                  <c:v>11.35987768210275</c:v>
                </c:pt>
                <c:pt idx="391">
                  <c:v>11.166169944383491</c:v>
                </c:pt>
                <c:pt idx="392">
                  <c:v>10.723671434705491</c:v>
                </c:pt>
                <c:pt idx="393">
                  <c:v>11.59986299255762</c:v>
                </c:pt>
                <c:pt idx="394">
                  <c:v>10.94882738741879</c:v>
                </c:pt>
                <c:pt idx="395">
                  <c:v>10.63930204799825</c:v>
                </c:pt>
                <c:pt idx="396">
                  <c:v>10.577392779453721</c:v>
                </c:pt>
                <c:pt idx="397">
                  <c:v>10.41753193915253</c:v>
                </c:pt>
                <c:pt idx="398">
                  <c:v>10.692022527062351</c:v>
                </c:pt>
                <c:pt idx="399">
                  <c:v>10.419072344206061</c:v>
                </c:pt>
                <c:pt idx="400">
                  <c:v>10.762597011547751</c:v>
                </c:pt>
                <c:pt idx="401">
                  <c:v>10.871533191888419</c:v>
                </c:pt>
                <c:pt idx="402">
                  <c:v>11.43970161956536</c:v>
                </c:pt>
                <c:pt idx="403">
                  <c:v>11.5329734083675</c:v>
                </c:pt>
                <c:pt idx="404">
                  <c:v>12.22961303945444</c:v>
                </c:pt>
                <c:pt idx="405">
                  <c:v>14.5785860523051</c:v>
                </c:pt>
                <c:pt idx="406">
                  <c:v>14.08349461405629</c:v>
                </c:pt>
                <c:pt idx="407">
                  <c:v>14.614407687366841</c:v>
                </c:pt>
                <c:pt idx="408">
                  <c:v>16.202636221515331</c:v>
                </c:pt>
                <c:pt idx="409">
                  <c:v>15.965757141484969</c:v>
                </c:pt>
                <c:pt idx="410">
                  <c:v>16.602157588636128</c:v>
                </c:pt>
                <c:pt idx="411">
                  <c:v>17.162949713612079</c:v>
                </c:pt>
                <c:pt idx="412">
                  <c:v>17.761532890788349</c:v>
                </c:pt>
                <c:pt idx="413">
                  <c:v>18.053514959359209</c:v>
                </c:pt>
                <c:pt idx="414">
                  <c:v>17.762268685619521</c:v>
                </c:pt>
                <c:pt idx="415">
                  <c:v>18.281554966952552</c:v>
                </c:pt>
                <c:pt idx="416">
                  <c:v>19.056763548511341</c:v>
                </c:pt>
                <c:pt idx="417">
                  <c:v>20.174754895268212</c:v>
                </c:pt>
                <c:pt idx="418">
                  <c:v>17.92168051317805</c:v>
                </c:pt>
                <c:pt idx="419">
                  <c:v>17.240906347720891</c:v>
                </c:pt>
                <c:pt idx="420">
                  <c:v>17.693960300892542</c:v>
                </c:pt>
                <c:pt idx="421">
                  <c:v>16.623884932549299</c:v>
                </c:pt>
                <c:pt idx="422">
                  <c:v>16.195217601441851</c:v>
                </c:pt>
                <c:pt idx="423">
                  <c:v>16.170753556915209</c:v>
                </c:pt>
                <c:pt idx="424">
                  <c:v>16.20435112061126</c:v>
                </c:pt>
                <c:pt idx="425">
                  <c:v>15.958274614814361</c:v>
                </c:pt>
                <c:pt idx="426">
                  <c:v>15.85777005226806</c:v>
                </c:pt>
                <c:pt idx="427">
                  <c:v>15.31685397154361</c:v>
                </c:pt>
                <c:pt idx="428">
                  <c:v>16.00785559122199</c:v>
                </c:pt>
                <c:pt idx="429">
                  <c:v>15.79014921625817</c:v>
                </c:pt>
                <c:pt idx="430">
                  <c:v>17.177358719691359</c:v>
                </c:pt>
                <c:pt idx="431">
                  <c:v>17.060065235539341</c:v>
                </c:pt>
                <c:pt idx="432">
                  <c:v>16.901140500904059</c:v>
                </c:pt>
                <c:pt idx="433">
                  <c:v>16.147900698136951</c:v>
                </c:pt>
                <c:pt idx="434">
                  <c:v>16.620391110267221</c:v>
                </c:pt>
                <c:pt idx="435">
                  <c:v>17.988431763238221</c:v>
                </c:pt>
                <c:pt idx="436">
                  <c:v>15.940134136412979</c:v>
                </c:pt>
                <c:pt idx="437">
                  <c:v>14.53533992853913</c:v>
                </c:pt>
                <c:pt idx="438">
                  <c:v>14.861205539285811</c:v>
                </c:pt>
                <c:pt idx="439">
                  <c:v>14.5176662993611</c:v>
                </c:pt>
                <c:pt idx="440">
                  <c:v>14.31564019524698</c:v>
                </c:pt>
                <c:pt idx="441">
                  <c:v>14.063709152501669</c:v>
                </c:pt>
                <c:pt idx="442">
                  <c:v>14.7379821345185</c:v>
                </c:pt>
                <c:pt idx="443">
                  <c:v>13.991930109946001</c:v>
                </c:pt>
                <c:pt idx="444">
                  <c:v>14.2103510602517</c:v>
                </c:pt>
                <c:pt idx="445">
                  <c:v>14.55818758875335</c:v>
                </c:pt>
                <c:pt idx="446">
                  <c:v>14.28123949930484</c:v>
                </c:pt>
                <c:pt idx="447">
                  <c:v>15.52952284098459</c:v>
                </c:pt>
                <c:pt idx="448">
                  <c:v>16.07758444912238</c:v>
                </c:pt>
                <c:pt idx="449">
                  <c:v>19.742317336498228</c:v>
                </c:pt>
                <c:pt idx="450">
                  <c:v>22.093193970352608</c:v>
                </c:pt>
                <c:pt idx="451">
                  <c:v>21.8176992402827</c:v>
                </c:pt>
                <c:pt idx="452">
                  <c:v>20.97584419194305</c:v>
                </c:pt>
                <c:pt idx="453">
                  <c:v>21.138696394999371</c:v>
                </c:pt>
                <c:pt idx="454">
                  <c:v>22.742225347850219</c:v>
                </c:pt>
                <c:pt idx="455">
                  <c:v>20.00155679019603</c:v>
                </c:pt>
                <c:pt idx="456">
                  <c:v>17.961445145899742</c:v>
                </c:pt>
                <c:pt idx="457">
                  <c:v>18.501230015576549</c:v>
                </c:pt>
                <c:pt idx="458">
                  <c:v>16.10278725580233</c:v>
                </c:pt>
                <c:pt idx="459">
                  <c:v>17.169027360149428</c:v>
                </c:pt>
                <c:pt idx="460">
                  <c:v>16.783801700618611</c:v>
                </c:pt>
                <c:pt idx="461">
                  <c:v>17.041038680986858</c:v>
                </c:pt>
                <c:pt idx="462">
                  <c:v>18.57349466611193</c:v>
                </c:pt>
                <c:pt idx="463">
                  <c:v>22.280661241804211</c:v>
                </c:pt>
                <c:pt idx="464">
                  <c:v>24.275213012407232</c:v>
                </c:pt>
                <c:pt idx="465">
                  <c:v>25.922689014796301</c:v>
                </c:pt>
                <c:pt idx="466">
                  <c:v>34.845078446398539</c:v>
                </c:pt>
                <c:pt idx="467">
                  <c:v>29.401617210012969</c:v>
                </c:pt>
                <c:pt idx="468">
                  <c:v>28.458678428643069</c:v>
                </c:pt>
                <c:pt idx="469">
                  <c:v>28.08259783543302</c:v>
                </c:pt>
                <c:pt idx="470">
                  <c:v>28.017950941372479</c:v>
                </c:pt>
                <c:pt idx="471">
                  <c:v>25.007601129732421</c:v>
                </c:pt>
                <c:pt idx="472">
                  <c:v>24.48491953505933</c:v>
                </c:pt>
                <c:pt idx="473">
                  <c:v>25.731960766550639</c:v>
                </c:pt>
                <c:pt idx="474">
                  <c:v>26.120661356434841</c:v>
                </c:pt>
                <c:pt idx="475">
                  <c:v>23.93014053920891</c:v>
                </c:pt>
                <c:pt idx="476">
                  <c:v>23.745408477085579</c:v>
                </c:pt>
                <c:pt idx="477">
                  <c:v>22.328663447526409</c:v>
                </c:pt>
                <c:pt idx="478">
                  <c:v>21.066097735623991</c:v>
                </c:pt>
                <c:pt idx="479">
                  <c:v>22.00346628612083</c:v>
                </c:pt>
                <c:pt idx="480">
                  <c:v>21.07560112733843</c:v>
                </c:pt>
                <c:pt idx="481">
                  <c:v>20.52726556854407</c:v>
                </c:pt>
                <c:pt idx="482">
                  <c:v>21.410888202437171</c:v>
                </c:pt>
                <c:pt idx="483">
                  <c:v>21.83677500555596</c:v>
                </c:pt>
                <c:pt idx="484">
                  <c:v>21.074527903323819</c:v>
                </c:pt>
                <c:pt idx="485">
                  <c:v>20.510422892467719</c:v>
                </c:pt>
                <c:pt idx="486">
                  <c:v>20.849276263359769</c:v>
                </c:pt>
                <c:pt idx="487">
                  <c:v>21.031106926870649</c:v>
                </c:pt>
                <c:pt idx="488">
                  <c:v>20.896938644252948</c:v>
                </c:pt>
                <c:pt idx="489">
                  <c:v>22.91003716295403</c:v>
                </c:pt>
                <c:pt idx="490">
                  <c:v>22.373814341066609</c:v>
                </c:pt>
                <c:pt idx="491">
                  <c:v>26.2851991845986</c:v>
                </c:pt>
                <c:pt idx="492">
                  <c:v>24.771113926559099</c:v>
                </c:pt>
                <c:pt idx="493">
                  <c:v>23.739740882870048</c:v>
                </c:pt>
                <c:pt idx="494">
                  <c:v>24.902760686277929</c:v>
                </c:pt>
                <c:pt idx="495">
                  <c:v>25.072136206657191</c:v>
                </c:pt>
                <c:pt idx="496">
                  <c:v>25.022035525022311</c:v>
                </c:pt>
                <c:pt idx="497">
                  <c:v>24.79158884524907</c:v>
                </c:pt>
                <c:pt idx="498">
                  <c:v>24.704489461786341</c:v>
                </c:pt>
                <c:pt idx="499">
                  <c:v>24.450181016809399</c:v>
                </c:pt>
                <c:pt idx="500">
                  <c:v>24.98360859563639</c:v>
                </c:pt>
                <c:pt idx="501">
                  <c:v>23.456439354097238</c:v>
                </c:pt>
                <c:pt idx="502">
                  <c:v>23.95139795197743</c:v>
                </c:pt>
                <c:pt idx="503">
                  <c:v>24.38064792591938</c:v>
                </c:pt>
                <c:pt idx="504">
                  <c:v>24.66410802138336</c:v>
                </c:pt>
                <c:pt idx="505">
                  <c:v>25.543102490269771</c:v>
                </c:pt>
                <c:pt idx="506">
                  <c:v>25.64556520987831</c:v>
                </c:pt>
                <c:pt idx="507">
                  <c:v>27.10908849261601</c:v>
                </c:pt>
                <c:pt idx="508">
                  <c:v>25.18917569185831</c:v>
                </c:pt>
                <c:pt idx="509">
                  <c:v>23.984443460652869</c:v>
                </c:pt>
                <c:pt idx="510">
                  <c:v>22.853532269590261</c:v>
                </c:pt>
                <c:pt idx="511">
                  <c:v>23.100679765753171</c:v>
                </c:pt>
                <c:pt idx="512">
                  <c:v>22.78435069107832</c:v>
                </c:pt>
                <c:pt idx="513">
                  <c:v>22.95406360274411</c:v>
                </c:pt>
                <c:pt idx="514">
                  <c:v>23.759194353394172</c:v>
                </c:pt>
                <c:pt idx="515">
                  <c:v>25.421391346865569</c:v>
                </c:pt>
                <c:pt idx="516">
                  <c:v>25.629974454605279</c:v>
                </c:pt>
                <c:pt idx="517">
                  <c:v>25.953814936560729</c:v>
                </c:pt>
                <c:pt idx="518">
                  <c:v>25.645915012670709</c:v>
                </c:pt>
                <c:pt idx="519">
                  <c:v>24.5942207589441</c:v>
                </c:pt>
                <c:pt idx="520">
                  <c:v>24.066229113927839</c:v>
                </c:pt>
                <c:pt idx="521">
                  <c:v>22.678012734522799</c:v>
                </c:pt>
                <c:pt idx="522">
                  <c:v>22.236563252081169</c:v>
                </c:pt>
                <c:pt idx="523">
                  <c:v>20.88804752081748</c:v>
                </c:pt>
                <c:pt idx="524">
                  <c:v>19.945380001735831</c:v>
                </c:pt>
                <c:pt idx="525">
                  <c:v>24.060384043014739</c:v>
                </c:pt>
                <c:pt idx="526">
                  <c:v>22.184060399943402</c:v>
                </c:pt>
                <c:pt idx="527">
                  <c:v>21.313832594561571</c:v>
                </c:pt>
                <c:pt idx="528">
                  <c:v>20.167683630813059</c:v>
                </c:pt>
                <c:pt idx="529">
                  <c:v>19.68722670917969</c:v>
                </c:pt>
                <c:pt idx="530">
                  <c:v>20.042892055803989</c:v>
                </c:pt>
                <c:pt idx="531">
                  <c:v>19.015749150638051</c:v>
                </c:pt>
                <c:pt idx="532">
                  <c:v>18.74744169018317</c:v>
                </c:pt>
                <c:pt idx="533">
                  <c:v>18.14845427976331</c:v>
                </c:pt>
                <c:pt idx="534">
                  <c:v>18.59127055369078</c:v>
                </c:pt>
                <c:pt idx="535">
                  <c:v>21.514089979809739</c:v>
                </c:pt>
                <c:pt idx="536">
                  <c:v>20.298078518267339</c:v>
                </c:pt>
                <c:pt idx="537">
                  <c:v>20.42194488855813</c:v>
                </c:pt>
                <c:pt idx="538">
                  <c:v>19.394963588497351</c:v>
                </c:pt>
                <c:pt idx="539">
                  <c:v>19.126682771540061</c:v>
                </c:pt>
                <c:pt idx="540">
                  <c:v>18.769692262468471</c:v>
                </c:pt>
                <c:pt idx="541">
                  <c:v>18.17222855321695</c:v>
                </c:pt>
                <c:pt idx="542">
                  <c:v>19.452766954248489</c:v>
                </c:pt>
                <c:pt idx="543">
                  <c:v>20.124709439551989</c:v>
                </c:pt>
                <c:pt idx="544">
                  <c:v>19.028764187967418</c:v>
                </c:pt>
                <c:pt idx="545">
                  <c:v>19.38254100236983</c:v>
                </c:pt>
                <c:pt idx="546">
                  <c:v>19.786324662768031</c:v>
                </c:pt>
                <c:pt idx="547">
                  <c:v>20.238685461007741</c:v>
                </c:pt>
                <c:pt idx="548">
                  <c:v>23.939748797785018</c:v>
                </c:pt>
                <c:pt idx="549">
                  <c:v>22.95502163149072</c:v>
                </c:pt>
                <c:pt idx="550">
                  <c:v>21.402423909775031</c:v>
                </c:pt>
                <c:pt idx="551">
                  <c:v>20.735313342695019</c:v>
                </c:pt>
                <c:pt idx="552">
                  <c:v>20.884043122674051</c:v>
                </c:pt>
                <c:pt idx="553">
                  <c:v>21.32861100969285</c:v>
                </c:pt>
                <c:pt idx="554">
                  <c:v>23.028558790746029</c:v>
                </c:pt>
                <c:pt idx="555">
                  <c:v>23.559196070007431</c:v>
                </c:pt>
                <c:pt idx="556">
                  <c:v>21.8300846834601</c:v>
                </c:pt>
                <c:pt idx="557">
                  <c:v>25.54623233776903</c:v>
                </c:pt>
                <c:pt idx="558">
                  <c:v>26.332324353386539</c:v>
                </c:pt>
                <c:pt idx="559">
                  <c:v>26.9387926483092</c:v>
                </c:pt>
                <c:pt idx="560">
                  <c:v>27.262367505933248</c:v>
                </c:pt>
                <c:pt idx="561">
                  <c:v>26.230877843690401</c:v>
                </c:pt>
                <c:pt idx="562">
                  <c:v>23.623927111734321</c:v>
                </c:pt>
                <c:pt idx="563">
                  <c:v>23.53737389727516</c:v>
                </c:pt>
                <c:pt idx="564">
                  <c:v>25.61048975449571</c:v>
                </c:pt>
                <c:pt idx="565">
                  <c:v>24.063683017223919</c:v>
                </c:pt>
                <c:pt idx="566">
                  <c:v>23.841866505437078</c:v>
                </c:pt>
                <c:pt idx="567">
                  <c:v>23.672684863151069</c:v>
                </c:pt>
                <c:pt idx="568">
                  <c:v>23.220916767770468</c:v>
                </c:pt>
                <c:pt idx="569">
                  <c:v>24.046105328011269</c:v>
                </c:pt>
                <c:pt idx="570">
                  <c:v>22.854777315274099</c:v>
                </c:pt>
                <c:pt idx="571">
                  <c:v>22.347153338505539</c:v>
                </c:pt>
                <c:pt idx="572">
                  <c:v>22.509940851704339</c:v>
                </c:pt>
                <c:pt idx="573">
                  <c:v>23.78042751970586</c:v>
                </c:pt>
                <c:pt idx="574">
                  <c:v>24.01816739421848</c:v>
                </c:pt>
                <c:pt idx="575">
                  <c:v>23.190566750319149</c:v>
                </c:pt>
                <c:pt idx="576">
                  <c:v>22.13449009182337</c:v>
                </c:pt>
                <c:pt idx="577">
                  <c:v>22.507189802271672</c:v>
                </c:pt>
                <c:pt idx="578">
                  <c:v>22.41623088306007</c:v>
                </c:pt>
                <c:pt idx="579">
                  <c:v>24.180695326151451</c:v>
                </c:pt>
                <c:pt idx="580">
                  <c:v>25.170203278876041</c:v>
                </c:pt>
                <c:pt idx="581">
                  <c:v>25.252498224677002</c:v>
                </c:pt>
                <c:pt idx="582">
                  <c:v>26.056341423972579</c:v>
                </c:pt>
                <c:pt idx="583">
                  <c:v>25.564188842668589</c:v>
                </c:pt>
                <c:pt idx="584">
                  <c:v>25.80063189108898</c:v>
                </c:pt>
                <c:pt idx="585">
                  <c:v>25.724723742728539</c:v>
                </c:pt>
                <c:pt idx="586">
                  <c:v>24.954692804880491</c:v>
                </c:pt>
                <c:pt idx="587">
                  <c:v>25.6984787885809</c:v>
                </c:pt>
                <c:pt idx="588">
                  <c:v>25.577205245762801</c:v>
                </c:pt>
                <c:pt idx="589">
                  <c:v>30.587319505797591</c:v>
                </c:pt>
                <c:pt idx="590">
                  <c:v>30.548826956183749</c:v>
                </c:pt>
                <c:pt idx="591">
                  <c:v>30.317564369040561</c:v>
                </c:pt>
                <c:pt idx="592">
                  <c:v>29.674909063083</c:v>
                </c:pt>
                <c:pt idx="593">
                  <c:v>26.667837593803331</c:v>
                </c:pt>
                <c:pt idx="594">
                  <c:v>25.22642302919515</c:v>
                </c:pt>
                <c:pt idx="595">
                  <c:v>23.773195862199501</c:v>
                </c:pt>
                <c:pt idx="596">
                  <c:v>23.288492243753641</c:v>
                </c:pt>
                <c:pt idx="597">
                  <c:v>22.361424264217501</c:v>
                </c:pt>
                <c:pt idx="598">
                  <c:v>22.422462229293011</c:v>
                </c:pt>
                <c:pt idx="599">
                  <c:v>22.777775270897571</c:v>
                </c:pt>
                <c:pt idx="600">
                  <c:v>22.965912766873512</c:v>
                </c:pt>
                <c:pt idx="601">
                  <c:v>22.75247895477904</c:v>
                </c:pt>
                <c:pt idx="602">
                  <c:v>23.309717293848902</c:v>
                </c:pt>
                <c:pt idx="603">
                  <c:v>22.518173802494299</c:v>
                </c:pt>
                <c:pt idx="604">
                  <c:v>23.746022356425069</c:v>
                </c:pt>
                <c:pt idx="605">
                  <c:v>24.007406146594619</c:v>
                </c:pt>
                <c:pt idx="606">
                  <c:v>23.887618300554159</c:v>
                </c:pt>
                <c:pt idx="607">
                  <c:v>24.764769134683149</c:v>
                </c:pt>
                <c:pt idx="608">
                  <c:v>24.293322574521561</c:v>
                </c:pt>
                <c:pt idx="609">
                  <c:v>24.221223696720489</c:v>
                </c:pt>
                <c:pt idx="610">
                  <c:v>23.420081432069299</c:v>
                </c:pt>
                <c:pt idx="611">
                  <c:v>21.942189047269771</c:v>
                </c:pt>
                <c:pt idx="612">
                  <c:v>21.283104481465781</c:v>
                </c:pt>
                <c:pt idx="613">
                  <c:v>20.681099870092279</c:v>
                </c:pt>
                <c:pt idx="614">
                  <c:v>21.0474728373202</c:v>
                </c:pt>
                <c:pt idx="615">
                  <c:v>19.897500203164249</c:v>
                </c:pt>
                <c:pt idx="616">
                  <c:v>20.317029805528549</c:v>
                </c:pt>
                <c:pt idx="617">
                  <c:v>20.808916989232191</c:v>
                </c:pt>
                <c:pt idx="618">
                  <c:v>21.541045815077059</c:v>
                </c:pt>
                <c:pt idx="619">
                  <c:v>20.854092283696229</c:v>
                </c:pt>
                <c:pt idx="620">
                  <c:v>21.187025068787019</c:v>
                </c:pt>
                <c:pt idx="621">
                  <c:v>23.327739554898859</c:v>
                </c:pt>
                <c:pt idx="622">
                  <c:v>23.431713012277921</c:v>
                </c:pt>
                <c:pt idx="623">
                  <c:v>23.403974264971339</c:v>
                </c:pt>
                <c:pt idx="624">
                  <c:v>25.794422790096569</c:v>
                </c:pt>
                <c:pt idx="625">
                  <c:v>26.191303089562791</c:v>
                </c:pt>
                <c:pt idx="626">
                  <c:v>27.231954457868579</c:v>
                </c:pt>
                <c:pt idx="627">
                  <c:v>26.815893964778049</c:v>
                </c:pt>
                <c:pt idx="628">
                  <c:v>31.117603291163629</c:v>
                </c:pt>
                <c:pt idx="629">
                  <c:v>32.657225371281058</c:v>
                </c:pt>
                <c:pt idx="630">
                  <c:v>30.675598347345179</c:v>
                </c:pt>
                <c:pt idx="631">
                  <c:v>29.46566622083208</c:v>
                </c:pt>
                <c:pt idx="632">
                  <c:v>30.72100888267115</c:v>
                </c:pt>
                <c:pt idx="633">
                  <c:v>30.314570198978458</c:v>
                </c:pt>
                <c:pt idx="634">
                  <c:v>31.040699206918219</c:v>
                </c:pt>
                <c:pt idx="635">
                  <c:v>31.529506005392449</c:v>
                </c:pt>
                <c:pt idx="636">
                  <c:v>31.994770138331539</c:v>
                </c:pt>
                <c:pt idx="637">
                  <c:v>32.106083307160141</c:v>
                </c:pt>
                <c:pt idx="638">
                  <c:v>31.397480421733629</c:v>
                </c:pt>
                <c:pt idx="639">
                  <c:v>30.340136522929019</c:v>
                </c:pt>
                <c:pt idx="640">
                  <c:v>28.770628755906131</c:v>
                </c:pt>
                <c:pt idx="641">
                  <c:v>30.553858994994769</c:v>
                </c:pt>
                <c:pt idx="642">
                  <c:v>31.293740177076721</c:v>
                </c:pt>
                <c:pt idx="643">
                  <c:v>31.327076734229799</c:v>
                </c:pt>
                <c:pt idx="644">
                  <c:v>30.814538857137489</c:v>
                </c:pt>
                <c:pt idx="645">
                  <c:v>31.129915219927572</c:v>
                </c:pt>
                <c:pt idx="646">
                  <c:v>31.812305629036199</c:v>
                </c:pt>
                <c:pt idx="647">
                  <c:v>31.027218731547318</c:v>
                </c:pt>
                <c:pt idx="648">
                  <c:v>30.508956477468011</c:v>
                </c:pt>
                <c:pt idx="649">
                  <c:v>29.798738988266969</c:v>
                </c:pt>
                <c:pt idx="650">
                  <c:v>29.11534891953719</c:v>
                </c:pt>
                <c:pt idx="651">
                  <c:v>28.503186176339739</c:v>
                </c:pt>
                <c:pt idx="652">
                  <c:v>27.674891646362418</c:v>
                </c:pt>
                <c:pt idx="653">
                  <c:v>29.53725953466536</c:v>
                </c:pt>
                <c:pt idx="654">
                  <c:v>28.38488325338983</c:v>
                </c:pt>
                <c:pt idx="655">
                  <c:v>27.197470664654691</c:v>
                </c:pt>
                <c:pt idx="656">
                  <c:v>26.15388096544266</c:v>
                </c:pt>
                <c:pt idx="657">
                  <c:v>25.137632569091679</c:v>
                </c:pt>
                <c:pt idx="658">
                  <c:v>24.238379664765159</c:v>
                </c:pt>
                <c:pt idx="659">
                  <c:v>24.112378944716191</c:v>
                </c:pt>
                <c:pt idx="660">
                  <c:v>25.024584026457521</c:v>
                </c:pt>
                <c:pt idx="661">
                  <c:v>22.710209842769959</c:v>
                </c:pt>
                <c:pt idx="662">
                  <c:v>21.007159458089291</c:v>
                </c:pt>
                <c:pt idx="663">
                  <c:v>21.03267926919942</c:v>
                </c:pt>
                <c:pt idx="664">
                  <c:v>20.959933128928331</c:v>
                </c:pt>
                <c:pt idx="665">
                  <c:v>19.671787371721312</c:v>
                </c:pt>
                <c:pt idx="666">
                  <c:v>20.445611118251271</c:v>
                </c:pt>
                <c:pt idx="667">
                  <c:v>20.31672883798818</c:v>
                </c:pt>
                <c:pt idx="668">
                  <c:v>19.9567833129022</c:v>
                </c:pt>
                <c:pt idx="669">
                  <c:v>19.483612952244151</c:v>
                </c:pt>
                <c:pt idx="670">
                  <c:v>19.22849373960322</c:v>
                </c:pt>
                <c:pt idx="671">
                  <c:v>20.141776017139399</c:v>
                </c:pt>
                <c:pt idx="672">
                  <c:v>20.809419472750879</c:v>
                </c:pt>
                <c:pt idx="673">
                  <c:v>22.292468968362101</c:v>
                </c:pt>
                <c:pt idx="674">
                  <c:v>24.36270909453831</c:v>
                </c:pt>
                <c:pt idx="675">
                  <c:v>25.276576553980352</c:v>
                </c:pt>
                <c:pt idx="676">
                  <c:v>23.292619455215139</c:v>
                </c:pt>
                <c:pt idx="677">
                  <c:v>24.25933826477284</c:v>
                </c:pt>
                <c:pt idx="678">
                  <c:v>23.354601567692839</c:v>
                </c:pt>
                <c:pt idx="679">
                  <c:v>22.962593016430262</c:v>
                </c:pt>
                <c:pt idx="680">
                  <c:v>22.71143567902417</c:v>
                </c:pt>
                <c:pt idx="681">
                  <c:v>22.489782737068591</c:v>
                </c:pt>
                <c:pt idx="682">
                  <c:v>22.183181204044381</c:v>
                </c:pt>
                <c:pt idx="683">
                  <c:v>21.459107364607611</c:v>
                </c:pt>
                <c:pt idx="684">
                  <c:v>21.87839919657733</c:v>
                </c:pt>
                <c:pt idx="685">
                  <c:v>20.909635981716729</c:v>
                </c:pt>
                <c:pt idx="686">
                  <c:v>19.150140554573049</c:v>
                </c:pt>
                <c:pt idx="687">
                  <c:v>18.930312589980879</c:v>
                </c:pt>
                <c:pt idx="688">
                  <c:v>18.309981294267509</c:v>
                </c:pt>
                <c:pt idx="689">
                  <c:v>18.728139104960839</c:v>
                </c:pt>
                <c:pt idx="690">
                  <c:v>17.905542450833089</c:v>
                </c:pt>
                <c:pt idx="691">
                  <c:v>19.613730850569659</c:v>
                </c:pt>
                <c:pt idx="692">
                  <c:v>20.191103797870198</c:v>
                </c:pt>
                <c:pt idx="693">
                  <c:v>20.5056819759265</c:v>
                </c:pt>
                <c:pt idx="694">
                  <c:v>21.279348748563621</c:v>
                </c:pt>
                <c:pt idx="695">
                  <c:v>19.366860953417191</c:v>
                </c:pt>
                <c:pt idx="696">
                  <c:v>18.52025352737855</c:v>
                </c:pt>
                <c:pt idx="697">
                  <c:v>16.58613760237672</c:v>
                </c:pt>
                <c:pt idx="698">
                  <c:v>16.02074423105746</c:v>
                </c:pt>
                <c:pt idx="699">
                  <c:v>16.782977846395749</c:v>
                </c:pt>
                <c:pt idx="700">
                  <c:v>18.130443015977409</c:v>
                </c:pt>
                <c:pt idx="701">
                  <c:v>18.753245542625699</c:v>
                </c:pt>
                <c:pt idx="702">
                  <c:v>18.563115492897701</c:v>
                </c:pt>
                <c:pt idx="703">
                  <c:v>18.976205234160791</c:v>
                </c:pt>
                <c:pt idx="704">
                  <c:v>19.366827136843479</c:v>
                </c:pt>
                <c:pt idx="705">
                  <c:v>18.937783424814519</c:v>
                </c:pt>
                <c:pt idx="706">
                  <c:v>20.29252622478726</c:v>
                </c:pt>
                <c:pt idx="707">
                  <c:v>21.445352942750809</c:v>
                </c:pt>
                <c:pt idx="708">
                  <c:v>20.84255269536613</c:v>
                </c:pt>
                <c:pt idx="709">
                  <c:v>21.815422687979321</c:v>
                </c:pt>
                <c:pt idx="710">
                  <c:v>22.88913028644258</c:v>
                </c:pt>
                <c:pt idx="711">
                  <c:v>25.08985798432445</c:v>
                </c:pt>
                <c:pt idx="712">
                  <c:v>24.30809014852883</c:v>
                </c:pt>
                <c:pt idx="713">
                  <c:v>23.289600903402381</c:v>
                </c:pt>
                <c:pt idx="714">
                  <c:v>25.261186152854481</c:v>
                </c:pt>
                <c:pt idx="715">
                  <c:v>31.02340282169283</c:v>
                </c:pt>
                <c:pt idx="716">
                  <c:v>30.944777081020518</c:v>
                </c:pt>
                <c:pt idx="717">
                  <c:v>28.625924135738291</c:v>
                </c:pt>
                <c:pt idx="718">
                  <c:v>27.495178012892659</c:v>
                </c:pt>
                <c:pt idx="719">
                  <c:v>29.788762157768019</c:v>
                </c:pt>
                <c:pt idx="720">
                  <c:v>30.611598688960989</c:v>
                </c:pt>
                <c:pt idx="721">
                  <c:v>31.609122943284579</c:v>
                </c:pt>
                <c:pt idx="722">
                  <c:v>32.845386619322177</c:v>
                </c:pt>
                <c:pt idx="723">
                  <c:v>33.12570555325928</c:v>
                </c:pt>
                <c:pt idx="724">
                  <c:v>30.36865260968661</c:v>
                </c:pt>
                <c:pt idx="725">
                  <c:v>30.380847315954661</c:v>
                </c:pt>
                <c:pt idx="726">
                  <c:v>30.318702710281809</c:v>
                </c:pt>
                <c:pt idx="727">
                  <c:v>29.124976400476591</c:v>
                </c:pt>
                <c:pt idx="728">
                  <c:v>27.382673431552881</c:v>
                </c:pt>
                <c:pt idx="729">
                  <c:v>28.209251985985851</c:v>
                </c:pt>
                <c:pt idx="730">
                  <c:v>28.89716582336014</c:v>
                </c:pt>
                <c:pt idx="731">
                  <c:v>31.083076595504689</c:v>
                </c:pt>
                <c:pt idx="732">
                  <c:v>31.583097979824021</c:v>
                </c:pt>
                <c:pt idx="733">
                  <c:v>30.738924544097141</c:v>
                </c:pt>
                <c:pt idx="734">
                  <c:v>27.451609528407548</c:v>
                </c:pt>
                <c:pt idx="735">
                  <c:v>25.840598881774941</c:v>
                </c:pt>
                <c:pt idx="736">
                  <c:v>24.91989980792577</c:v>
                </c:pt>
                <c:pt idx="737">
                  <c:v>23.588198195849671</c:v>
                </c:pt>
                <c:pt idx="738">
                  <c:v>24.612871172990818</c:v>
                </c:pt>
                <c:pt idx="739">
                  <c:v>26.571415548589659</c:v>
                </c:pt>
                <c:pt idx="740">
                  <c:v>28.973229868272121</c:v>
                </c:pt>
                <c:pt idx="741">
                  <c:v>28.428855690831941</c:v>
                </c:pt>
                <c:pt idx="742">
                  <c:v>30.155555132720149</c:v>
                </c:pt>
                <c:pt idx="743">
                  <c:v>32.230984089718568</c:v>
                </c:pt>
                <c:pt idx="744">
                  <c:v>30.400608987638041</c:v>
                </c:pt>
                <c:pt idx="745">
                  <c:v>30.599384516962822</c:v>
                </c:pt>
                <c:pt idx="746">
                  <c:v>30.514397006857649</c:v>
                </c:pt>
                <c:pt idx="747">
                  <c:v>27.942686174482329</c:v>
                </c:pt>
                <c:pt idx="748">
                  <c:v>28.02957842765478</c:v>
                </c:pt>
                <c:pt idx="749">
                  <c:v>27.84780773472</c:v>
                </c:pt>
                <c:pt idx="750">
                  <c:v>31.11165376061145</c:v>
                </c:pt>
                <c:pt idx="751">
                  <c:v>30.6054237287481</c:v>
                </c:pt>
                <c:pt idx="752">
                  <c:v>29.695061199404542</c:v>
                </c:pt>
                <c:pt idx="753">
                  <c:v>29.67198966131669</c:v>
                </c:pt>
                <c:pt idx="754">
                  <c:v>27.77377510047609</c:v>
                </c:pt>
                <c:pt idx="755">
                  <c:v>27.222484790065131</c:v>
                </c:pt>
                <c:pt idx="756">
                  <c:v>26.937357259256348</c:v>
                </c:pt>
                <c:pt idx="757">
                  <c:v>26.156676192995459</c:v>
                </c:pt>
                <c:pt idx="758">
                  <c:v>25.622136880090761</c:v>
                </c:pt>
                <c:pt idx="759">
                  <c:v>25.80808577914275</c:v>
                </c:pt>
                <c:pt idx="760">
                  <c:v>29.53882535616059</c:v>
                </c:pt>
                <c:pt idx="761">
                  <c:v>26.490795363200601</c:v>
                </c:pt>
                <c:pt idx="762">
                  <c:v>27.432174364942721</c:v>
                </c:pt>
                <c:pt idx="763">
                  <c:v>29.19291760046324</c:v>
                </c:pt>
                <c:pt idx="764">
                  <c:v>29.135627305469061</c:v>
                </c:pt>
                <c:pt idx="765">
                  <c:v>27.932570387355661</c:v>
                </c:pt>
                <c:pt idx="766">
                  <c:v>26.969698554475841</c:v>
                </c:pt>
                <c:pt idx="767">
                  <c:v>29.86314187728928</c:v>
                </c:pt>
                <c:pt idx="768">
                  <c:v>28.12954874801969</c:v>
                </c:pt>
                <c:pt idx="769">
                  <c:v>27.539131009113419</c:v>
                </c:pt>
                <c:pt idx="770">
                  <c:v>26.09413334010388</c:v>
                </c:pt>
                <c:pt idx="771">
                  <c:v>24.72373639649086</c:v>
                </c:pt>
                <c:pt idx="772">
                  <c:v>23.544352455537091</c:v>
                </c:pt>
                <c:pt idx="773">
                  <c:v>23.31565860192752</c:v>
                </c:pt>
                <c:pt idx="774">
                  <c:v>23.366462311283641</c:v>
                </c:pt>
                <c:pt idx="775">
                  <c:v>23.490113483216369</c:v>
                </c:pt>
                <c:pt idx="776">
                  <c:v>22.339335212612522</c:v>
                </c:pt>
                <c:pt idx="777">
                  <c:v>21.69216970894858</c:v>
                </c:pt>
                <c:pt idx="778">
                  <c:v>21.576679386342981</c:v>
                </c:pt>
                <c:pt idx="779">
                  <c:v>22.268959072959479</c:v>
                </c:pt>
                <c:pt idx="780">
                  <c:v>22.65468238472009</c:v>
                </c:pt>
                <c:pt idx="781">
                  <c:v>23.24181332975196</c:v>
                </c:pt>
                <c:pt idx="782">
                  <c:v>22.88407217992722</c:v>
                </c:pt>
                <c:pt idx="783">
                  <c:v>22.907080641447969</c:v>
                </c:pt>
                <c:pt idx="784">
                  <c:v>21.690828088610122</c:v>
                </c:pt>
                <c:pt idx="785">
                  <c:v>20.729414985200549</c:v>
                </c:pt>
                <c:pt idx="786">
                  <c:v>21.167444976449879</c:v>
                </c:pt>
                <c:pt idx="787">
                  <c:v>20.62492184230927</c:v>
                </c:pt>
                <c:pt idx="788">
                  <c:v>20.603319693249869</c:v>
                </c:pt>
                <c:pt idx="789">
                  <c:v>20.64651702096193</c:v>
                </c:pt>
                <c:pt idx="790">
                  <c:v>19.938062366121809</c:v>
                </c:pt>
                <c:pt idx="791">
                  <c:v>20.285057802368119</c:v>
                </c:pt>
                <c:pt idx="792">
                  <c:v>23.924807113289049</c:v>
                </c:pt>
                <c:pt idx="793">
                  <c:v>26.305915417675902</c:v>
                </c:pt>
                <c:pt idx="794">
                  <c:v>26.20478505102836</c:v>
                </c:pt>
                <c:pt idx="795">
                  <c:v>26.293267398981939</c:v>
                </c:pt>
                <c:pt idx="796">
                  <c:v>26.288360678179391</c:v>
                </c:pt>
                <c:pt idx="797">
                  <c:v>26.50793919294923</c:v>
                </c:pt>
                <c:pt idx="798">
                  <c:v>27.516896059272369</c:v>
                </c:pt>
                <c:pt idx="799">
                  <c:v>25.195892776910259</c:v>
                </c:pt>
                <c:pt idx="800">
                  <c:v>24.675237846654159</c:v>
                </c:pt>
                <c:pt idx="801">
                  <c:v>23.68849124641623</c:v>
                </c:pt>
                <c:pt idx="802">
                  <c:v>23.222661315165318</c:v>
                </c:pt>
                <c:pt idx="803">
                  <c:v>23.952911483702419</c:v>
                </c:pt>
                <c:pt idx="804">
                  <c:v>23.100822738688638</c:v>
                </c:pt>
                <c:pt idx="805">
                  <c:v>22.08807825298771</c:v>
                </c:pt>
                <c:pt idx="806">
                  <c:v>22.122239856633669</c:v>
                </c:pt>
                <c:pt idx="807">
                  <c:v>22.449806873626351</c:v>
                </c:pt>
                <c:pt idx="808">
                  <c:v>22.361556985816861</c:v>
                </c:pt>
                <c:pt idx="809">
                  <c:v>22.51989273512514</c:v>
                </c:pt>
                <c:pt idx="810">
                  <c:v>22.792934278639631</c:v>
                </c:pt>
                <c:pt idx="811">
                  <c:v>26.164579338959769</c:v>
                </c:pt>
                <c:pt idx="812">
                  <c:v>25.745001487312429</c:v>
                </c:pt>
                <c:pt idx="813">
                  <c:v>26.523655343021229</c:v>
                </c:pt>
                <c:pt idx="814">
                  <c:v>24.236330492698141</c:v>
                </c:pt>
                <c:pt idx="815">
                  <c:v>22.696259169383492</c:v>
                </c:pt>
                <c:pt idx="816">
                  <c:v>21.394200428912651</c:v>
                </c:pt>
                <c:pt idx="817">
                  <c:v>19.942957990286502</c:v>
                </c:pt>
                <c:pt idx="818">
                  <c:v>19.859294395608401</c:v>
                </c:pt>
                <c:pt idx="819">
                  <c:v>19.601571878523629</c:v>
                </c:pt>
                <c:pt idx="820">
                  <c:v>19.78084736830511</c:v>
                </c:pt>
                <c:pt idx="821">
                  <c:v>20.195873127657119</c:v>
                </c:pt>
                <c:pt idx="822">
                  <c:v>18.127972926000179</c:v>
                </c:pt>
                <c:pt idx="823">
                  <c:v>18.692735038656831</c:v>
                </c:pt>
                <c:pt idx="824">
                  <c:v>20.59804371253453</c:v>
                </c:pt>
                <c:pt idx="825">
                  <c:v>22.213843145463571</c:v>
                </c:pt>
                <c:pt idx="826">
                  <c:v>21.42030658925685</c:v>
                </c:pt>
                <c:pt idx="827">
                  <c:v>20.92802781858498</c:v>
                </c:pt>
                <c:pt idx="828">
                  <c:v>20.31620923108996</c:v>
                </c:pt>
                <c:pt idx="829">
                  <c:v>20.7346579531008</c:v>
                </c:pt>
                <c:pt idx="830">
                  <c:v>20.644550637712872</c:v>
                </c:pt>
                <c:pt idx="831">
                  <c:v>19.967196786245129</c:v>
                </c:pt>
                <c:pt idx="832">
                  <c:v>20.59974395616895</c:v>
                </c:pt>
                <c:pt idx="833">
                  <c:v>20.521061095229321</c:v>
                </c:pt>
                <c:pt idx="834">
                  <c:v>21.153732477347098</c:v>
                </c:pt>
                <c:pt idx="835">
                  <c:v>20.99972130905558</c:v>
                </c:pt>
                <c:pt idx="836">
                  <c:v>21.74150311752874</c:v>
                </c:pt>
                <c:pt idx="837">
                  <c:v>21.227433328996511</c:v>
                </c:pt>
                <c:pt idx="838">
                  <c:v>21.235277589320031</c:v>
                </c:pt>
                <c:pt idx="839">
                  <c:v>21.46517174272363</c:v>
                </c:pt>
                <c:pt idx="840">
                  <c:v>20.36775610627933</c:v>
                </c:pt>
                <c:pt idx="841">
                  <c:v>20.140850163070379</c:v>
                </c:pt>
                <c:pt idx="842">
                  <c:v>19.22373522014647</c:v>
                </c:pt>
                <c:pt idx="843">
                  <c:v>19.324580971110279</c:v>
                </c:pt>
                <c:pt idx="844">
                  <c:v>18.588132023963801</c:v>
                </c:pt>
                <c:pt idx="845">
                  <c:v>18.586194935713959</c:v>
                </c:pt>
                <c:pt idx="846">
                  <c:v>18.055134379828299</c:v>
                </c:pt>
                <c:pt idx="847">
                  <c:v>18.884966770578739</c:v>
                </c:pt>
                <c:pt idx="848">
                  <c:v>19.465134966873642</c:v>
                </c:pt>
                <c:pt idx="849">
                  <c:v>20.487973269973981</c:v>
                </c:pt>
                <c:pt idx="850">
                  <c:v>20.033233104098091</c:v>
                </c:pt>
                <c:pt idx="851">
                  <c:v>19.944069259533219</c:v>
                </c:pt>
                <c:pt idx="852">
                  <c:v>19.272366112099849</c:v>
                </c:pt>
                <c:pt idx="853">
                  <c:v>18.957195662440188</c:v>
                </c:pt>
                <c:pt idx="854">
                  <c:v>18.387011389911109</c:v>
                </c:pt>
                <c:pt idx="855">
                  <c:v>19.400562786974689</c:v>
                </c:pt>
                <c:pt idx="856">
                  <c:v>19.028765007557279</c:v>
                </c:pt>
                <c:pt idx="857">
                  <c:v>18.076369523021668</c:v>
                </c:pt>
                <c:pt idx="858">
                  <c:v>17.159517923158528</c:v>
                </c:pt>
                <c:pt idx="859">
                  <c:v>16.86027404815934</c:v>
                </c:pt>
                <c:pt idx="860">
                  <c:v>17.080650302267561</c:v>
                </c:pt>
                <c:pt idx="861">
                  <c:v>17.096581884422051</c:v>
                </c:pt>
                <c:pt idx="862">
                  <c:v>17.542618607664082</c:v>
                </c:pt>
                <c:pt idx="863">
                  <c:v>17.747530083061701</c:v>
                </c:pt>
                <c:pt idx="864">
                  <c:v>16.371420481042829</c:v>
                </c:pt>
                <c:pt idx="865">
                  <c:v>15.61691474694639</c:v>
                </c:pt>
                <c:pt idx="866">
                  <c:v>15.804338446214359</c:v>
                </c:pt>
                <c:pt idx="867">
                  <c:v>16.13181207418792</c:v>
                </c:pt>
                <c:pt idx="868">
                  <c:v>15.091759059765719</c:v>
                </c:pt>
                <c:pt idx="869">
                  <c:v>14.6045629869362</c:v>
                </c:pt>
                <c:pt idx="870">
                  <c:v>17.07269329103389</c:v>
                </c:pt>
                <c:pt idx="871">
                  <c:v>17.332826182811029</c:v>
                </c:pt>
                <c:pt idx="872">
                  <c:v>17.5388032455357</c:v>
                </c:pt>
                <c:pt idx="873">
                  <c:v>16.274750941152831</c:v>
                </c:pt>
                <c:pt idx="874">
                  <c:v>15.774279197520951</c:v>
                </c:pt>
                <c:pt idx="875">
                  <c:v>15.78742916286439</c:v>
                </c:pt>
                <c:pt idx="876">
                  <c:v>15.18265494690238</c:v>
                </c:pt>
                <c:pt idx="877">
                  <c:v>14.605892896068131</c:v>
                </c:pt>
                <c:pt idx="878">
                  <c:v>14.072003157104639</c:v>
                </c:pt>
                <c:pt idx="879">
                  <c:v>14.30641814640302</c:v>
                </c:pt>
                <c:pt idx="880">
                  <c:v>14.58149366870852</c:v>
                </c:pt>
                <c:pt idx="881">
                  <c:v>14.762283480105291</c:v>
                </c:pt>
                <c:pt idx="882">
                  <c:v>14.023121654520599</c:v>
                </c:pt>
                <c:pt idx="883">
                  <c:v>14.08183393467211</c:v>
                </c:pt>
                <c:pt idx="884">
                  <c:v>14.31719763117184</c:v>
                </c:pt>
                <c:pt idx="885">
                  <c:v>14.12029669487865</c:v>
                </c:pt>
                <c:pt idx="886">
                  <c:v>14.34227628930425</c:v>
                </c:pt>
                <c:pt idx="887">
                  <c:v>14.624391935506271</c:v>
                </c:pt>
                <c:pt idx="888">
                  <c:v>15.53727785784972</c:v>
                </c:pt>
                <c:pt idx="889">
                  <c:v>15.03212690549851</c:v>
                </c:pt>
                <c:pt idx="890">
                  <c:v>15.27542529724056</c:v>
                </c:pt>
                <c:pt idx="891">
                  <c:v>15.56191763694182</c:v>
                </c:pt>
                <c:pt idx="892">
                  <c:v>15.533951898054809</c:v>
                </c:pt>
                <c:pt idx="893">
                  <c:v>14.693557534420989</c:v>
                </c:pt>
                <c:pt idx="894">
                  <c:v>13.88884688562559</c:v>
                </c:pt>
                <c:pt idx="895">
                  <c:v>15.012552643632169</c:v>
                </c:pt>
                <c:pt idx="896">
                  <c:v>14.968630491676629</c:v>
                </c:pt>
                <c:pt idx="897">
                  <c:v>15.3304053485887</c:v>
                </c:pt>
                <c:pt idx="898">
                  <c:v>14.60465799910491</c:v>
                </c:pt>
                <c:pt idx="899">
                  <c:v>14.61047439228402</c:v>
                </c:pt>
                <c:pt idx="900">
                  <c:v>14.296862251948999</c:v>
                </c:pt>
                <c:pt idx="901">
                  <c:v>13.64521926837268</c:v>
                </c:pt>
                <c:pt idx="902">
                  <c:v>14.1681366241821</c:v>
                </c:pt>
                <c:pt idx="903">
                  <c:v>13.61882318312877</c:v>
                </c:pt>
                <c:pt idx="904">
                  <c:v>13.3804637200135</c:v>
                </c:pt>
                <c:pt idx="905">
                  <c:v>13.40997198741937</c:v>
                </c:pt>
                <c:pt idx="906">
                  <c:v>12.777790623829871</c:v>
                </c:pt>
                <c:pt idx="907">
                  <c:v>12.217338236978719</c:v>
                </c:pt>
                <c:pt idx="908">
                  <c:v>12.402768819654341</c:v>
                </c:pt>
                <c:pt idx="909">
                  <c:v>12.26618119177877</c:v>
                </c:pt>
                <c:pt idx="910">
                  <c:v>12.505773166467881</c:v>
                </c:pt>
                <c:pt idx="911">
                  <c:v>12.167795947014319</c:v>
                </c:pt>
                <c:pt idx="912">
                  <c:v>14.15757713009708</c:v>
                </c:pt>
                <c:pt idx="913">
                  <c:v>13.48336021982267</c:v>
                </c:pt>
                <c:pt idx="914">
                  <c:v>14.23941476487264</c:v>
                </c:pt>
                <c:pt idx="915">
                  <c:v>15.73318082973651</c:v>
                </c:pt>
                <c:pt idx="916">
                  <c:v>16.175164566097909</c:v>
                </c:pt>
                <c:pt idx="917">
                  <c:v>15.619812466311791</c:v>
                </c:pt>
                <c:pt idx="918">
                  <c:v>13.98576249074315</c:v>
                </c:pt>
                <c:pt idx="919">
                  <c:v>13.690710982138549</c:v>
                </c:pt>
                <c:pt idx="920">
                  <c:v>13.309050056262491</c:v>
                </c:pt>
                <c:pt idx="921">
                  <c:v>13.467690069846901</c:v>
                </c:pt>
                <c:pt idx="922">
                  <c:v>13.787716894155441</c:v>
                </c:pt>
                <c:pt idx="923">
                  <c:v>14.779218177020629</c:v>
                </c:pt>
                <c:pt idx="924">
                  <c:v>15.28676204437097</c:v>
                </c:pt>
                <c:pt idx="925">
                  <c:v>15.713852159121579</c:v>
                </c:pt>
                <c:pt idx="926">
                  <c:v>15.213415176279691</c:v>
                </c:pt>
                <c:pt idx="927">
                  <c:v>15.87353552905201</c:v>
                </c:pt>
                <c:pt idx="928">
                  <c:v>16.084274915658689</c:v>
                </c:pt>
                <c:pt idx="929">
                  <c:v>16.29081756985893</c:v>
                </c:pt>
                <c:pt idx="930">
                  <c:v>15.553686627238401</c:v>
                </c:pt>
                <c:pt idx="931">
                  <c:v>15.1168980041178</c:v>
                </c:pt>
                <c:pt idx="932">
                  <c:v>15.26930166106464</c:v>
                </c:pt>
                <c:pt idx="933">
                  <c:v>14.39783809084752</c:v>
                </c:pt>
                <c:pt idx="934">
                  <c:v>17.093681824126811</c:v>
                </c:pt>
                <c:pt idx="935">
                  <c:v>16.228204597503851</c:v>
                </c:pt>
                <c:pt idx="936">
                  <c:v>15.42851178688583</c:v>
                </c:pt>
                <c:pt idx="937">
                  <c:v>15.383152152124209</c:v>
                </c:pt>
                <c:pt idx="938">
                  <c:v>17.47705095287283</c:v>
                </c:pt>
                <c:pt idx="939">
                  <c:v>16.444064013127988</c:v>
                </c:pt>
                <c:pt idx="940">
                  <c:v>18.12231996360584</c:v>
                </c:pt>
                <c:pt idx="941">
                  <c:v>23.46748708613433</c:v>
                </c:pt>
                <c:pt idx="942">
                  <c:v>20.81913497331513</c:v>
                </c:pt>
                <c:pt idx="943">
                  <c:v>20.96325435529312</c:v>
                </c:pt>
                <c:pt idx="944">
                  <c:v>22.28626674953928</c:v>
                </c:pt>
                <c:pt idx="945">
                  <c:v>21.89125379989882</c:v>
                </c:pt>
                <c:pt idx="946">
                  <c:v>20.12140385764803</c:v>
                </c:pt>
                <c:pt idx="947">
                  <c:v>19.293128572162619</c:v>
                </c:pt>
                <c:pt idx="948">
                  <c:v>19.759909819560999</c:v>
                </c:pt>
                <c:pt idx="949">
                  <c:v>18.84811417105167</c:v>
                </c:pt>
                <c:pt idx="950">
                  <c:v>18.969655936014689</c:v>
                </c:pt>
                <c:pt idx="951">
                  <c:v>19.147464533817619</c:v>
                </c:pt>
                <c:pt idx="952">
                  <c:v>21.053787376580988</c:v>
                </c:pt>
                <c:pt idx="953">
                  <c:v>20.934443355448568</c:v>
                </c:pt>
                <c:pt idx="954">
                  <c:v>21.879523799480928</c:v>
                </c:pt>
                <c:pt idx="955">
                  <c:v>22.84136271331236</c:v>
                </c:pt>
                <c:pt idx="956">
                  <c:v>23.2367796093944</c:v>
                </c:pt>
                <c:pt idx="957">
                  <c:v>23.911178932705958</c:v>
                </c:pt>
                <c:pt idx="958">
                  <c:v>20.500689451399712</c:v>
                </c:pt>
                <c:pt idx="959">
                  <c:v>23.723325696142709</c:v>
                </c:pt>
                <c:pt idx="960">
                  <c:v>21.19368619871813</c:v>
                </c:pt>
                <c:pt idx="961">
                  <c:v>20.82013503437928</c:v>
                </c:pt>
                <c:pt idx="962">
                  <c:v>20.847063653629441</c:v>
                </c:pt>
                <c:pt idx="963">
                  <c:v>21.566603613130908</c:v>
                </c:pt>
                <c:pt idx="964">
                  <c:v>22.904970907702261</c:v>
                </c:pt>
                <c:pt idx="965">
                  <c:v>28.050362107108551</c:v>
                </c:pt>
                <c:pt idx="966">
                  <c:v>27.54934920616417</c:v>
                </c:pt>
                <c:pt idx="967">
                  <c:v>27.42370110329237</c:v>
                </c:pt>
                <c:pt idx="968">
                  <c:v>29.842855363813332</c:v>
                </c:pt>
                <c:pt idx="969">
                  <c:v>34.890097345295253</c:v>
                </c:pt>
                <c:pt idx="970">
                  <c:v>34.657275621113612</c:v>
                </c:pt>
                <c:pt idx="971">
                  <c:v>37.890422740133907</c:v>
                </c:pt>
                <c:pt idx="972">
                  <c:v>33.4228421529454</c:v>
                </c:pt>
                <c:pt idx="973">
                  <c:v>36.815106652815707</c:v>
                </c:pt>
                <c:pt idx="974">
                  <c:v>34.45232808284203</c:v>
                </c:pt>
                <c:pt idx="975">
                  <c:v>35.999581491625108</c:v>
                </c:pt>
                <c:pt idx="976">
                  <c:v>34.331021646380101</c:v>
                </c:pt>
                <c:pt idx="977">
                  <c:v>33.639737489314278</c:v>
                </c:pt>
                <c:pt idx="978">
                  <c:v>32.535653350054467</c:v>
                </c:pt>
                <c:pt idx="979">
                  <c:v>32.66489034274769</c:v>
                </c:pt>
                <c:pt idx="980">
                  <c:v>31.592197597708179</c:v>
                </c:pt>
                <c:pt idx="981">
                  <c:v>29.358995963210621</c:v>
                </c:pt>
                <c:pt idx="982">
                  <c:v>27.628247341225102</c:v>
                </c:pt>
                <c:pt idx="983">
                  <c:v>26.453036773998839</c:v>
                </c:pt>
                <c:pt idx="984">
                  <c:v>27.35363249138128</c:v>
                </c:pt>
                <c:pt idx="985">
                  <c:v>25.04955589099826</c:v>
                </c:pt>
                <c:pt idx="986">
                  <c:v>23.846321948034529</c:v>
                </c:pt>
                <c:pt idx="987">
                  <c:v>22.693537760810418</c:v>
                </c:pt>
                <c:pt idx="988">
                  <c:v>21.92953792233558</c:v>
                </c:pt>
                <c:pt idx="989">
                  <c:v>20.456070341696751</c:v>
                </c:pt>
                <c:pt idx="990">
                  <c:v>19.705062881310418</c:v>
                </c:pt>
                <c:pt idx="991">
                  <c:v>23.88126764209013</c:v>
                </c:pt>
                <c:pt idx="992">
                  <c:v>23.265976882041539</c:v>
                </c:pt>
                <c:pt idx="993">
                  <c:v>22.977299965565471</c:v>
                </c:pt>
                <c:pt idx="994">
                  <c:v>22.65881803910392</c:v>
                </c:pt>
                <c:pt idx="995">
                  <c:v>22.341385140423</c:v>
                </c:pt>
                <c:pt idx="996">
                  <c:v>21.711836293870739</c:v>
                </c:pt>
                <c:pt idx="997">
                  <c:v>20.629095086001389</c:v>
                </c:pt>
                <c:pt idx="998">
                  <c:v>19.957000196329961</c:v>
                </c:pt>
                <c:pt idx="999">
                  <c:v>18.427004454576299</c:v>
                </c:pt>
                <c:pt idx="1000">
                  <c:v>18.49277438382941</c:v>
                </c:pt>
                <c:pt idx="1001">
                  <c:v>19.320800739443719</c:v>
                </c:pt>
                <c:pt idx="1002">
                  <c:v>21.412309155716859</c:v>
                </c:pt>
                <c:pt idx="1003">
                  <c:v>20.61595387727569</c:v>
                </c:pt>
                <c:pt idx="1004">
                  <c:v>19.542764711700048</c:v>
                </c:pt>
                <c:pt idx="1005">
                  <c:v>18.635906559774138</c:v>
                </c:pt>
                <c:pt idx="1006">
                  <c:v>18.96421893750453</c:v>
                </c:pt>
                <c:pt idx="1007">
                  <c:v>19.14020156701325</c:v>
                </c:pt>
                <c:pt idx="1008">
                  <c:v>18.960344231355801</c:v>
                </c:pt>
                <c:pt idx="1009">
                  <c:v>19.089858638760951</c:v>
                </c:pt>
                <c:pt idx="1010">
                  <c:v>18.55812948342723</c:v>
                </c:pt>
                <c:pt idx="1011">
                  <c:v>18.224408774927031</c:v>
                </c:pt>
                <c:pt idx="1012">
                  <c:v>17.408808746136149</c:v>
                </c:pt>
                <c:pt idx="1013">
                  <c:v>18.889600502137359</c:v>
                </c:pt>
                <c:pt idx="1014">
                  <c:v>19.74201202079507</c:v>
                </c:pt>
                <c:pt idx="1015">
                  <c:v>22.673923582816052</c:v>
                </c:pt>
                <c:pt idx="1016">
                  <c:v>19.239370494174331</c:v>
                </c:pt>
                <c:pt idx="1017">
                  <c:v>18.588411759069619</c:v>
                </c:pt>
                <c:pt idx="1018">
                  <c:v>19.509392275931251</c:v>
                </c:pt>
                <c:pt idx="1019">
                  <c:v>19.149000811980251</c:v>
                </c:pt>
                <c:pt idx="1020">
                  <c:v>19.408546262760989</c:v>
                </c:pt>
                <c:pt idx="1021">
                  <c:v>17.265230200435791</c:v>
                </c:pt>
                <c:pt idx="1022">
                  <c:v>17.357714047713142</c:v>
                </c:pt>
                <c:pt idx="1023">
                  <c:v>17.928852217298651</c:v>
                </c:pt>
                <c:pt idx="1024">
                  <c:v>18.110168256284311</c:v>
                </c:pt>
                <c:pt idx="1025">
                  <c:v>17.35594902982006</c:v>
                </c:pt>
                <c:pt idx="1026">
                  <c:v>17.351620997381911</c:v>
                </c:pt>
                <c:pt idx="1027">
                  <c:v>17.599597508964202</c:v>
                </c:pt>
                <c:pt idx="1028">
                  <c:v>17.812012828074071</c:v>
                </c:pt>
                <c:pt idx="1029">
                  <c:v>18.34121906360992</c:v>
                </c:pt>
                <c:pt idx="1030">
                  <c:v>17.907873791639659</c:v>
                </c:pt>
                <c:pt idx="1031">
                  <c:v>19.262135770343569</c:v>
                </c:pt>
                <c:pt idx="1032">
                  <c:v>17.50502484068738</c:v>
                </c:pt>
                <c:pt idx="1033">
                  <c:v>19.241955128093871</c:v>
                </c:pt>
                <c:pt idx="1034">
                  <c:v>19.24333046000438</c:v>
                </c:pt>
                <c:pt idx="1035">
                  <c:v>19.367343412350639</c:v>
                </c:pt>
                <c:pt idx="1036">
                  <c:v>19.74235500738687</c:v>
                </c:pt>
                <c:pt idx="1037">
                  <c:v>20.12905335597582</c:v>
                </c:pt>
                <c:pt idx="1038">
                  <c:v>19.821433866219749</c:v>
                </c:pt>
                <c:pt idx="1039">
                  <c:v>18.406287869083499</c:v>
                </c:pt>
                <c:pt idx="1040">
                  <c:v>17.53660410449486</c:v>
                </c:pt>
                <c:pt idx="1041">
                  <c:v>18.492339084293381</c:v>
                </c:pt>
                <c:pt idx="1042">
                  <c:v>22.216094066840309</c:v>
                </c:pt>
                <c:pt idx="1043">
                  <c:v>24.20248777916127</c:v>
                </c:pt>
                <c:pt idx="1044">
                  <c:v>32.575674321626579</c:v>
                </c:pt>
                <c:pt idx="1045">
                  <c:v>31.955067069885839</c:v>
                </c:pt>
                <c:pt idx="1046">
                  <c:v>33.007560651660199</c:v>
                </c:pt>
                <c:pt idx="1047">
                  <c:v>33.067158790329763</c:v>
                </c:pt>
                <c:pt idx="1048">
                  <c:v>32.054063608065299</c:v>
                </c:pt>
                <c:pt idx="1049">
                  <c:v>29.100192613700742</c:v>
                </c:pt>
                <c:pt idx="1050">
                  <c:v>29.19495068695473</c:v>
                </c:pt>
                <c:pt idx="1051">
                  <c:v>34.675337518912229</c:v>
                </c:pt>
                <c:pt idx="1052">
                  <c:v>36.874447139525479</c:v>
                </c:pt>
                <c:pt idx="1053">
                  <c:v>31.950037661262741</c:v>
                </c:pt>
                <c:pt idx="1054">
                  <c:v>31.208939328693539</c:v>
                </c:pt>
                <c:pt idx="1055">
                  <c:v>29.36115938758487</c:v>
                </c:pt>
                <c:pt idx="1056">
                  <c:v>28.707710923336379</c:v>
                </c:pt>
                <c:pt idx="1057">
                  <c:v>29.32573161365378</c:v>
                </c:pt>
                <c:pt idx="1058">
                  <c:v>32.026558018148549</c:v>
                </c:pt>
                <c:pt idx="1059">
                  <c:v>29.217757537932371</c:v>
                </c:pt>
                <c:pt idx="1060">
                  <c:v>28.67054452424669</c:v>
                </c:pt>
                <c:pt idx="1061">
                  <c:v>29.207883938511021</c:v>
                </c:pt>
                <c:pt idx="1062">
                  <c:v>29.39743408605262</c:v>
                </c:pt>
                <c:pt idx="1063">
                  <c:v>30.44637243115816</c:v>
                </c:pt>
                <c:pt idx="1064">
                  <c:v>31.361535639641509</c:v>
                </c:pt>
                <c:pt idx="1065">
                  <c:v>30.930921061166899</c:v>
                </c:pt>
                <c:pt idx="1066">
                  <c:v>31.027813237001929</c:v>
                </c:pt>
                <c:pt idx="1067">
                  <c:v>31.153387734884351</c:v>
                </c:pt>
                <c:pt idx="1068">
                  <c:v>30.321429448787381</c:v>
                </c:pt>
                <c:pt idx="1069">
                  <c:v>30.31127959436693</c:v>
                </c:pt>
                <c:pt idx="1070">
                  <c:v>29.357079437008409</c:v>
                </c:pt>
                <c:pt idx="1071">
                  <c:v>28.993471655073009</c:v>
                </c:pt>
                <c:pt idx="1072">
                  <c:v>28.524625856667789</c:v>
                </c:pt>
                <c:pt idx="1073">
                  <c:v>27.903451340814541</c:v>
                </c:pt>
                <c:pt idx="1074">
                  <c:v>30.740652026772249</c:v>
                </c:pt>
                <c:pt idx="1075">
                  <c:v>30.451447740425781</c:v>
                </c:pt>
                <c:pt idx="1076">
                  <c:v>31.78520312720358</c:v>
                </c:pt>
                <c:pt idx="1077">
                  <c:v>30.70781367897154</c:v>
                </c:pt>
                <c:pt idx="1078">
                  <c:v>30.120294152285538</c:v>
                </c:pt>
                <c:pt idx="1079">
                  <c:v>27.900487215006571</c:v>
                </c:pt>
                <c:pt idx="1080">
                  <c:v>27.27812816770416</c:v>
                </c:pt>
                <c:pt idx="1081">
                  <c:v>28.27729594331225</c:v>
                </c:pt>
                <c:pt idx="1082">
                  <c:v>26.13749480178636</c:v>
                </c:pt>
                <c:pt idx="1083">
                  <c:v>26.58042458279774</c:v>
                </c:pt>
                <c:pt idx="1084">
                  <c:v>26.286731019330119</c:v>
                </c:pt>
                <c:pt idx="1085">
                  <c:v>26.179275826559891</c:v>
                </c:pt>
                <c:pt idx="1086">
                  <c:v>26.616189754321528</c:v>
                </c:pt>
                <c:pt idx="1087">
                  <c:v>26.708026147688742</c:v>
                </c:pt>
                <c:pt idx="1088">
                  <c:v>26.571577977295512</c:v>
                </c:pt>
                <c:pt idx="1089">
                  <c:v>26.90666241482057</c:v>
                </c:pt>
                <c:pt idx="1090">
                  <c:v>26.27400425823518</c:v>
                </c:pt>
                <c:pt idx="1091">
                  <c:v>27.04889536677468</c:v>
                </c:pt>
                <c:pt idx="1092">
                  <c:v>25.34117721449897</c:v>
                </c:pt>
                <c:pt idx="1093">
                  <c:v>24.159201561548631</c:v>
                </c:pt>
                <c:pt idx="1094">
                  <c:v>22.87442436281346</c:v>
                </c:pt>
                <c:pt idx="1095">
                  <c:v>22.40037266147694</c:v>
                </c:pt>
                <c:pt idx="1096">
                  <c:v>25.611960430009329</c:v>
                </c:pt>
                <c:pt idx="1097">
                  <c:v>25.36010735824307</c:v>
                </c:pt>
                <c:pt idx="1098">
                  <c:v>26.51253328673835</c:v>
                </c:pt>
                <c:pt idx="1099">
                  <c:v>25.968085523333521</c:v>
                </c:pt>
                <c:pt idx="1100">
                  <c:v>25.88212199978793</c:v>
                </c:pt>
                <c:pt idx="1101">
                  <c:v>24.85117731728953</c:v>
                </c:pt>
                <c:pt idx="1102">
                  <c:v>25.7302305642189</c:v>
                </c:pt>
                <c:pt idx="1103">
                  <c:v>25.72538699344161</c:v>
                </c:pt>
                <c:pt idx="1104">
                  <c:v>25.80557416762425</c:v>
                </c:pt>
                <c:pt idx="1105">
                  <c:v>26.955455258500638</c:v>
                </c:pt>
                <c:pt idx="1106">
                  <c:v>27.50452734421696</c:v>
                </c:pt>
                <c:pt idx="1107">
                  <c:v>22.448810530326</c:v>
                </c:pt>
                <c:pt idx="1108">
                  <c:v>24.223265402418519</c:v>
                </c:pt>
                <c:pt idx="1109">
                  <c:v>24.08230760813775</c:v>
                </c:pt>
                <c:pt idx="1110">
                  <c:v>23.343479712151211</c:v>
                </c:pt>
                <c:pt idx="1111">
                  <c:v>23.836209258322121</c:v>
                </c:pt>
                <c:pt idx="1112">
                  <c:v>23.67294744296585</c:v>
                </c:pt>
                <c:pt idx="1113">
                  <c:v>22.843606726403909</c:v>
                </c:pt>
                <c:pt idx="1114">
                  <c:v>22.211776073212281</c:v>
                </c:pt>
                <c:pt idx="1115">
                  <c:v>24.20937019084268</c:v>
                </c:pt>
                <c:pt idx="1116">
                  <c:v>24.042301747667508</c:v>
                </c:pt>
                <c:pt idx="1117">
                  <c:v>24.115991682105282</c:v>
                </c:pt>
                <c:pt idx="1118">
                  <c:v>23.010969337976078</c:v>
                </c:pt>
                <c:pt idx="1119">
                  <c:v>23.23959377255013</c:v>
                </c:pt>
                <c:pt idx="1120">
                  <c:v>22.816553803467599</c:v>
                </c:pt>
                <c:pt idx="1121">
                  <c:v>22.59913727981569</c:v>
                </c:pt>
                <c:pt idx="1122">
                  <c:v>23.491191956302512</c:v>
                </c:pt>
                <c:pt idx="1123">
                  <c:v>24.294368086822821</c:v>
                </c:pt>
                <c:pt idx="1124">
                  <c:v>24.24986783805851</c:v>
                </c:pt>
                <c:pt idx="1125">
                  <c:v>22.69653896811424</c:v>
                </c:pt>
                <c:pt idx="1126">
                  <c:v>22.143404903181811</c:v>
                </c:pt>
                <c:pt idx="1127">
                  <c:v>21.76197739559035</c:v>
                </c:pt>
                <c:pt idx="1128">
                  <c:v>22.890944658916059</c:v>
                </c:pt>
                <c:pt idx="1129">
                  <c:v>22.733896506882878</c:v>
                </c:pt>
                <c:pt idx="1130">
                  <c:v>22.200075173204048</c:v>
                </c:pt>
                <c:pt idx="1131">
                  <c:v>21.729731419418631</c:v>
                </c:pt>
                <c:pt idx="1132">
                  <c:v>21.04418744786296</c:v>
                </c:pt>
                <c:pt idx="1133">
                  <c:v>20.99726068378467</c:v>
                </c:pt>
                <c:pt idx="1134">
                  <c:v>20.70021152363557</c:v>
                </c:pt>
                <c:pt idx="1135">
                  <c:v>23.01364508333587</c:v>
                </c:pt>
                <c:pt idx="1136">
                  <c:v>23.013309759800709</c:v>
                </c:pt>
                <c:pt idx="1137">
                  <c:v>21.665708896591209</c:v>
                </c:pt>
                <c:pt idx="1138">
                  <c:v>21.955319254261649</c:v>
                </c:pt>
                <c:pt idx="1139">
                  <c:v>21.162240647671581</c:v>
                </c:pt>
                <c:pt idx="1140">
                  <c:v>20.808332248803321</c:v>
                </c:pt>
                <c:pt idx="1141">
                  <c:v>19.662028000966991</c:v>
                </c:pt>
                <c:pt idx="1142">
                  <c:v>20.367125485230272</c:v>
                </c:pt>
                <c:pt idx="1143">
                  <c:v>20.542446002447271</c:v>
                </c:pt>
                <c:pt idx="1144">
                  <c:v>22.931993463092589</c:v>
                </c:pt>
                <c:pt idx="1145">
                  <c:v>23.62676367810008</c:v>
                </c:pt>
                <c:pt idx="1146">
                  <c:v>23.363193494906049</c:v>
                </c:pt>
                <c:pt idx="1147">
                  <c:v>22.5247411698791</c:v>
                </c:pt>
                <c:pt idx="1148">
                  <c:v>21.36058090433168</c:v>
                </c:pt>
                <c:pt idx="1149">
                  <c:v>20.32594436376435</c:v>
                </c:pt>
                <c:pt idx="1150">
                  <c:v>19.651181031431779</c:v>
                </c:pt>
                <c:pt idx="1151">
                  <c:v>18.745733880843812</c:v>
                </c:pt>
                <c:pt idx="1152">
                  <c:v>19.27655676492175</c:v>
                </c:pt>
                <c:pt idx="1153">
                  <c:v>18.516943193677179</c:v>
                </c:pt>
                <c:pt idx="1154">
                  <c:v>18.472803111500919</c:v>
                </c:pt>
                <c:pt idx="1155">
                  <c:v>21.936201923851652</c:v>
                </c:pt>
                <c:pt idx="1156">
                  <c:v>22.066231245114121</c:v>
                </c:pt>
                <c:pt idx="1157">
                  <c:v>21.147334735799529</c:v>
                </c:pt>
                <c:pt idx="1158">
                  <c:v>21.629198359418329</c:v>
                </c:pt>
                <c:pt idx="1159">
                  <c:v>21.057410122506329</c:v>
                </c:pt>
                <c:pt idx="1160">
                  <c:v>20.648635938159831</c:v>
                </c:pt>
                <c:pt idx="1161">
                  <c:v>19.488301655812979</c:v>
                </c:pt>
                <c:pt idx="1162">
                  <c:v>18.999229746116011</c:v>
                </c:pt>
                <c:pt idx="1163">
                  <c:v>18.502444072094718</c:v>
                </c:pt>
                <c:pt idx="1164">
                  <c:v>18.928182366355099</c:v>
                </c:pt>
                <c:pt idx="1165">
                  <c:v>18.982090066192661</c:v>
                </c:pt>
                <c:pt idx="1166">
                  <c:v>20.058617303667379</c:v>
                </c:pt>
                <c:pt idx="1167">
                  <c:v>20.685229928695861</c:v>
                </c:pt>
                <c:pt idx="1168">
                  <c:v>20.650444476174801</c:v>
                </c:pt>
                <c:pt idx="1169">
                  <c:v>22.26722376161759</c:v>
                </c:pt>
                <c:pt idx="1170">
                  <c:v>25.348979233660181</c:v>
                </c:pt>
                <c:pt idx="1171">
                  <c:v>25.444737930772831</c:v>
                </c:pt>
                <c:pt idx="1172">
                  <c:v>23.173195746605519</c:v>
                </c:pt>
                <c:pt idx="1173">
                  <c:v>24.478496626594641</c:v>
                </c:pt>
                <c:pt idx="1174">
                  <c:v>24.222310673292519</c:v>
                </c:pt>
                <c:pt idx="1175">
                  <c:v>23.86651353503829</c:v>
                </c:pt>
                <c:pt idx="1176">
                  <c:v>22.066867438759171</c:v>
                </c:pt>
                <c:pt idx="1177">
                  <c:v>22.424011969394801</c:v>
                </c:pt>
                <c:pt idx="1178">
                  <c:v>22.602378128992129</c:v>
                </c:pt>
                <c:pt idx="1179">
                  <c:v>24.315748142359329</c:v>
                </c:pt>
                <c:pt idx="1180">
                  <c:v>25.023125671361861</c:v>
                </c:pt>
                <c:pt idx="1181">
                  <c:v>23.57170316946706</c:v>
                </c:pt>
                <c:pt idx="1182">
                  <c:v>23.281271184680548</c:v>
                </c:pt>
                <c:pt idx="1183">
                  <c:v>23.132794369580161</c:v>
                </c:pt>
                <c:pt idx="1184">
                  <c:v>22.655763243320461</c:v>
                </c:pt>
                <c:pt idx="1185">
                  <c:v>24.169812546479079</c:v>
                </c:pt>
                <c:pt idx="1186">
                  <c:v>24.335989680997351</c:v>
                </c:pt>
                <c:pt idx="1187">
                  <c:v>24.725508378653711</c:v>
                </c:pt>
                <c:pt idx="1188">
                  <c:v>22.968525066565441</c:v>
                </c:pt>
                <c:pt idx="1189">
                  <c:v>21.762769003877221</c:v>
                </c:pt>
                <c:pt idx="1190">
                  <c:v>22.766712511619019</c:v>
                </c:pt>
                <c:pt idx="1191">
                  <c:v>23.171358481258579</c:v>
                </c:pt>
                <c:pt idx="1192">
                  <c:v>23.52029461237354</c:v>
                </c:pt>
                <c:pt idx="1193">
                  <c:v>23.057626445521691</c:v>
                </c:pt>
                <c:pt idx="1194">
                  <c:v>24.396456765330541</c:v>
                </c:pt>
                <c:pt idx="1195">
                  <c:v>25.60228567248895</c:v>
                </c:pt>
                <c:pt idx="1196">
                  <c:v>23.021000212743761</c:v>
                </c:pt>
                <c:pt idx="1197">
                  <c:v>24.210386103705201</c:v>
                </c:pt>
                <c:pt idx="1198">
                  <c:v>23.640427781164981</c:v>
                </c:pt>
                <c:pt idx="1199">
                  <c:v>24.4282646352241</c:v>
                </c:pt>
                <c:pt idx="1200">
                  <c:v>22.874318378082481</c:v>
                </c:pt>
                <c:pt idx="1201">
                  <c:v>25.514235865035921</c:v>
                </c:pt>
                <c:pt idx="1202">
                  <c:v>23.93102283026623</c:v>
                </c:pt>
                <c:pt idx="1203">
                  <c:v>23.296438034922041</c:v>
                </c:pt>
                <c:pt idx="1204">
                  <c:v>23.066535716829861</c:v>
                </c:pt>
                <c:pt idx="1205">
                  <c:v>24.848792204272218</c:v>
                </c:pt>
                <c:pt idx="1206">
                  <c:v>25.530733253704</c:v>
                </c:pt>
                <c:pt idx="1207">
                  <c:v>26.898482880295479</c:v>
                </c:pt>
                <c:pt idx="1208">
                  <c:v>26.60898381298281</c:v>
                </c:pt>
                <c:pt idx="1209">
                  <c:v>25.89729164538323</c:v>
                </c:pt>
                <c:pt idx="1210">
                  <c:v>23.928591087497789</c:v>
                </c:pt>
                <c:pt idx="1211">
                  <c:v>22.51372926537265</c:v>
                </c:pt>
                <c:pt idx="1212">
                  <c:v>23.263067875938681</c:v>
                </c:pt>
                <c:pt idx="1213">
                  <c:v>22.553518574821261</c:v>
                </c:pt>
                <c:pt idx="1214">
                  <c:v>22.705731859037751</c:v>
                </c:pt>
                <c:pt idx="1215">
                  <c:v>22.409108911458318</c:v>
                </c:pt>
                <c:pt idx="1216">
                  <c:v>22.896828546969839</c:v>
                </c:pt>
                <c:pt idx="1217">
                  <c:v>22.196230849567758</c:v>
                </c:pt>
                <c:pt idx="1218">
                  <c:v>21.418161154056591</c:v>
                </c:pt>
                <c:pt idx="1219">
                  <c:v>21.919388496859721</c:v>
                </c:pt>
                <c:pt idx="1220">
                  <c:v>21.053955795155449</c:v>
                </c:pt>
                <c:pt idx="1221">
                  <c:v>20.073666932167249</c:v>
                </c:pt>
                <c:pt idx="1222">
                  <c:v>20.10056023662268</c:v>
                </c:pt>
                <c:pt idx="1223">
                  <c:v>20.110953604336689</c:v>
                </c:pt>
                <c:pt idx="1224">
                  <c:v>19.782802238224779</c:v>
                </c:pt>
                <c:pt idx="1225">
                  <c:v>19.0985885190026</c:v>
                </c:pt>
                <c:pt idx="1226">
                  <c:v>19.254528236100299</c:v>
                </c:pt>
                <c:pt idx="1227">
                  <c:v>19.541616169395802</c:v>
                </c:pt>
                <c:pt idx="1228">
                  <c:v>18.8560259805501</c:v>
                </c:pt>
                <c:pt idx="1229">
                  <c:v>18.519972989896701</c:v>
                </c:pt>
                <c:pt idx="1230">
                  <c:v>18.369609752478102</c:v>
                </c:pt>
                <c:pt idx="1231">
                  <c:v>19.2861370906909</c:v>
                </c:pt>
                <c:pt idx="1232">
                  <c:v>19.249168587194099</c:v>
                </c:pt>
                <c:pt idx="1233">
                  <c:v>19.1263844971987</c:v>
                </c:pt>
                <c:pt idx="1234">
                  <c:v>19.241129277799701</c:v>
                </c:pt>
                <c:pt idx="1235">
                  <c:v>18.982789172103999</c:v>
                </c:pt>
                <c:pt idx="1236">
                  <c:v>19.463454983592001</c:v>
                </c:pt>
                <c:pt idx="1237">
                  <c:v>19.516767170036498</c:v>
                </c:pt>
                <c:pt idx="1238">
                  <c:v>19.710788019121502</c:v>
                </c:pt>
                <c:pt idx="1239">
                  <c:v>19.6614818068186</c:v>
                </c:pt>
                <c:pt idx="1240">
                  <c:v>19.723629414016798</c:v>
                </c:pt>
                <c:pt idx="1241">
                  <c:v>20.418153580558499</c:v>
                </c:pt>
                <c:pt idx="1242">
                  <c:v>20.140797176437399</c:v>
                </c:pt>
                <c:pt idx="1243">
                  <c:v>19.7960579140045</c:v>
                </c:pt>
                <c:pt idx="1244">
                  <c:v>19.6729289455483</c:v>
                </c:pt>
                <c:pt idx="1245">
                  <c:v>19.4029029211592</c:v>
                </c:pt>
                <c:pt idx="1246">
                  <c:v>19.3353370280783</c:v>
                </c:pt>
                <c:pt idx="1247">
                  <c:v>19.108709186548801</c:v>
                </c:pt>
                <c:pt idx="1248">
                  <c:v>18.984888574459301</c:v>
                </c:pt>
                <c:pt idx="1249">
                  <c:v>19.279681313207</c:v>
                </c:pt>
                <c:pt idx="1250">
                  <c:v>19.509179112931299</c:v>
                </c:pt>
                <c:pt idx="1251">
                  <c:v>19.568608095217499</c:v>
                </c:pt>
                <c:pt idx="1252">
                  <c:v>19.884486882808002</c:v>
                </c:pt>
                <c:pt idx="1253">
                  <c:v>20.682117784035899</c:v>
                </c:pt>
                <c:pt idx="1254">
                  <c:v>20.314985844720098</c:v>
                </c:pt>
                <c:pt idx="1255">
                  <c:v>19.6770649634527</c:v>
                </c:pt>
                <c:pt idx="1256">
                  <c:v>19.700618659312799</c:v>
                </c:pt>
                <c:pt idx="1257">
                  <c:v>19.362154389917901</c:v>
                </c:pt>
                <c:pt idx="1258">
                  <c:v>19.3945625848168</c:v>
                </c:pt>
                <c:pt idx="1259">
                  <c:v>21.461416619329501</c:v>
                </c:pt>
                <c:pt idx="1260">
                  <c:v>21.4593750764361</c:v>
                </c:pt>
                <c:pt idx="1261">
                  <c:v>22.429264558678799</c:v>
                </c:pt>
                <c:pt idx="1262">
                  <c:v>22.237297694747902</c:v>
                </c:pt>
                <c:pt idx="1263">
                  <c:v>22.711806223875701</c:v>
                </c:pt>
                <c:pt idx="1264">
                  <c:v>22.485273177537501</c:v>
                </c:pt>
                <c:pt idx="1265">
                  <c:v>21.090286645155601</c:v>
                </c:pt>
                <c:pt idx="1266">
                  <c:v>20.303541387193199</c:v>
                </c:pt>
                <c:pt idx="1267">
                  <c:v>20.4666693822846</c:v>
                </c:pt>
                <c:pt idx="1268">
                  <c:v>21.034771583852699</c:v>
                </c:pt>
                <c:pt idx="1269">
                  <c:v>21.587619164049599</c:v>
                </c:pt>
                <c:pt idx="1270">
                  <c:v>20.738145468969801</c:v>
                </c:pt>
                <c:pt idx="1271">
                  <c:v>19.958929167005302</c:v>
                </c:pt>
                <c:pt idx="1272">
                  <c:v>20.1176493404718</c:v>
                </c:pt>
                <c:pt idx="1273">
                  <c:v>19.785313789097501</c:v>
                </c:pt>
                <c:pt idx="1274">
                  <c:v>20.6380519593903</c:v>
                </c:pt>
                <c:pt idx="1275">
                  <c:v>19.709083858158898</c:v>
                </c:pt>
                <c:pt idx="1276">
                  <c:v>19.774456442504299</c:v>
                </c:pt>
                <c:pt idx="1277">
                  <c:v>20.206151972951002</c:v>
                </c:pt>
                <c:pt idx="1278">
                  <c:v>19.827868546044002</c:v>
                </c:pt>
                <c:pt idx="1279">
                  <c:v>18.505869941709001</c:v>
                </c:pt>
                <c:pt idx="1280">
                  <c:v>17.760250362744099</c:v>
                </c:pt>
                <c:pt idx="1281">
                  <c:v>18.0153367486806</c:v>
                </c:pt>
                <c:pt idx="1282">
                  <c:v>18.315187162158601</c:v>
                </c:pt>
                <c:pt idx="1283">
                  <c:v>18.095482984283201</c:v>
                </c:pt>
                <c:pt idx="1284">
                  <c:v>18.638391034542899</c:v>
                </c:pt>
                <c:pt idx="1285">
                  <c:v>18.280252046614098</c:v>
                </c:pt>
                <c:pt idx="1286">
                  <c:v>19.000400568913999</c:v>
                </c:pt>
                <c:pt idx="1287">
                  <c:v>18.2682685382422</c:v>
                </c:pt>
                <c:pt idx="1288">
                  <c:v>18.028050170034799</c:v>
                </c:pt>
                <c:pt idx="1289">
                  <c:v>17.609935980412899</c:v>
                </c:pt>
                <c:pt idx="1290">
                  <c:v>18.4559348069428</c:v>
                </c:pt>
                <c:pt idx="1291">
                  <c:v>18.4317206696123</c:v>
                </c:pt>
                <c:pt idx="1292">
                  <c:v>18.930513393282698</c:v>
                </c:pt>
                <c:pt idx="1293">
                  <c:v>18.6267314389898</c:v>
                </c:pt>
                <c:pt idx="1294">
                  <c:v>18.6819863067516</c:v>
                </c:pt>
                <c:pt idx="1295">
                  <c:v>18.306133667223001</c:v>
                </c:pt>
                <c:pt idx="1296">
                  <c:v>18.425162437045898</c:v>
                </c:pt>
                <c:pt idx="1297">
                  <c:v>18.562415167788501</c:v>
                </c:pt>
                <c:pt idx="1298">
                  <c:v>18.9429939248874</c:v>
                </c:pt>
                <c:pt idx="1299">
                  <c:v>18.299920771822801</c:v>
                </c:pt>
                <c:pt idx="1300">
                  <c:v>18.3039828601122</c:v>
                </c:pt>
                <c:pt idx="1301">
                  <c:v>18.2151972707324</c:v>
                </c:pt>
                <c:pt idx="1302">
                  <c:v>21.6863395233487</c:v>
                </c:pt>
                <c:pt idx="1303">
                  <c:v>23.619821012813901</c:v>
                </c:pt>
                <c:pt idx="1304">
                  <c:v>22.4118046313754</c:v>
                </c:pt>
                <c:pt idx="1305">
                  <c:v>20.807711535190599</c:v>
                </c:pt>
                <c:pt idx="1306">
                  <c:v>20.262283106611701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34-471B-889A-3A7F0667D155}"/>
            </c:ext>
          </c:extLst>
        </c:ser>
        <c:ser>
          <c:idx val="1"/>
          <c:order val="1"/>
          <c:tx>
            <c:strRef>
              <c:f>vix!$C$1</c:f>
              <c:strCache>
                <c:ptCount val="1"/>
                <c:pt idx="0">
                  <c:v>Vix(实盘操作)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vix!$A$2:$A$1308</c:f>
              <c:numCache>
                <c:formatCode>yyyy\-mm\-dd\ hh:mm:ss</c:formatCode>
                <c:ptCount val="1307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42457</c:v>
                </c:pt>
                <c:pt idx="6">
                  <c:v>42458</c:v>
                </c:pt>
                <c:pt idx="7">
                  <c:v>42459</c:v>
                </c:pt>
                <c:pt idx="8">
                  <c:v>42460</c:v>
                </c:pt>
                <c:pt idx="9">
                  <c:v>42461</c:v>
                </c:pt>
                <c:pt idx="10">
                  <c:v>42465</c:v>
                </c:pt>
                <c:pt idx="11">
                  <c:v>42466</c:v>
                </c:pt>
                <c:pt idx="12">
                  <c:v>42467</c:v>
                </c:pt>
                <c:pt idx="13">
                  <c:v>42468</c:v>
                </c:pt>
                <c:pt idx="14">
                  <c:v>42471</c:v>
                </c:pt>
                <c:pt idx="15">
                  <c:v>42472</c:v>
                </c:pt>
                <c:pt idx="16">
                  <c:v>42473</c:v>
                </c:pt>
                <c:pt idx="17">
                  <c:v>42474</c:v>
                </c:pt>
                <c:pt idx="18">
                  <c:v>42475</c:v>
                </c:pt>
                <c:pt idx="19">
                  <c:v>42478</c:v>
                </c:pt>
                <c:pt idx="20">
                  <c:v>42479</c:v>
                </c:pt>
                <c:pt idx="21">
                  <c:v>42480</c:v>
                </c:pt>
                <c:pt idx="22">
                  <c:v>42481</c:v>
                </c:pt>
                <c:pt idx="23">
                  <c:v>42482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42493</c:v>
                </c:pt>
                <c:pt idx="30">
                  <c:v>42494</c:v>
                </c:pt>
                <c:pt idx="31">
                  <c:v>42495</c:v>
                </c:pt>
                <c:pt idx="32">
                  <c:v>42496</c:v>
                </c:pt>
                <c:pt idx="33">
                  <c:v>42499</c:v>
                </c:pt>
                <c:pt idx="34">
                  <c:v>42500</c:v>
                </c:pt>
                <c:pt idx="35">
                  <c:v>42501</c:v>
                </c:pt>
                <c:pt idx="36">
                  <c:v>42502</c:v>
                </c:pt>
                <c:pt idx="37">
                  <c:v>42503</c:v>
                </c:pt>
                <c:pt idx="38">
                  <c:v>42506</c:v>
                </c:pt>
                <c:pt idx="39">
                  <c:v>42507</c:v>
                </c:pt>
                <c:pt idx="40">
                  <c:v>42508</c:v>
                </c:pt>
                <c:pt idx="41">
                  <c:v>42509</c:v>
                </c:pt>
                <c:pt idx="42">
                  <c:v>42510</c:v>
                </c:pt>
                <c:pt idx="43">
                  <c:v>42513</c:v>
                </c:pt>
                <c:pt idx="44">
                  <c:v>42514</c:v>
                </c:pt>
                <c:pt idx="45">
                  <c:v>42515</c:v>
                </c:pt>
                <c:pt idx="46">
                  <c:v>42516</c:v>
                </c:pt>
                <c:pt idx="47">
                  <c:v>42517</c:v>
                </c:pt>
                <c:pt idx="48">
                  <c:v>42520</c:v>
                </c:pt>
                <c:pt idx="49">
                  <c:v>42521</c:v>
                </c:pt>
                <c:pt idx="50">
                  <c:v>42522</c:v>
                </c:pt>
                <c:pt idx="51">
                  <c:v>42523</c:v>
                </c:pt>
                <c:pt idx="52">
                  <c:v>42524</c:v>
                </c:pt>
                <c:pt idx="53">
                  <c:v>42527</c:v>
                </c:pt>
                <c:pt idx="54">
                  <c:v>42528</c:v>
                </c:pt>
                <c:pt idx="55">
                  <c:v>42529</c:v>
                </c:pt>
                <c:pt idx="56">
                  <c:v>42534</c:v>
                </c:pt>
                <c:pt idx="57">
                  <c:v>42535</c:v>
                </c:pt>
                <c:pt idx="58">
                  <c:v>42536</c:v>
                </c:pt>
                <c:pt idx="59">
                  <c:v>42537</c:v>
                </c:pt>
                <c:pt idx="60">
                  <c:v>42538</c:v>
                </c:pt>
                <c:pt idx="61">
                  <c:v>42541</c:v>
                </c:pt>
                <c:pt idx="62">
                  <c:v>42542</c:v>
                </c:pt>
                <c:pt idx="63">
                  <c:v>42543</c:v>
                </c:pt>
                <c:pt idx="64">
                  <c:v>42544</c:v>
                </c:pt>
                <c:pt idx="65">
                  <c:v>42545</c:v>
                </c:pt>
                <c:pt idx="66">
                  <c:v>42548</c:v>
                </c:pt>
                <c:pt idx="67">
                  <c:v>42549</c:v>
                </c:pt>
                <c:pt idx="68">
                  <c:v>42550</c:v>
                </c:pt>
                <c:pt idx="69">
                  <c:v>42551</c:v>
                </c:pt>
                <c:pt idx="70">
                  <c:v>42552</c:v>
                </c:pt>
                <c:pt idx="71">
                  <c:v>42555</c:v>
                </c:pt>
                <c:pt idx="72">
                  <c:v>42556</c:v>
                </c:pt>
                <c:pt idx="73">
                  <c:v>42557</c:v>
                </c:pt>
                <c:pt idx="74">
                  <c:v>42558</c:v>
                </c:pt>
                <c:pt idx="75">
                  <c:v>42559</c:v>
                </c:pt>
                <c:pt idx="76">
                  <c:v>42562</c:v>
                </c:pt>
                <c:pt idx="77">
                  <c:v>42563</c:v>
                </c:pt>
                <c:pt idx="78">
                  <c:v>42564</c:v>
                </c:pt>
                <c:pt idx="79">
                  <c:v>42565</c:v>
                </c:pt>
                <c:pt idx="80">
                  <c:v>42566</c:v>
                </c:pt>
                <c:pt idx="81">
                  <c:v>42569</c:v>
                </c:pt>
                <c:pt idx="82">
                  <c:v>42570</c:v>
                </c:pt>
                <c:pt idx="83">
                  <c:v>42571</c:v>
                </c:pt>
                <c:pt idx="84">
                  <c:v>42572</c:v>
                </c:pt>
                <c:pt idx="85">
                  <c:v>42573</c:v>
                </c:pt>
                <c:pt idx="86">
                  <c:v>42576</c:v>
                </c:pt>
                <c:pt idx="87">
                  <c:v>42577</c:v>
                </c:pt>
                <c:pt idx="88">
                  <c:v>42578</c:v>
                </c:pt>
                <c:pt idx="89">
                  <c:v>42579</c:v>
                </c:pt>
                <c:pt idx="90">
                  <c:v>42580</c:v>
                </c:pt>
                <c:pt idx="91">
                  <c:v>42583</c:v>
                </c:pt>
                <c:pt idx="92">
                  <c:v>42584</c:v>
                </c:pt>
                <c:pt idx="93">
                  <c:v>42585</c:v>
                </c:pt>
                <c:pt idx="94">
                  <c:v>42586</c:v>
                </c:pt>
                <c:pt idx="95">
                  <c:v>42587</c:v>
                </c:pt>
                <c:pt idx="96">
                  <c:v>42590</c:v>
                </c:pt>
                <c:pt idx="97">
                  <c:v>42591</c:v>
                </c:pt>
                <c:pt idx="98">
                  <c:v>42592</c:v>
                </c:pt>
                <c:pt idx="99">
                  <c:v>42593</c:v>
                </c:pt>
                <c:pt idx="100">
                  <c:v>42594</c:v>
                </c:pt>
                <c:pt idx="101">
                  <c:v>42597</c:v>
                </c:pt>
                <c:pt idx="102">
                  <c:v>42598</c:v>
                </c:pt>
                <c:pt idx="103">
                  <c:v>42599</c:v>
                </c:pt>
                <c:pt idx="104">
                  <c:v>42600</c:v>
                </c:pt>
                <c:pt idx="105">
                  <c:v>42601</c:v>
                </c:pt>
                <c:pt idx="106">
                  <c:v>42604</c:v>
                </c:pt>
                <c:pt idx="107">
                  <c:v>42605</c:v>
                </c:pt>
                <c:pt idx="108">
                  <c:v>42606</c:v>
                </c:pt>
                <c:pt idx="109">
                  <c:v>42607</c:v>
                </c:pt>
                <c:pt idx="110">
                  <c:v>42608</c:v>
                </c:pt>
                <c:pt idx="111">
                  <c:v>42611</c:v>
                </c:pt>
                <c:pt idx="112">
                  <c:v>42612</c:v>
                </c:pt>
                <c:pt idx="113">
                  <c:v>42613</c:v>
                </c:pt>
                <c:pt idx="114">
                  <c:v>42614</c:v>
                </c:pt>
                <c:pt idx="115">
                  <c:v>42615</c:v>
                </c:pt>
                <c:pt idx="116">
                  <c:v>42618</c:v>
                </c:pt>
                <c:pt idx="117">
                  <c:v>42619</c:v>
                </c:pt>
                <c:pt idx="118">
                  <c:v>42620</c:v>
                </c:pt>
                <c:pt idx="119">
                  <c:v>42621</c:v>
                </c:pt>
                <c:pt idx="120">
                  <c:v>42622</c:v>
                </c:pt>
                <c:pt idx="121">
                  <c:v>42625</c:v>
                </c:pt>
                <c:pt idx="122">
                  <c:v>42626</c:v>
                </c:pt>
                <c:pt idx="123">
                  <c:v>42627</c:v>
                </c:pt>
                <c:pt idx="124">
                  <c:v>42632</c:v>
                </c:pt>
                <c:pt idx="125">
                  <c:v>42633</c:v>
                </c:pt>
                <c:pt idx="126">
                  <c:v>42634</c:v>
                </c:pt>
                <c:pt idx="127">
                  <c:v>42635</c:v>
                </c:pt>
                <c:pt idx="128">
                  <c:v>42636</c:v>
                </c:pt>
                <c:pt idx="129">
                  <c:v>42639</c:v>
                </c:pt>
                <c:pt idx="130">
                  <c:v>42640</c:v>
                </c:pt>
                <c:pt idx="131">
                  <c:v>42641</c:v>
                </c:pt>
                <c:pt idx="132">
                  <c:v>42642</c:v>
                </c:pt>
                <c:pt idx="133">
                  <c:v>42643</c:v>
                </c:pt>
                <c:pt idx="134">
                  <c:v>42653</c:v>
                </c:pt>
                <c:pt idx="135">
                  <c:v>42654</c:v>
                </c:pt>
                <c:pt idx="136">
                  <c:v>42655</c:v>
                </c:pt>
                <c:pt idx="137">
                  <c:v>42656</c:v>
                </c:pt>
                <c:pt idx="138">
                  <c:v>42657</c:v>
                </c:pt>
                <c:pt idx="139">
                  <c:v>42660</c:v>
                </c:pt>
                <c:pt idx="140">
                  <c:v>42661</c:v>
                </c:pt>
                <c:pt idx="141">
                  <c:v>42662</c:v>
                </c:pt>
                <c:pt idx="142">
                  <c:v>42663</c:v>
                </c:pt>
                <c:pt idx="143">
                  <c:v>42664</c:v>
                </c:pt>
                <c:pt idx="144">
                  <c:v>42667</c:v>
                </c:pt>
                <c:pt idx="145">
                  <c:v>42668</c:v>
                </c:pt>
                <c:pt idx="146">
                  <c:v>42669</c:v>
                </c:pt>
                <c:pt idx="147">
                  <c:v>42670</c:v>
                </c:pt>
                <c:pt idx="148">
                  <c:v>42671</c:v>
                </c:pt>
                <c:pt idx="149">
                  <c:v>42674</c:v>
                </c:pt>
                <c:pt idx="150">
                  <c:v>42675</c:v>
                </c:pt>
                <c:pt idx="151">
                  <c:v>42676</c:v>
                </c:pt>
                <c:pt idx="152">
                  <c:v>42677</c:v>
                </c:pt>
                <c:pt idx="153">
                  <c:v>42678</c:v>
                </c:pt>
                <c:pt idx="154">
                  <c:v>42681</c:v>
                </c:pt>
                <c:pt idx="155">
                  <c:v>42682</c:v>
                </c:pt>
                <c:pt idx="156">
                  <c:v>42683</c:v>
                </c:pt>
                <c:pt idx="157">
                  <c:v>42684</c:v>
                </c:pt>
                <c:pt idx="158">
                  <c:v>42685</c:v>
                </c:pt>
                <c:pt idx="159">
                  <c:v>42688</c:v>
                </c:pt>
                <c:pt idx="160">
                  <c:v>42689</c:v>
                </c:pt>
                <c:pt idx="161">
                  <c:v>42690</c:v>
                </c:pt>
                <c:pt idx="162">
                  <c:v>42691</c:v>
                </c:pt>
                <c:pt idx="163">
                  <c:v>42692</c:v>
                </c:pt>
                <c:pt idx="164">
                  <c:v>42695</c:v>
                </c:pt>
                <c:pt idx="165">
                  <c:v>42696</c:v>
                </c:pt>
                <c:pt idx="166">
                  <c:v>42697</c:v>
                </c:pt>
                <c:pt idx="167">
                  <c:v>42698</c:v>
                </c:pt>
                <c:pt idx="168">
                  <c:v>42699</c:v>
                </c:pt>
                <c:pt idx="169">
                  <c:v>42702</c:v>
                </c:pt>
                <c:pt idx="170">
                  <c:v>42703</c:v>
                </c:pt>
                <c:pt idx="171">
                  <c:v>42704</c:v>
                </c:pt>
                <c:pt idx="172">
                  <c:v>42705</c:v>
                </c:pt>
                <c:pt idx="173">
                  <c:v>42706</c:v>
                </c:pt>
                <c:pt idx="174">
                  <c:v>42709</c:v>
                </c:pt>
                <c:pt idx="175">
                  <c:v>42710</c:v>
                </c:pt>
                <c:pt idx="176">
                  <c:v>42711</c:v>
                </c:pt>
                <c:pt idx="177">
                  <c:v>42712</c:v>
                </c:pt>
                <c:pt idx="178">
                  <c:v>42713</c:v>
                </c:pt>
                <c:pt idx="179">
                  <c:v>42716</c:v>
                </c:pt>
                <c:pt idx="180">
                  <c:v>42717</c:v>
                </c:pt>
                <c:pt idx="181">
                  <c:v>42718</c:v>
                </c:pt>
                <c:pt idx="182">
                  <c:v>42719</c:v>
                </c:pt>
                <c:pt idx="183">
                  <c:v>42720</c:v>
                </c:pt>
                <c:pt idx="184">
                  <c:v>42723</c:v>
                </c:pt>
                <c:pt idx="185">
                  <c:v>42724</c:v>
                </c:pt>
                <c:pt idx="186">
                  <c:v>42725</c:v>
                </c:pt>
                <c:pt idx="187">
                  <c:v>42726</c:v>
                </c:pt>
                <c:pt idx="188">
                  <c:v>42727</c:v>
                </c:pt>
                <c:pt idx="189">
                  <c:v>42730</c:v>
                </c:pt>
                <c:pt idx="190">
                  <c:v>42731</c:v>
                </c:pt>
                <c:pt idx="191">
                  <c:v>42732</c:v>
                </c:pt>
                <c:pt idx="192">
                  <c:v>42733</c:v>
                </c:pt>
                <c:pt idx="193">
                  <c:v>42734</c:v>
                </c:pt>
                <c:pt idx="194">
                  <c:v>42738</c:v>
                </c:pt>
                <c:pt idx="195">
                  <c:v>42739</c:v>
                </c:pt>
                <c:pt idx="196">
                  <c:v>42740</c:v>
                </c:pt>
                <c:pt idx="197">
                  <c:v>42741</c:v>
                </c:pt>
                <c:pt idx="198">
                  <c:v>42744</c:v>
                </c:pt>
                <c:pt idx="199">
                  <c:v>42745</c:v>
                </c:pt>
                <c:pt idx="200">
                  <c:v>42746</c:v>
                </c:pt>
                <c:pt idx="201">
                  <c:v>42747</c:v>
                </c:pt>
                <c:pt idx="202">
                  <c:v>42748</c:v>
                </c:pt>
                <c:pt idx="203">
                  <c:v>42751</c:v>
                </c:pt>
                <c:pt idx="204">
                  <c:v>42752</c:v>
                </c:pt>
                <c:pt idx="205">
                  <c:v>42753</c:v>
                </c:pt>
                <c:pt idx="206">
                  <c:v>42754</c:v>
                </c:pt>
                <c:pt idx="207">
                  <c:v>42755</c:v>
                </c:pt>
                <c:pt idx="208">
                  <c:v>42758</c:v>
                </c:pt>
                <c:pt idx="209">
                  <c:v>42759</c:v>
                </c:pt>
                <c:pt idx="210">
                  <c:v>42760</c:v>
                </c:pt>
                <c:pt idx="211">
                  <c:v>42761</c:v>
                </c:pt>
                <c:pt idx="212">
                  <c:v>42769</c:v>
                </c:pt>
                <c:pt idx="213">
                  <c:v>42772</c:v>
                </c:pt>
                <c:pt idx="214">
                  <c:v>42773</c:v>
                </c:pt>
                <c:pt idx="215">
                  <c:v>42774</c:v>
                </c:pt>
                <c:pt idx="216">
                  <c:v>42775</c:v>
                </c:pt>
                <c:pt idx="217">
                  <c:v>42776</c:v>
                </c:pt>
                <c:pt idx="218">
                  <c:v>42779</c:v>
                </c:pt>
                <c:pt idx="219">
                  <c:v>42780</c:v>
                </c:pt>
                <c:pt idx="220">
                  <c:v>42781</c:v>
                </c:pt>
                <c:pt idx="221">
                  <c:v>42782</c:v>
                </c:pt>
                <c:pt idx="222">
                  <c:v>42783</c:v>
                </c:pt>
                <c:pt idx="223">
                  <c:v>42786</c:v>
                </c:pt>
                <c:pt idx="224">
                  <c:v>42787</c:v>
                </c:pt>
                <c:pt idx="225">
                  <c:v>42788</c:v>
                </c:pt>
                <c:pt idx="226">
                  <c:v>42789</c:v>
                </c:pt>
                <c:pt idx="227">
                  <c:v>42790</c:v>
                </c:pt>
                <c:pt idx="228">
                  <c:v>42793</c:v>
                </c:pt>
                <c:pt idx="229">
                  <c:v>42794</c:v>
                </c:pt>
                <c:pt idx="230">
                  <c:v>42795</c:v>
                </c:pt>
                <c:pt idx="231">
                  <c:v>42796</c:v>
                </c:pt>
                <c:pt idx="232">
                  <c:v>42797</c:v>
                </c:pt>
                <c:pt idx="233">
                  <c:v>42800</c:v>
                </c:pt>
                <c:pt idx="234">
                  <c:v>42801</c:v>
                </c:pt>
                <c:pt idx="235">
                  <c:v>42802</c:v>
                </c:pt>
                <c:pt idx="236">
                  <c:v>42803</c:v>
                </c:pt>
                <c:pt idx="237">
                  <c:v>42804</c:v>
                </c:pt>
                <c:pt idx="238">
                  <c:v>42807</c:v>
                </c:pt>
                <c:pt idx="239">
                  <c:v>42808</c:v>
                </c:pt>
                <c:pt idx="240">
                  <c:v>42809</c:v>
                </c:pt>
                <c:pt idx="241">
                  <c:v>42810</c:v>
                </c:pt>
                <c:pt idx="242">
                  <c:v>42811</c:v>
                </c:pt>
                <c:pt idx="243">
                  <c:v>42814</c:v>
                </c:pt>
                <c:pt idx="244">
                  <c:v>42815</c:v>
                </c:pt>
                <c:pt idx="245">
                  <c:v>42816</c:v>
                </c:pt>
                <c:pt idx="246">
                  <c:v>42817</c:v>
                </c:pt>
                <c:pt idx="247">
                  <c:v>42818</c:v>
                </c:pt>
                <c:pt idx="248">
                  <c:v>42821</c:v>
                </c:pt>
                <c:pt idx="249">
                  <c:v>42822</c:v>
                </c:pt>
                <c:pt idx="250">
                  <c:v>42823</c:v>
                </c:pt>
                <c:pt idx="251">
                  <c:v>42824</c:v>
                </c:pt>
                <c:pt idx="252">
                  <c:v>42825</c:v>
                </c:pt>
                <c:pt idx="253">
                  <c:v>42830</c:v>
                </c:pt>
                <c:pt idx="254">
                  <c:v>42831</c:v>
                </c:pt>
                <c:pt idx="255">
                  <c:v>42832</c:v>
                </c:pt>
                <c:pt idx="256">
                  <c:v>42835</c:v>
                </c:pt>
                <c:pt idx="257">
                  <c:v>42836</c:v>
                </c:pt>
                <c:pt idx="258">
                  <c:v>42837</c:v>
                </c:pt>
                <c:pt idx="259">
                  <c:v>42838</c:v>
                </c:pt>
                <c:pt idx="260">
                  <c:v>42839</c:v>
                </c:pt>
                <c:pt idx="261">
                  <c:v>42842</c:v>
                </c:pt>
                <c:pt idx="262">
                  <c:v>42843</c:v>
                </c:pt>
                <c:pt idx="263">
                  <c:v>42844</c:v>
                </c:pt>
                <c:pt idx="264">
                  <c:v>42845</c:v>
                </c:pt>
                <c:pt idx="265">
                  <c:v>42846</c:v>
                </c:pt>
                <c:pt idx="266">
                  <c:v>42849</c:v>
                </c:pt>
                <c:pt idx="267">
                  <c:v>42850</c:v>
                </c:pt>
                <c:pt idx="268">
                  <c:v>42851</c:v>
                </c:pt>
                <c:pt idx="269">
                  <c:v>42852</c:v>
                </c:pt>
                <c:pt idx="270">
                  <c:v>42853</c:v>
                </c:pt>
                <c:pt idx="271">
                  <c:v>42857</c:v>
                </c:pt>
                <c:pt idx="272">
                  <c:v>42858</c:v>
                </c:pt>
                <c:pt idx="273">
                  <c:v>42859</c:v>
                </c:pt>
                <c:pt idx="274">
                  <c:v>42860</c:v>
                </c:pt>
                <c:pt idx="275">
                  <c:v>42863</c:v>
                </c:pt>
                <c:pt idx="276">
                  <c:v>42864</c:v>
                </c:pt>
                <c:pt idx="277">
                  <c:v>42865</c:v>
                </c:pt>
                <c:pt idx="278">
                  <c:v>42866</c:v>
                </c:pt>
                <c:pt idx="279">
                  <c:v>42867</c:v>
                </c:pt>
                <c:pt idx="280">
                  <c:v>42870</c:v>
                </c:pt>
                <c:pt idx="281">
                  <c:v>42871</c:v>
                </c:pt>
                <c:pt idx="282">
                  <c:v>42872</c:v>
                </c:pt>
                <c:pt idx="283">
                  <c:v>42873</c:v>
                </c:pt>
                <c:pt idx="284">
                  <c:v>42874</c:v>
                </c:pt>
                <c:pt idx="285">
                  <c:v>42877</c:v>
                </c:pt>
                <c:pt idx="286">
                  <c:v>42878</c:v>
                </c:pt>
                <c:pt idx="287">
                  <c:v>42879</c:v>
                </c:pt>
                <c:pt idx="288">
                  <c:v>42880</c:v>
                </c:pt>
                <c:pt idx="289">
                  <c:v>42881</c:v>
                </c:pt>
                <c:pt idx="290">
                  <c:v>42886</c:v>
                </c:pt>
                <c:pt idx="291">
                  <c:v>42887</c:v>
                </c:pt>
                <c:pt idx="292">
                  <c:v>42888</c:v>
                </c:pt>
                <c:pt idx="293">
                  <c:v>42891</c:v>
                </c:pt>
                <c:pt idx="294">
                  <c:v>42892</c:v>
                </c:pt>
                <c:pt idx="295">
                  <c:v>42893</c:v>
                </c:pt>
                <c:pt idx="296">
                  <c:v>42894</c:v>
                </c:pt>
                <c:pt idx="297">
                  <c:v>42895</c:v>
                </c:pt>
                <c:pt idx="298">
                  <c:v>42898</c:v>
                </c:pt>
                <c:pt idx="299">
                  <c:v>42899</c:v>
                </c:pt>
                <c:pt idx="300">
                  <c:v>42900</c:v>
                </c:pt>
                <c:pt idx="301">
                  <c:v>42901</c:v>
                </c:pt>
                <c:pt idx="302">
                  <c:v>42902</c:v>
                </c:pt>
                <c:pt idx="303">
                  <c:v>42905</c:v>
                </c:pt>
                <c:pt idx="304">
                  <c:v>42906</c:v>
                </c:pt>
                <c:pt idx="305">
                  <c:v>42907</c:v>
                </c:pt>
                <c:pt idx="306">
                  <c:v>42908</c:v>
                </c:pt>
                <c:pt idx="307">
                  <c:v>42909</c:v>
                </c:pt>
                <c:pt idx="308">
                  <c:v>42912</c:v>
                </c:pt>
                <c:pt idx="309">
                  <c:v>42913</c:v>
                </c:pt>
                <c:pt idx="310">
                  <c:v>42914</c:v>
                </c:pt>
                <c:pt idx="311">
                  <c:v>42915</c:v>
                </c:pt>
                <c:pt idx="312">
                  <c:v>42916</c:v>
                </c:pt>
                <c:pt idx="313">
                  <c:v>42919</c:v>
                </c:pt>
                <c:pt idx="314">
                  <c:v>42920</c:v>
                </c:pt>
                <c:pt idx="315">
                  <c:v>42921</c:v>
                </c:pt>
                <c:pt idx="316">
                  <c:v>42922</c:v>
                </c:pt>
                <c:pt idx="317">
                  <c:v>42923</c:v>
                </c:pt>
                <c:pt idx="318">
                  <c:v>42926</c:v>
                </c:pt>
                <c:pt idx="319">
                  <c:v>42927</c:v>
                </c:pt>
                <c:pt idx="320">
                  <c:v>42928</c:v>
                </c:pt>
                <c:pt idx="321">
                  <c:v>42929</c:v>
                </c:pt>
                <c:pt idx="322">
                  <c:v>42930</c:v>
                </c:pt>
                <c:pt idx="323">
                  <c:v>42933</c:v>
                </c:pt>
                <c:pt idx="324">
                  <c:v>42934</c:v>
                </c:pt>
                <c:pt idx="325">
                  <c:v>42935</c:v>
                </c:pt>
                <c:pt idx="326">
                  <c:v>42936</c:v>
                </c:pt>
                <c:pt idx="327">
                  <c:v>42937</c:v>
                </c:pt>
                <c:pt idx="328">
                  <c:v>42940</c:v>
                </c:pt>
                <c:pt idx="329">
                  <c:v>42941</c:v>
                </c:pt>
                <c:pt idx="330">
                  <c:v>42942</c:v>
                </c:pt>
                <c:pt idx="331">
                  <c:v>42943</c:v>
                </c:pt>
                <c:pt idx="332">
                  <c:v>42944</c:v>
                </c:pt>
                <c:pt idx="333">
                  <c:v>42947</c:v>
                </c:pt>
                <c:pt idx="334">
                  <c:v>42948</c:v>
                </c:pt>
                <c:pt idx="335">
                  <c:v>42949</c:v>
                </c:pt>
                <c:pt idx="336">
                  <c:v>42950</c:v>
                </c:pt>
                <c:pt idx="337">
                  <c:v>42951</c:v>
                </c:pt>
                <c:pt idx="338">
                  <c:v>42954</c:v>
                </c:pt>
                <c:pt idx="339">
                  <c:v>42955</c:v>
                </c:pt>
                <c:pt idx="340">
                  <c:v>42956</c:v>
                </c:pt>
                <c:pt idx="341">
                  <c:v>42957</c:v>
                </c:pt>
                <c:pt idx="342">
                  <c:v>42958</c:v>
                </c:pt>
                <c:pt idx="343">
                  <c:v>42961</c:v>
                </c:pt>
                <c:pt idx="344">
                  <c:v>42962</c:v>
                </c:pt>
                <c:pt idx="345">
                  <c:v>42963</c:v>
                </c:pt>
                <c:pt idx="346">
                  <c:v>42964</c:v>
                </c:pt>
                <c:pt idx="347">
                  <c:v>42965</c:v>
                </c:pt>
                <c:pt idx="348">
                  <c:v>42968</c:v>
                </c:pt>
                <c:pt idx="349">
                  <c:v>42969</c:v>
                </c:pt>
                <c:pt idx="350">
                  <c:v>42970</c:v>
                </c:pt>
                <c:pt idx="351">
                  <c:v>42971</c:v>
                </c:pt>
                <c:pt idx="352">
                  <c:v>42972</c:v>
                </c:pt>
                <c:pt idx="353">
                  <c:v>42975</c:v>
                </c:pt>
                <c:pt idx="354">
                  <c:v>42976</c:v>
                </c:pt>
                <c:pt idx="355">
                  <c:v>42977</c:v>
                </c:pt>
                <c:pt idx="356">
                  <c:v>42978</c:v>
                </c:pt>
                <c:pt idx="357">
                  <c:v>42979</c:v>
                </c:pt>
                <c:pt idx="358">
                  <c:v>42982</c:v>
                </c:pt>
                <c:pt idx="359">
                  <c:v>42983</c:v>
                </c:pt>
                <c:pt idx="360">
                  <c:v>42984</c:v>
                </c:pt>
                <c:pt idx="361">
                  <c:v>42985</c:v>
                </c:pt>
                <c:pt idx="362">
                  <c:v>42986</c:v>
                </c:pt>
                <c:pt idx="363">
                  <c:v>42989</c:v>
                </c:pt>
                <c:pt idx="364">
                  <c:v>42990</c:v>
                </c:pt>
                <c:pt idx="365">
                  <c:v>42991</c:v>
                </c:pt>
                <c:pt idx="366">
                  <c:v>42992</c:v>
                </c:pt>
                <c:pt idx="367">
                  <c:v>42993</c:v>
                </c:pt>
                <c:pt idx="368">
                  <c:v>42996</c:v>
                </c:pt>
                <c:pt idx="369">
                  <c:v>42997</c:v>
                </c:pt>
                <c:pt idx="370">
                  <c:v>42998</c:v>
                </c:pt>
                <c:pt idx="371">
                  <c:v>42999</c:v>
                </c:pt>
                <c:pt idx="372">
                  <c:v>43000</c:v>
                </c:pt>
                <c:pt idx="373">
                  <c:v>43003</c:v>
                </c:pt>
                <c:pt idx="374">
                  <c:v>43004</c:v>
                </c:pt>
                <c:pt idx="375">
                  <c:v>43005</c:v>
                </c:pt>
                <c:pt idx="376">
                  <c:v>43006</c:v>
                </c:pt>
                <c:pt idx="377">
                  <c:v>43007</c:v>
                </c:pt>
                <c:pt idx="378">
                  <c:v>43017</c:v>
                </c:pt>
                <c:pt idx="379">
                  <c:v>43018</c:v>
                </c:pt>
                <c:pt idx="380">
                  <c:v>43019</c:v>
                </c:pt>
                <c:pt idx="381">
                  <c:v>43020</c:v>
                </c:pt>
                <c:pt idx="382">
                  <c:v>43021</c:v>
                </c:pt>
                <c:pt idx="383">
                  <c:v>43024</c:v>
                </c:pt>
                <c:pt idx="384">
                  <c:v>43025</c:v>
                </c:pt>
                <c:pt idx="385">
                  <c:v>43026</c:v>
                </c:pt>
                <c:pt idx="386">
                  <c:v>43027</c:v>
                </c:pt>
                <c:pt idx="387">
                  <c:v>43028</c:v>
                </c:pt>
                <c:pt idx="388">
                  <c:v>43031</c:v>
                </c:pt>
                <c:pt idx="389">
                  <c:v>43032</c:v>
                </c:pt>
                <c:pt idx="390">
                  <c:v>43033</c:v>
                </c:pt>
                <c:pt idx="391">
                  <c:v>43034</c:v>
                </c:pt>
                <c:pt idx="392">
                  <c:v>43035</c:v>
                </c:pt>
                <c:pt idx="393">
                  <c:v>43038</c:v>
                </c:pt>
                <c:pt idx="394">
                  <c:v>43039</c:v>
                </c:pt>
                <c:pt idx="395">
                  <c:v>43040</c:v>
                </c:pt>
                <c:pt idx="396">
                  <c:v>43041</c:v>
                </c:pt>
                <c:pt idx="397">
                  <c:v>43042</c:v>
                </c:pt>
                <c:pt idx="398">
                  <c:v>43045</c:v>
                </c:pt>
                <c:pt idx="399">
                  <c:v>43046</c:v>
                </c:pt>
                <c:pt idx="400">
                  <c:v>43047</c:v>
                </c:pt>
                <c:pt idx="401">
                  <c:v>43048</c:v>
                </c:pt>
                <c:pt idx="402">
                  <c:v>43049</c:v>
                </c:pt>
                <c:pt idx="403">
                  <c:v>43052</c:v>
                </c:pt>
                <c:pt idx="404">
                  <c:v>43053</c:v>
                </c:pt>
                <c:pt idx="405">
                  <c:v>43054</c:v>
                </c:pt>
                <c:pt idx="406">
                  <c:v>43055</c:v>
                </c:pt>
                <c:pt idx="407">
                  <c:v>43056</c:v>
                </c:pt>
                <c:pt idx="408">
                  <c:v>43059</c:v>
                </c:pt>
                <c:pt idx="409">
                  <c:v>43060</c:v>
                </c:pt>
                <c:pt idx="410">
                  <c:v>43061</c:v>
                </c:pt>
                <c:pt idx="411">
                  <c:v>43062</c:v>
                </c:pt>
                <c:pt idx="412">
                  <c:v>43063</c:v>
                </c:pt>
                <c:pt idx="413">
                  <c:v>43066</c:v>
                </c:pt>
                <c:pt idx="414">
                  <c:v>43067</c:v>
                </c:pt>
                <c:pt idx="415">
                  <c:v>43068</c:v>
                </c:pt>
                <c:pt idx="416">
                  <c:v>43069</c:v>
                </c:pt>
                <c:pt idx="417">
                  <c:v>43070</c:v>
                </c:pt>
                <c:pt idx="418">
                  <c:v>43073</c:v>
                </c:pt>
                <c:pt idx="419">
                  <c:v>43074</c:v>
                </c:pt>
                <c:pt idx="420">
                  <c:v>43075</c:v>
                </c:pt>
                <c:pt idx="421">
                  <c:v>43076</c:v>
                </c:pt>
                <c:pt idx="422">
                  <c:v>43077</c:v>
                </c:pt>
                <c:pt idx="423">
                  <c:v>43080</c:v>
                </c:pt>
                <c:pt idx="424">
                  <c:v>43081</c:v>
                </c:pt>
                <c:pt idx="425">
                  <c:v>43082</c:v>
                </c:pt>
                <c:pt idx="426">
                  <c:v>43083</c:v>
                </c:pt>
                <c:pt idx="427">
                  <c:v>43084</c:v>
                </c:pt>
                <c:pt idx="428">
                  <c:v>43087</c:v>
                </c:pt>
                <c:pt idx="429">
                  <c:v>43088</c:v>
                </c:pt>
                <c:pt idx="430">
                  <c:v>43089</c:v>
                </c:pt>
                <c:pt idx="431">
                  <c:v>43090</c:v>
                </c:pt>
                <c:pt idx="432">
                  <c:v>43091</c:v>
                </c:pt>
                <c:pt idx="433">
                  <c:v>43094</c:v>
                </c:pt>
                <c:pt idx="434">
                  <c:v>43095</c:v>
                </c:pt>
                <c:pt idx="435">
                  <c:v>43096</c:v>
                </c:pt>
                <c:pt idx="436">
                  <c:v>43097</c:v>
                </c:pt>
                <c:pt idx="437">
                  <c:v>43098</c:v>
                </c:pt>
                <c:pt idx="438">
                  <c:v>43102</c:v>
                </c:pt>
                <c:pt idx="439">
                  <c:v>43103</c:v>
                </c:pt>
                <c:pt idx="440">
                  <c:v>43104</c:v>
                </c:pt>
                <c:pt idx="441">
                  <c:v>43105</c:v>
                </c:pt>
                <c:pt idx="442">
                  <c:v>43108</c:v>
                </c:pt>
                <c:pt idx="443">
                  <c:v>43109</c:v>
                </c:pt>
                <c:pt idx="444">
                  <c:v>43110</c:v>
                </c:pt>
                <c:pt idx="445">
                  <c:v>43111</c:v>
                </c:pt>
                <c:pt idx="446">
                  <c:v>43112</c:v>
                </c:pt>
                <c:pt idx="447">
                  <c:v>43115</c:v>
                </c:pt>
                <c:pt idx="448">
                  <c:v>43116</c:v>
                </c:pt>
                <c:pt idx="449">
                  <c:v>43117</c:v>
                </c:pt>
                <c:pt idx="450">
                  <c:v>43118</c:v>
                </c:pt>
                <c:pt idx="451">
                  <c:v>43119</c:v>
                </c:pt>
                <c:pt idx="452">
                  <c:v>43122</c:v>
                </c:pt>
                <c:pt idx="453">
                  <c:v>43123</c:v>
                </c:pt>
                <c:pt idx="454">
                  <c:v>43124</c:v>
                </c:pt>
                <c:pt idx="455">
                  <c:v>43125</c:v>
                </c:pt>
                <c:pt idx="456">
                  <c:v>43126</c:v>
                </c:pt>
                <c:pt idx="457">
                  <c:v>43129</c:v>
                </c:pt>
                <c:pt idx="458">
                  <c:v>43130</c:v>
                </c:pt>
                <c:pt idx="459">
                  <c:v>43131</c:v>
                </c:pt>
                <c:pt idx="460">
                  <c:v>43132</c:v>
                </c:pt>
                <c:pt idx="461">
                  <c:v>43133</c:v>
                </c:pt>
                <c:pt idx="462">
                  <c:v>43136</c:v>
                </c:pt>
                <c:pt idx="463">
                  <c:v>43137</c:v>
                </c:pt>
                <c:pt idx="464">
                  <c:v>43138</c:v>
                </c:pt>
                <c:pt idx="465">
                  <c:v>43139</c:v>
                </c:pt>
                <c:pt idx="466">
                  <c:v>43140</c:v>
                </c:pt>
                <c:pt idx="467">
                  <c:v>43143</c:v>
                </c:pt>
                <c:pt idx="468">
                  <c:v>43144</c:v>
                </c:pt>
                <c:pt idx="469">
                  <c:v>43145</c:v>
                </c:pt>
                <c:pt idx="470">
                  <c:v>43153</c:v>
                </c:pt>
                <c:pt idx="471">
                  <c:v>43154</c:v>
                </c:pt>
                <c:pt idx="472">
                  <c:v>43157</c:v>
                </c:pt>
                <c:pt idx="473">
                  <c:v>43158</c:v>
                </c:pt>
                <c:pt idx="474">
                  <c:v>43159</c:v>
                </c:pt>
                <c:pt idx="475">
                  <c:v>43160</c:v>
                </c:pt>
                <c:pt idx="476">
                  <c:v>43161</c:v>
                </c:pt>
                <c:pt idx="477">
                  <c:v>43164</c:v>
                </c:pt>
                <c:pt idx="478">
                  <c:v>43165</c:v>
                </c:pt>
                <c:pt idx="479">
                  <c:v>43166</c:v>
                </c:pt>
                <c:pt idx="480">
                  <c:v>43167</c:v>
                </c:pt>
                <c:pt idx="481">
                  <c:v>43168</c:v>
                </c:pt>
                <c:pt idx="482">
                  <c:v>43171</c:v>
                </c:pt>
                <c:pt idx="483">
                  <c:v>43172</c:v>
                </c:pt>
                <c:pt idx="484">
                  <c:v>43173</c:v>
                </c:pt>
                <c:pt idx="485">
                  <c:v>43174</c:v>
                </c:pt>
                <c:pt idx="486">
                  <c:v>43175</c:v>
                </c:pt>
                <c:pt idx="487">
                  <c:v>43178</c:v>
                </c:pt>
                <c:pt idx="488">
                  <c:v>43179</c:v>
                </c:pt>
                <c:pt idx="489">
                  <c:v>43180</c:v>
                </c:pt>
                <c:pt idx="490">
                  <c:v>43181</c:v>
                </c:pt>
                <c:pt idx="491">
                  <c:v>43182</c:v>
                </c:pt>
                <c:pt idx="492">
                  <c:v>43185</c:v>
                </c:pt>
                <c:pt idx="493">
                  <c:v>43186</c:v>
                </c:pt>
                <c:pt idx="494">
                  <c:v>43187</c:v>
                </c:pt>
                <c:pt idx="495">
                  <c:v>43188</c:v>
                </c:pt>
                <c:pt idx="496">
                  <c:v>43189</c:v>
                </c:pt>
                <c:pt idx="497">
                  <c:v>43192</c:v>
                </c:pt>
                <c:pt idx="498">
                  <c:v>43193</c:v>
                </c:pt>
                <c:pt idx="499">
                  <c:v>43194</c:v>
                </c:pt>
                <c:pt idx="500">
                  <c:v>43199</c:v>
                </c:pt>
                <c:pt idx="501">
                  <c:v>43200</c:v>
                </c:pt>
                <c:pt idx="502">
                  <c:v>43201</c:v>
                </c:pt>
                <c:pt idx="503">
                  <c:v>43202</c:v>
                </c:pt>
                <c:pt idx="504">
                  <c:v>43203</c:v>
                </c:pt>
                <c:pt idx="505">
                  <c:v>43206</c:v>
                </c:pt>
                <c:pt idx="506">
                  <c:v>43207</c:v>
                </c:pt>
                <c:pt idx="507">
                  <c:v>43208</c:v>
                </c:pt>
                <c:pt idx="508">
                  <c:v>43209</c:v>
                </c:pt>
                <c:pt idx="509">
                  <c:v>43210</c:v>
                </c:pt>
                <c:pt idx="510">
                  <c:v>43213</c:v>
                </c:pt>
                <c:pt idx="511">
                  <c:v>43214</c:v>
                </c:pt>
                <c:pt idx="512">
                  <c:v>43215</c:v>
                </c:pt>
                <c:pt idx="513">
                  <c:v>43216</c:v>
                </c:pt>
                <c:pt idx="514">
                  <c:v>43217</c:v>
                </c:pt>
                <c:pt idx="515">
                  <c:v>43222</c:v>
                </c:pt>
                <c:pt idx="516">
                  <c:v>43223</c:v>
                </c:pt>
                <c:pt idx="517">
                  <c:v>43224</c:v>
                </c:pt>
                <c:pt idx="518">
                  <c:v>43227</c:v>
                </c:pt>
                <c:pt idx="519">
                  <c:v>43228</c:v>
                </c:pt>
                <c:pt idx="520">
                  <c:v>43229</c:v>
                </c:pt>
                <c:pt idx="521">
                  <c:v>43230</c:v>
                </c:pt>
                <c:pt idx="522">
                  <c:v>43231</c:v>
                </c:pt>
                <c:pt idx="523">
                  <c:v>43234</c:v>
                </c:pt>
                <c:pt idx="524">
                  <c:v>43235</c:v>
                </c:pt>
                <c:pt idx="525">
                  <c:v>43236</c:v>
                </c:pt>
                <c:pt idx="526">
                  <c:v>43237</c:v>
                </c:pt>
                <c:pt idx="527">
                  <c:v>43238</c:v>
                </c:pt>
                <c:pt idx="528">
                  <c:v>43241</c:v>
                </c:pt>
                <c:pt idx="529">
                  <c:v>43242</c:v>
                </c:pt>
                <c:pt idx="530">
                  <c:v>43243</c:v>
                </c:pt>
                <c:pt idx="531">
                  <c:v>43244</c:v>
                </c:pt>
                <c:pt idx="532">
                  <c:v>43245</c:v>
                </c:pt>
                <c:pt idx="533">
                  <c:v>43248</c:v>
                </c:pt>
                <c:pt idx="534">
                  <c:v>43249</c:v>
                </c:pt>
                <c:pt idx="535">
                  <c:v>43250</c:v>
                </c:pt>
                <c:pt idx="536">
                  <c:v>43251</c:v>
                </c:pt>
                <c:pt idx="537">
                  <c:v>43252</c:v>
                </c:pt>
                <c:pt idx="538">
                  <c:v>43255</c:v>
                </c:pt>
                <c:pt idx="539">
                  <c:v>43256</c:v>
                </c:pt>
                <c:pt idx="540">
                  <c:v>43257</c:v>
                </c:pt>
                <c:pt idx="541">
                  <c:v>43258</c:v>
                </c:pt>
                <c:pt idx="542">
                  <c:v>43259</c:v>
                </c:pt>
                <c:pt idx="543">
                  <c:v>43262</c:v>
                </c:pt>
                <c:pt idx="544">
                  <c:v>43263</c:v>
                </c:pt>
                <c:pt idx="545">
                  <c:v>43264</c:v>
                </c:pt>
                <c:pt idx="546">
                  <c:v>43265</c:v>
                </c:pt>
                <c:pt idx="547">
                  <c:v>43266</c:v>
                </c:pt>
                <c:pt idx="548">
                  <c:v>43270</c:v>
                </c:pt>
                <c:pt idx="549">
                  <c:v>43271</c:v>
                </c:pt>
                <c:pt idx="550">
                  <c:v>43272</c:v>
                </c:pt>
                <c:pt idx="551">
                  <c:v>43273</c:v>
                </c:pt>
                <c:pt idx="552">
                  <c:v>43276</c:v>
                </c:pt>
                <c:pt idx="553">
                  <c:v>43277</c:v>
                </c:pt>
                <c:pt idx="554">
                  <c:v>43278</c:v>
                </c:pt>
                <c:pt idx="555">
                  <c:v>43279</c:v>
                </c:pt>
                <c:pt idx="556">
                  <c:v>43280</c:v>
                </c:pt>
                <c:pt idx="557">
                  <c:v>43283</c:v>
                </c:pt>
                <c:pt idx="558">
                  <c:v>43284</c:v>
                </c:pt>
                <c:pt idx="559">
                  <c:v>43285</c:v>
                </c:pt>
                <c:pt idx="560">
                  <c:v>43286</c:v>
                </c:pt>
                <c:pt idx="561">
                  <c:v>43287</c:v>
                </c:pt>
                <c:pt idx="562">
                  <c:v>43290</c:v>
                </c:pt>
                <c:pt idx="563">
                  <c:v>43291</c:v>
                </c:pt>
                <c:pt idx="564">
                  <c:v>43292</c:v>
                </c:pt>
                <c:pt idx="565">
                  <c:v>43293</c:v>
                </c:pt>
                <c:pt idx="566">
                  <c:v>43294</c:v>
                </c:pt>
                <c:pt idx="567">
                  <c:v>43297</c:v>
                </c:pt>
                <c:pt idx="568">
                  <c:v>43298</c:v>
                </c:pt>
                <c:pt idx="569">
                  <c:v>43299</c:v>
                </c:pt>
                <c:pt idx="570">
                  <c:v>43300</c:v>
                </c:pt>
                <c:pt idx="571">
                  <c:v>43301</c:v>
                </c:pt>
                <c:pt idx="572">
                  <c:v>43304</c:v>
                </c:pt>
                <c:pt idx="573">
                  <c:v>43305</c:v>
                </c:pt>
                <c:pt idx="574">
                  <c:v>43306</c:v>
                </c:pt>
                <c:pt idx="575">
                  <c:v>43307</c:v>
                </c:pt>
                <c:pt idx="576">
                  <c:v>43308</c:v>
                </c:pt>
                <c:pt idx="577">
                  <c:v>43311</c:v>
                </c:pt>
                <c:pt idx="578">
                  <c:v>43312</c:v>
                </c:pt>
                <c:pt idx="579">
                  <c:v>43313</c:v>
                </c:pt>
                <c:pt idx="580">
                  <c:v>43314</c:v>
                </c:pt>
                <c:pt idx="581">
                  <c:v>43315</c:v>
                </c:pt>
                <c:pt idx="582">
                  <c:v>43318</c:v>
                </c:pt>
                <c:pt idx="583">
                  <c:v>43319</c:v>
                </c:pt>
                <c:pt idx="584">
                  <c:v>43320</c:v>
                </c:pt>
                <c:pt idx="585">
                  <c:v>43321</c:v>
                </c:pt>
                <c:pt idx="586">
                  <c:v>43322</c:v>
                </c:pt>
                <c:pt idx="587">
                  <c:v>43325</c:v>
                </c:pt>
                <c:pt idx="588">
                  <c:v>43326</c:v>
                </c:pt>
                <c:pt idx="589">
                  <c:v>43327</c:v>
                </c:pt>
                <c:pt idx="590">
                  <c:v>43328</c:v>
                </c:pt>
                <c:pt idx="591">
                  <c:v>43329</c:v>
                </c:pt>
                <c:pt idx="592">
                  <c:v>43332</c:v>
                </c:pt>
                <c:pt idx="593">
                  <c:v>43333</c:v>
                </c:pt>
                <c:pt idx="594">
                  <c:v>43334</c:v>
                </c:pt>
                <c:pt idx="595">
                  <c:v>43335</c:v>
                </c:pt>
                <c:pt idx="596">
                  <c:v>43336</c:v>
                </c:pt>
                <c:pt idx="597">
                  <c:v>43339</c:v>
                </c:pt>
                <c:pt idx="598">
                  <c:v>43340</c:v>
                </c:pt>
                <c:pt idx="599">
                  <c:v>43341</c:v>
                </c:pt>
                <c:pt idx="600">
                  <c:v>43342</c:v>
                </c:pt>
                <c:pt idx="601">
                  <c:v>43343</c:v>
                </c:pt>
                <c:pt idx="602">
                  <c:v>43346</c:v>
                </c:pt>
                <c:pt idx="603">
                  <c:v>43347</c:v>
                </c:pt>
                <c:pt idx="604">
                  <c:v>43348</c:v>
                </c:pt>
                <c:pt idx="605">
                  <c:v>43349</c:v>
                </c:pt>
                <c:pt idx="606">
                  <c:v>43350</c:v>
                </c:pt>
                <c:pt idx="607">
                  <c:v>43353</c:v>
                </c:pt>
                <c:pt idx="608">
                  <c:v>43354</c:v>
                </c:pt>
                <c:pt idx="609">
                  <c:v>43355</c:v>
                </c:pt>
                <c:pt idx="610">
                  <c:v>43356</c:v>
                </c:pt>
                <c:pt idx="611">
                  <c:v>43357</c:v>
                </c:pt>
                <c:pt idx="612">
                  <c:v>43360</c:v>
                </c:pt>
                <c:pt idx="613">
                  <c:v>43361</c:v>
                </c:pt>
                <c:pt idx="614">
                  <c:v>43362</c:v>
                </c:pt>
                <c:pt idx="615">
                  <c:v>43363</c:v>
                </c:pt>
                <c:pt idx="616">
                  <c:v>43364</c:v>
                </c:pt>
                <c:pt idx="617">
                  <c:v>43368</c:v>
                </c:pt>
                <c:pt idx="618">
                  <c:v>43369</c:v>
                </c:pt>
                <c:pt idx="619">
                  <c:v>43370</c:v>
                </c:pt>
                <c:pt idx="620">
                  <c:v>43371</c:v>
                </c:pt>
                <c:pt idx="621">
                  <c:v>43381</c:v>
                </c:pt>
                <c:pt idx="622">
                  <c:v>43382</c:v>
                </c:pt>
                <c:pt idx="623">
                  <c:v>43383</c:v>
                </c:pt>
                <c:pt idx="624">
                  <c:v>43384</c:v>
                </c:pt>
                <c:pt idx="625">
                  <c:v>43385</c:v>
                </c:pt>
                <c:pt idx="626">
                  <c:v>43388</c:v>
                </c:pt>
                <c:pt idx="627">
                  <c:v>43389</c:v>
                </c:pt>
                <c:pt idx="628">
                  <c:v>43390</c:v>
                </c:pt>
                <c:pt idx="629">
                  <c:v>43391</c:v>
                </c:pt>
                <c:pt idx="630">
                  <c:v>43392</c:v>
                </c:pt>
                <c:pt idx="631">
                  <c:v>43395</c:v>
                </c:pt>
                <c:pt idx="632">
                  <c:v>43396</c:v>
                </c:pt>
                <c:pt idx="633">
                  <c:v>43397</c:v>
                </c:pt>
                <c:pt idx="634">
                  <c:v>43398</c:v>
                </c:pt>
                <c:pt idx="635">
                  <c:v>43399</c:v>
                </c:pt>
                <c:pt idx="636">
                  <c:v>43402</c:v>
                </c:pt>
                <c:pt idx="637">
                  <c:v>43403</c:v>
                </c:pt>
                <c:pt idx="638">
                  <c:v>43404</c:v>
                </c:pt>
                <c:pt idx="639">
                  <c:v>43405</c:v>
                </c:pt>
                <c:pt idx="640">
                  <c:v>43406</c:v>
                </c:pt>
                <c:pt idx="641">
                  <c:v>43409</c:v>
                </c:pt>
                <c:pt idx="642">
                  <c:v>43410</c:v>
                </c:pt>
                <c:pt idx="643">
                  <c:v>43411</c:v>
                </c:pt>
                <c:pt idx="644">
                  <c:v>43412</c:v>
                </c:pt>
                <c:pt idx="645">
                  <c:v>43413</c:v>
                </c:pt>
                <c:pt idx="646">
                  <c:v>43416</c:v>
                </c:pt>
                <c:pt idx="647">
                  <c:v>43417</c:v>
                </c:pt>
                <c:pt idx="648">
                  <c:v>43418</c:v>
                </c:pt>
                <c:pt idx="649">
                  <c:v>43419</c:v>
                </c:pt>
                <c:pt idx="650">
                  <c:v>43420</c:v>
                </c:pt>
                <c:pt idx="651">
                  <c:v>43423</c:v>
                </c:pt>
                <c:pt idx="652">
                  <c:v>43424</c:v>
                </c:pt>
                <c:pt idx="653">
                  <c:v>43425</c:v>
                </c:pt>
                <c:pt idx="654">
                  <c:v>43426</c:v>
                </c:pt>
                <c:pt idx="655">
                  <c:v>43427</c:v>
                </c:pt>
                <c:pt idx="656">
                  <c:v>43430</c:v>
                </c:pt>
                <c:pt idx="657">
                  <c:v>43431</c:v>
                </c:pt>
                <c:pt idx="658">
                  <c:v>43432</c:v>
                </c:pt>
                <c:pt idx="659">
                  <c:v>43433</c:v>
                </c:pt>
                <c:pt idx="660">
                  <c:v>43434</c:v>
                </c:pt>
                <c:pt idx="661">
                  <c:v>43437</c:v>
                </c:pt>
                <c:pt idx="662">
                  <c:v>43438</c:v>
                </c:pt>
                <c:pt idx="663">
                  <c:v>43439</c:v>
                </c:pt>
                <c:pt idx="664">
                  <c:v>43440</c:v>
                </c:pt>
                <c:pt idx="665">
                  <c:v>43441</c:v>
                </c:pt>
                <c:pt idx="666">
                  <c:v>43444</c:v>
                </c:pt>
                <c:pt idx="667">
                  <c:v>43445</c:v>
                </c:pt>
                <c:pt idx="668">
                  <c:v>43446</c:v>
                </c:pt>
                <c:pt idx="669">
                  <c:v>43447</c:v>
                </c:pt>
                <c:pt idx="670">
                  <c:v>43448</c:v>
                </c:pt>
                <c:pt idx="671">
                  <c:v>43451</c:v>
                </c:pt>
                <c:pt idx="672">
                  <c:v>43452</c:v>
                </c:pt>
                <c:pt idx="673">
                  <c:v>43453</c:v>
                </c:pt>
                <c:pt idx="674">
                  <c:v>43454</c:v>
                </c:pt>
                <c:pt idx="675">
                  <c:v>43455</c:v>
                </c:pt>
                <c:pt idx="676">
                  <c:v>43458</c:v>
                </c:pt>
                <c:pt idx="677">
                  <c:v>43459</c:v>
                </c:pt>
                <c:pt idx="678">
                  <c:v>43460</c:v>
                </c:pt>
                <c:pt idx="679">
                  <c:v>43461</c:v>
                </c:pt>
                <c:pt idx="680">
                  <c:v>43462</c:v>
                </c:pt>
                <c:pt idx="681">
                  <c:v>43467</c:v>
                </c:pt>
                <c:pt idx="682">
                  <c:v>43468</c:v>
                </c:pt>
                <c:pt idx="683">
                  <c:v>43469</c:v>
                </c:pt>
                <c:pt idx="684">
                  <c:v>43472</c:v>
                </c:pt>
                <c:pt idx="685">
                  <c:v>43473</c:v>
                </c:pt>
                <c:pt idx="686">
                  <c:v>43474</c:v>
                </c:pt>
                <c:pt idx="687">
                  <c:v>43475</c:v>
                </c:pt>
                <c:pt idx="688">
                  <c:v>43476</c:v>
                </c:pt>
                <c:pt idx="689">
                  <c:v>43479</c:v>
                </c:pt>
                <c:pt idx="690">
                  <c:v>43480</c:v>
                </c:pt>
                <c:pt idx="691">
                  <c:v>43481</c:v>
                </c:pt>
                <c:pt idx="692">
                  <c:v>43482</c:v>
                </c:pt>
                <c:pt idx="693">
                  <c:v>43483</c:v>
                </c:pt>
                <c:pt idx="694">
                  <c:v>43486</c:v>
                </c:pt>
                <c:pt idx="695">
                  <c:v>43487</c:v>
                </c:pt>
                <c:pt idx="696">
                  <c:v>43488</c:v>
                </c:pt>
                <c:pt idx="697">
                  <c:v>43489</c:v>
                </c:pt>
                <c:pt idx="698">
                  <c:v>43490</c:v>
                </c:pt>
                <c:pt idx="699">
                  <c:v>43493</c:v>
                </c:pt>
                <c:pt idx="700">
                  <c:v>43494</c:v>
                </c:pt>
                <c:pt idx="701">
                  <c:v>43495</c:v>
                </c:pt>
                <c:pt idx="702">
                  <c:v>43496</c:v>
                </c:pt>
                <c:pt idx="703">
                  <c:v>43497</c:v>
                </c:pt>
                <c:pt idx="704">
                  <c:v>43507</c:v>
                </c:pt>
                <c:pt idx="705">
                  <c:v>43508</c:v>
                </c:pt>
                <c:pt idx="706">
                  <c:v>43509</c:v>
                </c:pt>
                <c:pt idx="707">
                  <c:v>43510</c:v>
                </c:pt>
                <c:pt idx="708">
                  <c:v>43511</c:v>
                </c:pt>
                <c:pt idx="709">
                  <c:v>43514</c:v>
                </c:pt>
                <c:pt idx="710">
                  <c:v>43515</c:v>
                </c:pt>
                <c:pt idx="711">
                  <c:v>43516</c:v>
                </c:pt>
                <c:pt idx="712">
                  <c:v>43517</c:v>
                </c:pt>
                <c:pt idx="713">
                  <c:v>43518</c:v>
                </c:pt>
                <c:pt idx="714">
                  <c:v>43521</c:v>
                </c:pt>
                <c:pt idx="715">
                  <c:v>43522</c:v>
                </c:pt>
                <c:pt idx="716">
                  <c:v>43523</c:v>
                </c:pt>
                <c:pt idx="717">
                  <c:v>43524</c:v>
                </c:pt>
                <c:pt idx="718">
                  <c:v>43525</c:v>
                </c:pt>
                <c:pt idx="719">
                  <c:v>43528</c:v>
                </c:pt>
                <c:pt idx="720">
                  <c:v>43529</c:v>
                </c:pt>
                <c:pt idx="721">
                  <c:v>43530</c:v>
                </c:pt>
                <c:pt idx="722">
                  <c:v>43531</c:v>
                </c:pt>
                <c:pt idx="723">
                  <c:v>43532</c:v>
                </c:pt>
                <c:pt idx="724">
                  <c:v>43535</c:v>
                </c:pt>
                <c:pt idx="725">
                  <c:v>43536</c:v>
                </c:pt>
                <c:pt idx="726">
                  <c:v>43537</c:v>
                </c:pt>
                <c:pt idx="727">
                  <c:v>43538</c:v>
                </c:pt>
                <c:pt idx="728">
                  <c:v>43539</c:v>
                </c:pt>
                <c:pt idx="729">
                  <c:v>43542</c:v>
                </c:pt>
                <c:pt idx="730">
                  <c:v>43543</c:v>
                </c:pt>
                <c:pt idx="731">
                  <c:v>43544</c:v>
                </c:pt>
                <c:pt idx="732">
                  <c:v>43545</c:v>
                </c:pt>
                <c:pt idx="733">
                  <c:v>43546</c:v>
                </c:pt>
                <c:pt idx="734">
                  <c:v>43549</c:v>
                </c:pt>
                <c:pt idx="735">
                  <c:v>43550</c:v>
                </c:pt>
                <c:pt idx="736">
                  <c:v>43551</c:v>
                </c:pt>
                <c:pt idx="737">
                  <c:v>43552</c:v>
                </c:pt>
                <c:pt idx="738">
                  <c:v>43553</c:v>
                </c:pt>
                <c:pt idx="739">
                  <c:v>43556</c:v>
                </c:pt>
                <c:pt idx="740">
                  <c:v>43557</c:v>
                </c:pt>
                <c:pt idx="741">
                  <c:v>43558</c:v>
                </c:pt>
                <c:pt idx="742">
                  <c:v>43559</c:v>
                </c:pt>
                <c:pt idx="743">
                  <c:v>43563</c:v>
                </c:pt>
                <c:pt idx="744">
                  <c:v>43564</c:v>
                </c:pt>
                <c:pt idx="745">
                  <c:v>43565</c:v>
                </c:pt>
                <c:pt idx="746">
                  <c:v>43566</c:v>
                </c:pt>
                <c:pt idx="747">
                  <c:v>43567</c:v>
                </c:pt>
                <c:pt idx="748">
                  <c:v>43570</c:v>
                </c:pt>
                <c:pt idx="749">
                  <c:v>43571</c:v>
                </c:pt>
                <c:pt idx="750">
                  <c:v>43572</c:v>
                </c:pt>
                <c:pt idx="751">
                  <c:v>43573</c:v>
                </c:pt>
                <c:pt idx="752">
                  <c:v>43574</c:v>
                </c:pt>
                <c:pt idx="753">
                  <c:v>43577</c:v>
                </c:pt>
                <c:pt idx="754">
                  <c:v>43578</c:v>
                </c:pt>
                <c:pt idx="755">
                  <c:v>43579</c:v>
                </c:pt>
                <c:pt idx="756">
                  <c:v>43580</c:v>
                </c:pt>
                <c:pt idx="757">
                  <c:v>43581</c:v>
                </c:pt>
                <c:pt idx="758">
                  <c:v>43584</c:v>
                </c:pt>
                <c:pt idx="759">
                  <c:v>43585</c:v>
                </c:pt>
                <c:pt idx="760">
                  <c:v>43591</c:v>
                </c:pt>
                <c:pt idx="761">
                  <c:v>43592</c:v>
                </c:pt>
                <c:pt idx="762">
                  <c:v>43593</c:v>
                </c:pt>
                <c:pt idx="763">
                  <c:v>43594</c:v>
                </c:pt>
                <c:pt idx="764">
                  <c:v>43595</c:v>
                </c:pt>
                <c:pt idx="765">
                  <c:v>43598</c:v>
                </c:pt>
                <c:pt idx="766">
                  <c:v>43599</c:v>
                </c:pt>
                <c:pt idx="767">
                  <c:v>43600</c:v>
                </c:pt>
                <c:pt idx="768">
                  <c:v>43601</c:v>
                </c:pt>
                <c:pt idx="769">
                  <c:v>43602</c:v>
                </c:pt>
                <c:pt idx="770">
                  <c:v>43605</c:v>
                </c:pt>
                <c:pt idx="771">
                  <c:v>43606</c:v>
                </c:pt>
                <c:pt idx="772">
                  <c:v>43607</c:v>
                </c:pt>
                <c:pt idx="773">
                  <c:v>43608</c:v>
                </c:pt>
                <c:pt idx="774">
                  <c:v>43609</c:v>
                </c:pt>
                <c:pt idx="775">
                  <c:v>43612</c:v>
                </c:pt>
                <c:pt idx="776">
                  <c:v>43613</c:v>
                </c:pt>
                <c:pt idx="777">
                  <c:v>43614</c:v>
                </c:pt>
                <c:pt idx="778">
                  <c:v>43615</c:v>
                </c:pt>
                <c:pt idx="779">
                  <c:v>43616</c:v>
                </c:pt>
                <c:pt idx="780">
                  <c:v>43619</c:v>
                </c:pt>
                <c:pt idx="781">
                  <c:v>43620</c:v>
                </c:pt>
                <c:pt idx="782">
                  <c:v>43621</c:v>
                </c:pt>
                <c:pt idx="783">
                  <c:v>43622</c:v>
                </c:pt>
                <c:pt idx="784">
                  <c:v>43626</c:v>
                </c:pt>
                <c:pt idx="785">
                  <c:v>43627</c:v>
                </c:pt>
                <c:pt idx="786">
                  <c:v>43628</c:v>
                </c:pt>
                <c:pt idx="787">
                  <c:v>43629</c:v>
                </c:pt>
                <c:pt idx="788">
                  <c:v>43630</c:v>
                </c:pt>
                <c:pt idx="789">
                  <c:v>43633</c:v>
                </c:pt>
                <c:pt idx="790">
                  <c:v>43634</c:v>
                </c:pt>
                <c:pt idx="791">
                  <c:v>43635</c:v>
                </c:pt>
                <c:pt idx="792">
                  <c:v>43636</c:v>
                </c:pt>
                <c:pt idx="793">
                  <c:v>43637</c:v>
                </c:pt>
                <c:pt idx="794">
                  <c:v>43640</c:v>
                </c:pt>
                <c:pt idx="795">
                  <c:v>43641</c:v>
                </c:pt>
                <c:pt idx="796">
                  <c:v>43642</c:v>
                </c:pt>
                <c:pt idx="797">
                  <c:v>43643</c:v>
                </c:pt>
                <c:pt idx="798">
                  <c:v>43644</c:v>
                </c:pt>
                <c:pt idx="799">
                  <c:v>43647</c:v>
                </c:pt>
                <c:pt idx="800">
                  <c:v>43648</c:v>
                </c:pt>
                <c:pt idx="801">
                  <c:v>43649</c:v>
                </c:pt>
                <c:pt idx="802">
                  <c:v>43650</c:v>
                </c:pt>
                <c:pt idx="803">
                  <c:v>43651</c:v>
                </c:pt>
                <c:pt idx="804">
                  <c:v>43654</c:v>
                </c:pt>
                <c:pt idx="805">
                  <c:v>43655</c:v>
                </c:pt>
                <c:pt idx="806">
                  <c:v>43656</c:v>
                </c:pt>
                <c:pt idx="807">
                  <c:v>43657</c:v>
                </c:pt>
                <c:pt idx="808">
                  <c:v>43658</c:v>
                </c:pt>
                <c:pt idx="809">
                  <c:v>43661</c:v>
                </c:pt>
                <c:pt idx="810">
                  <c:v>43662</c:v>
                </c:pt>
                <c:pt idx="811">
                  <c:v>43663</c:v>
                </c:pt>
                <c:pt idx="812">
                  <c:v>43664</c:v>
                </c:pt>
                <c:pt idx="813">
                  <c:v>43665</c:v>
                </c:pt>
                <c:pt idx="814">
                  <c:v>43668</c:v>
                </c:pt>
                <c:pt idx="815">
                  <c:v>43669</c:v>
                </c:pt>
                <c:pt idx="816">
                  <c:v>43670</c:v>
                </c:pt>
                <c:pt idx="817">
                  <c:v>43671</c:v>
                </c:pt>
                <c:pt idx="818">
                  <c:v>43672</c:v>
                </c:pt>
                <c:pt idx="819">
                  <c:v>43675</c:v>
                </c:pt>
                <c:pt idx="820">
                  <c:v>43676</c:v>
                </c:pt>
                <c:pt idx="821">
                  <c:v>43677</c:v>
                </c:pt>
                <c:pt idx="822">
                  <c:v>43678</c:v>
                </c:pt>
                <c:pt idx="823">
                  <c:v>43679</c:v>
                </c:pt>
                <c:pt idx="824">
                  <c:v>43682</c:v>
                </c:pt>
                <c:pt idx="825">
                  <c:v>43683</c:v>
                </c:pt>
                <c:pt idx="826">
                  <c:v>43684</c:v>
                </c:pt>
                <c:pt idx="827">
                  <c:v>43685</c:v>
                </c:pt>
                <c:pt idx="828">
                  <c:v>43686</c:v>
                </c:pt>
                <c:pt idx="829">
                  <c:v>43689</c:v>
                </c:pt>
                <c:pt idx="830">
                  <c:v>43690</c:v>
                </c:pt>
                <c:pt idx="831">
                  <c:v>43691</c:v>
                </c:pt>
                <c:pt idx="832">
                  <c:v>43692</c:v>
                </c:pt>
                <c:pt idx="833">
                  <c:v>43693</c:v>
                </c:pt>
                <c:pt idx="834">
                  <c:v>43696</c:v>
                </c:pt>
                <c:pt idx="835">
                  <c:v>43697</c:v>
                </c:pt>
                <c:pt idx="836">
                  <c:v>43698</c:v>
                </c:pt>
                <c:pt idx="837">
                  <c:v>43699</c:v>
                </c:pt>
                <c:pt idx="838">
                  <c:v>43700</c:v>
                </c:pt>
                <c:pt idx="839">
                  <c:v>43703</c:v>
                </c:pt>
                <c:pt idx="840">
                  <c:v>43704</c:v>
                </c:pt>
                <c:pt idx="841">
                  <c:v>43705</c:v>
                </c:pt>
                <c:pt idx="842">
                  <c:v>43706</c:v>
                </c:pt>
                <c:pt idx="843">
                  <c:v>43707</c:v>
                </c:pt>
                <c:pt idx="844">
                  <c:v>43710</c:v>
                </c:pt>
                <c:pt idx="845">
                  <c:v>43711</c:v>
                </c:pt>
                <c:pt idx="846">
                  <c:v>43712</c:v>
                </c:pt>
                <c:pt idx="847">
                  <c:v>43713</c:v>
                </c:pt>
                <c:pt idx="848">
                  <c:v>43714</c:v>
                </c:pt>
                <c:pt idx="849">
                  <c:v>43717</c:v>
                </c:pt>
                <c:pt idx="850">
                  <c:v>43718</c:v>
                </c:pt>
                <c:pt idx="851">
                  <c:v>43719</c:v>
                </c:pt>
                <c:pt idx="852">
                  <c:v>43720</c:v>
                </c:pt>
                <c:pt idx="853">
                  <c:v>43724</c:v>
                </c:pt>
                <c:pt idx="854">
                  <c:v>43725</c:v>
                </c:pt>
                <c:pt idx="855">
                  <c:v>43726</c:v>
                </c:pt>
                <c:pt idx="856">
                  <c:v>43727</c:v>
                </c:pt>
                <c:pt idx="857">
                  <c:v>43728</c:v>
                </c:pt>
                <c:pt idx="858">
                  <c:v>43731</c:v>
                </c:pt>
                <c:pt idx="859">
                  <c:v>43732</c:v>
                </c:pt>
                <c:pt idx="860">
                  <c:v>43733</c:v>
                </c:pt>
                <c:pt idx="861">
                  <c:v>43734</c:v>
                </c:pt>
                <c:pt idx="862">
                  <c:v>43735</c:v>
                </c:pt>
                <c:pt idx="863">
                  <c:v>43738</c:v>
                </c:pt>
                <c:pt idx="864">
                  <c:v>43746</c:v>
                </c:pt>
                <c:pt idx="865">
                  <c:v>43747</c:v>
                </c:pt>
                <c:pt idx="866">
                  <c:v>43748</c:v>
                </c:pt>
                <c:pt idx="867">
                  <c:v>43749</c:v>
                </c:pt>
                <c:pt idx="868">
                  <c:v>43752</c:v>
                </c:pt>
                <c:pt idx="869">
                  <c:v>43753</c:v>
                </c:pt>
                <c:pt idx="870">
                  <c:v>43754</c:v>
                </c:pt>
                <c:pt idx="871">
                  <c:v>43755</c:v>
                </c:pt>
                <c:pt idx="872">
                  <c:v>43756</c:v>
                </c:pt>
                <c:pt idx="873">
                  <c:v>43759</c:v>
                </c:pt>
                <c:pt idx="874">
                  <c:v>43760</c:v>
                </c:pt>
                <c:pt idx="875">
                  <c:v>43761</c:v>
                </c:pt>
                <c:pt idx="876">
                  <c:v>43762</c:v>
                </c:pt>
                <c:pt idx="877">
                  <c:v>43763</c:v>
                </c:pt>
                <c:pt idx="878">
                  <c:v>43766</c:v>
                </c:pt>
                <c:pt idx="879">
                  <c:v>43767</c:v>
                </c:pt>
                <c:pt idx="880">
                  <c:v>43768</c:v>
                </c:pt>
                <c:pt idx="881">
                  <c:v>43769</c:v>
                </c:pt>
                <c:pt idx="882">
                  <c:v>43770</c:v>
                </c:pt>
                <c:pt idx="883">
                  <c:v>43773</c:v>
                </c:pt>
                <c:pt idx="884">
                  <c:v>43774</c:v>
                </c:pt>
                <c:pt idx="885">
                  <c:v>43775</c:v>
                </c:pt>
                <c:pt idx="886">
                  <c:v>43776</c:v>
                </c:pt>
                <c:pt idx="887">
                  <c:v>43777</c:v>
                </c:pt>
                <c:pt idx="888">
                  <c:v>43780</c:v>
                </c:pt>
                <c:pt idx="889">
                  <c:v>43781</c:v>
                </c:pt>
                <c:pt idx="890">
                  <c:v>43782</c:v>
                </c:pt>
                <c:pt idx="891">
                  <c:v>43783</c:v>
                </c:pt>
                <c:pt idx="892">
                  <c:v>43784</c:v>
                </c:pt>
                <c:pt idx="893">
                  <c:v>43787</c:v>
                </c:pt>
                <c:pt idx="894">
                  <c:v>43788</c:v>
                </c:pt>
                <c:pt idx="895">
                  <c:v>43789</c:v>
                </c:pt>
                <c:pt idx="896">
                  <c:v>43790</c:v>
                </c:pt>
                <c:pt idx="897">
                  <c:v>43791</c:v>
                </c:pt>
                <c:pt idx="898">
                  <c:v>43794</c:v>
                </c:pt>
                <c:pt idx="899">
                  <c:v>43795</c:v>
                </c:pt>
                <c:pt idx="900">
                  <c:v>43796</c:v>
                </c:pt>
                <c:pt idx="901">
                  <c:v>43797</c:v>
                </c:pt>
                <c:pt idx="902">
                  <c:v>43798</c:v>
                </c:pt>
                <c:pt idx="903">
                  <c:v>43801</c:v>
                </c:pt>
                <c:pt idx="904">
                  <c:v>43802</c:v>
                </c:pt>
                <c:pt idx="905">
                  <c:v>43803</c:v>
                </c:pt>
                <c:pt idx="906">
                  <c:v>43804</c:v>
                </c:pt>
                <c:pt idx="907">
                  <c:v>43805</c:v>
                </c:pt>
                <c:pt idx="908">
                  <c:v>43808</c:v>
                </c:pt>
                <c:pt idx="909">
                  <c:v>43809</c:v>
                </c:pt>
                <c:pt idx="910">
                  <c:v>43810</c:v>
                </c:pt>
                <c:pt idx="911">
                  <c:v>43811</c:v>
                </c:pt>
                <c:pt idx="912">
                  <c:v>43812</c:v>
                </c:pt>
                <c:pt idx="913">
                  <c:v>43815</c:v>
                </c:pt>
                <c:pt idx="914">
                  <c:v>43816</c:v>
                </c:pt>
                <c:pt idx="915">
                  <c:v>43817</c:v>
                </c:pt>
                <c:pt idx="916">
                  <c:v>43818</c:v>
                </c:pt>
                <c:pt idx="917">
                  <c:v>43819</c:v>
                </c:pt>
                <c:pt idx="918">
                  <c:v>43822</c:v>
                </c:pt>
                <c:pt idx="919">
                  <c:v>43823</c:v>
                </c:pt>
                <c:pt idx="920">
                  <c:v>43824</c:v>
                </c:pt>
                <c:pt idx="921">
                  <c:v>43825</c:v>
                </c:pt>
                <c:pt idx="922">
                  <c:v>43826</c:v>
                </c:pt>
                <c:pt idx="923">
                  <c:v>43829</c:v>
                </c:pt>
                <c:pt idx="924">
                  <c:v>43830</c:v>
                </c:pt>
                <c:pt idx="925">
                  <c:v>43832</c:v>
                </c:pt>
                <c:pt idx="926">
                  <c:v>43833</c:v>
                </c:pt>
                <c:pt idx="927">
                  <c:v>43836</c:v>
                </c:pt>
                <c:pt idx="928">
                  <c:v>43837</c:v>
                </c:pt>
                <c:pt idx="929">
                  <c:v>43838</c:v>
                </c:pt>
                <c:pt idx="930">
                  <c:v>43839</c:v>
                </c:pt>
                <c:pt idx="931">
                  <c:v>43840</c:v>
                </c:pt>
                <c:pt idx="932">
                  <c:v>43843</c:v>
                </c:pt>
                <c:pt idx="933">
                  <c:v>43844</c:v>
                </c:pt>
                <c:pt idx="934">
                  <c:v>43845</c:v>
                </c:pt>
                <c:pt idx="935">
                  <c:v>43846</c:v>
                </c:pt>
                <c:pt idx="936">
                  <c:v>43847</c:v>
                </c:pt>
                <c:pt idx="937">
                  <c:v>43850</c:v>
                </c:pt>
                <c:pt idx="938">
                  <c:v>43851</c:v>
                </c:pt>
                <c:pt idx="939">
                  <c:v>43852</c:v>
                </c:pt>
                <c:pt idx="940">
                  <c:v>43853</c:v>
                </c:pt>
                <c:pt idx="941">
                  <c:v>43865</c:v>
                </c:pt>
                <c:pt idx="942">
                  <c:v>43866</c:v>
                </c:pt>
                <c:pt idx="943">
                  <c:v>43867</c:v>
                </c:pt>
                <c:pt idx="944">
                  <c:v>43868</c:v>
                </c:pt>
                <c:pt idx="945">
                  <c:v>43871</c:v>
                </c:pt>
                <c:pt idx="946">
                  <c:v>43872</c:v>
                </c:pt>
                <c:pt idx="947">
                  <c:v>43873</c:v>
                </c:pt>
                <c:pt idx="948">
                  <c:v>43874</c:v>
                </c:pt>
                <c:pt idx="949">
                  <c:v>43875</c:v>
                </c:pt>
                <c:pt idx="950">
                  <c:v>43878</c:v>
                </c:pt>
                <c:pt idx="951">
                  <c:v>43879</c:v>
                </c:pt>
                <c:pt idx="952">
                  <c:v>43880</c:v>
                </c:pt>
                <c:pt idx="953">
                  <c:v>43881</c:v>
                </c:pt>
                <c:pt idx="954">
                  <c:v>43882</c:v>
                </c:pt>
                <c:pt idx="955">
                  <c:v>43885</c:v>
                </c:pt>
                <c:pt idx="956">
                  <c:v>43886</c:v>
                </c:pt>
                <c:pt idx="957">
                  <c:v>43887</c:v>
                </c:pt>
                <c:pt idx="958">
                  <c:v>43888</c:v>
                </c:pt>
                <c:pt idx="959">
                  <c:v>43889</c:v>
                </c:pt>
                <c:pt idx="960">
                  <c:v>43892</c:v>
                </c:pt>
                <c:pt idx="961">
                  <c:v>43893</c:v>
                </c:pt>
                <c:pt idx="962">
                  <c:v>43894</c:v>
                </c:pt>
                <c:pt idx="963">
                  <c:v>43895</c:v>
                </c:pt>
                <c:pt idx="964">
                  <c:v>43896</c:v>
                </c:pt>
                <c:pt idx="965">
                  <c:v>43899</c:v>
                </c:pt>
                <c:pt idx="966">
                  <c:v>43900</c:v>
                </c:pt>
                <c:pt idx="967">
                  <c:v>43901</c:v>
                </c:pt>
                <c:pt idx="968">
                  <c:v>43902</c:v>
                </c:pt>
                <c:pt idx="969">
                  <c:v>43903</c:v>
                </c:pt>
                <c:pt idx="970">
                  <c:v>43906</c:v>
                </c:pt>
                <c:pt idx="971">
                  <c:v>43907</c:v>
                </c:pt>
                <c:pt idx="972">
                  <c:v>43908</c:v>
                </c:pt>
                <c:pt idx="973">
                  <c:v>43909</c:v>
                </c:pt>
                <c:pt idx="974">
                  <c:v>43910</c:v>
                </c:pt>
                <c:pt idx="975">
                  <c:v>43913</c:v>
                </c:pt>
                <c:pt idx="976">
                  <c:v>43914</c:v>
                </c:pt>
                <c:pt idx="977">
                  <c:v>43915</c:v>
                </c:pt>
                <c:pt idx="978">
                  <c:v>43916</c:v>
                </c:pt>
                <c:pt idx="979">
                  <c:v>43917</c:v>
                </c:pt>
                <c:pt idx="980">
                  <c:v>43920</c:v>
                </c:pt>
                <c:pt idx="981">
                  <c:v>43921</c:v>
                </c:pt>
                <c:pt idx="982">
                  <c:v>43922</c:v>
                </c:pt>
                <c:pt idx="983">
                  <c:v>43923</c:v>
                </c:pt>
                <c:pt idx="984">
                  <c:v>43924</c:v>
                </c:pt>
                <c:pt idx="985">
                  <c:v>43928</c:v>
                </c:pt>
                <c:pt idx="986">
                  <c:v>43929</c:v>
                </c:pt>
                <c:pt idx="987">
                  <c:v>43930</c:v>
                </c:pt>
                <c:pt idx="988">
                  <c:v>43931</c:v>
                </c:pt>
                <c:pt idx="989">
                  <c:v>43934</c:v>
                </c:pt>
                <c:pt idx="990">
                  <c:v>43935</c:v>
                </c:pt>
                <c:pt idx="991">
                  <c:v>43936</c:v>
                </c:pt>
                <c:pt idx="992">
                  <c:v>43937</c:v>
                </c:pt>
                <c:pt idx="993">
                  <c:v>43938</c:v>
                </c:pt>
                <c:pt idx="994">
                  <c:v>43941</c:v>
                </c:pt>
                <c:pt idx="995">
                  <c:v>43942</c:v>
                </c:pt>
                <c:pt idx="996">
                  <c:v>43943</c:v>
                </c:pt>
                <c:pt idx="997">
                  <c:v>43944</c:v>
                </c:pt>
                <c:pt idx="998">
                  <c:v>43945</c:v>
                </c:pt>
                <c:pt idx="999">
                  <c:v>43948</c:v>
                </c:pt>
                <c:pt idx="1000">
                  <c:v>43949</c:v>
                </c:pt>
                <c:pt idx="1001">
                  <c:v>43950</c:v>
                </c:pt>
                <c:pt idx="1002">
                  <c:v>43951</c:v>
                </c:pt>
                <c:pt idx="1003">
                  <c:v>43957</c:v>
                </c:pt>
                <c:pt idx="1004">
                  <c:v>43958</c:v>
                </c:pt>
                <c:pt idx="1005">
                  <c:v>43959</c:v>
                </c:pt>
                <c:pt idx="1006">
                  <c:v>43962</c:v>
                </c:pt>
                <c:pt idx="1007">
                  <c:v>43963</c:v>
                </c:pt>
                <c:pt idx="1008">
                  <c:v>43964</c:v>
                </c:pt>
                <c:pt idx="1009">
                  <c:v>43965</c:v>
                </c:pt>
                <c:pt idx="1010">
                  <c:v>43966</c:v>
                </c:pt>
                <c:pt idx="1011">
                  <c:v>43969</c:v>
                </c:pt>
                <c:pt idx="1012">
                  <c:v>43970</c:v>
                </c:pt>
                <c:pt idx="1013">
                  <c:v>43971</c:v>
                </c:pt>
                <c:pt idx="1014">
                  <c:v>43972</c:v>
                </c:pt>
                <c:pt idx="1015">
                  <c:v>43973</c:v>
                </c:pt>
                <c:pt idx="1016">
                  <c:v>43976</c:v>
                </c:pt>
                <c:pt idx="1017">
                  <c:v>43977</c:v>
                </c:pt>
                <c:pt idx="1018">
                  <c:v>43978</c:v>
                </c:pt>
                <c:pt idx="1019">
                  <c:v>43979</c:v>
                </c:pt>
                <c:pt idx="1020">
                  <c:v>43980</c:v>
                </c:pt>
                <c:pt idx="1021">
                  <c:v>43983</c:v>
                </c:pt>
                <c:pt idx="1022">
                  <c:v>43984</c:v>
                </c:pt>
                <c:pt idx="1023">
                  <c:v>43985</c:v>
                </c:pt>
                <c:pt idx="1024">
                  <c:v>43986</c:v>
                </c:pt>
                <c:pt idx="1025">
                  <c:v>43987</c:v>
                </c:pt>
                <c:pt idx="1026">
                  <c:v>43990</c:v>
                </c:pt>
                <c:pt idx="1027">
                  <c:v>43991</c:v>
                </c:pt>
                <c:pt idx="1028">
                  <c:v>43992</c:v>
                </c:pt>
                <c:pt idx="1029">
                  <c:v>43993</c:v>
                </c:pt>
                <c:pt idx="1030">
                  <c:v>43994</c:v>
                </c:pt>
                <c:pt idx="1031">
                  <c:v>43997</c:v>
                </c:pt>
                <c:pt idx="1032">
                  <c:v>43998</c:v>
                </c:pt>
                <c:pt idx="1033">
                  <c:v>43999</c:v>
                </c:pt>
                <c:pt idx="1034">
                  <c:v>44000</c:v>
                </c:pt>
                <c:pt idx="1035">
                  <c:v>44001</c:v>
                </c:pt>
                <c:pt idx="1036">
                  <c:v>44004</c:v>
                </c:pt>
                <c:pt idx="1037">
                  <c:v>44005</c:v>
                </c:pt>
                <c:pt idx="1038">
                  <c:v>44006</c:v>
                </c:pt>
                <c:pt idx="1039">
                  <c:v>44011</c:v>
                </c:pt>
                <c:pt idx="1040">
                  <c:v>44012</c:v>
                </c:pt>
                <c:pt idx="1041">
                  <c:v>44013</c:v>
                </c:pt>
                <c:pt idx="1042">
                  <c:v>44014</c:v>
                </c:pt>
                <c:pt idx="1043">
                  <c:v>44015</c:v>
                </c:pt>
                <c:pt idx="1044">
                  <c:v>44018</c:v>
                </c:pt>
                <c:pt idx="1045">
                  <c:v>44019</c:v>
                </c:pt>
                <c:pt idx="1046">
                  <c:v>44020</c:v>
                </c:pt>
                <c:pt idx="1047">
                  <c:v>44021</c:v>
                </c:pt>
                <c:pt idx="1048">
                  <c:v>44022</c:v>
                </c:pt>
                <c:pt idx="1049">
                  <c:v>44025</c:v>
                </c:pt>
                <c:pt idx="1050">
                  <c:v>44026</c:v>
                </c:pt>
                <c:pt idx="1051">
                  <c:v>44027</c:v>
                </c:pt>
                <c:pt idx="1052">
                  <c:v>44028</c:v>
                </c:pt>
                <c:pt idx="1053">
                  <c:v>44029</c:v>
                </c:pt>
                <c:pt idx="1054">
                  <c:v>44032</c:v>
                </c:pt>
                <c:pt idx="1055">
                  <c:v>44033</c:v>
                </c:pt>
                <c:pt idx="1056">
                  <c:v>44034</c:v>
                </c:pt>
                <c:pt idx="1057">
                  <c:v>44035</c:v>
                </c:pt>
                <c:pt idx="1058">
                  <c:v>44036</c:v>
                </c:pt>
                <c:pt idx="1059">
                  <c:v>44039</c:v>
                </c:pt>
                <c:pt idx="1060">
                  <c:v>44040</c:v>
                </c:pt>
                <c:pt idx="1061">
                  <c:v>44041</c:v>
                </c:pt>
                <c:pt idx="1062">
                  <c:v>44042</c:v>
                </c:pt>
                <c:pt idx="1063">
                  <c:v>44043</c:v>
                </c:pt>
                <c:pt idx="1064">
                  <c:v>44046</c:v>
                </c:pt>
                <c:pt idx="1065">
                  <c:v>44047</c:v>
                </c:pt>
                <c:pt idx="1066">
                  <c:v>44048</c:v>
                </c:pt>
                <c:pt idx="1067">
                  <c:v>44049</c:v>
                </c:pt>
                <c:pt idx="1068">
                  <c:v>44050</c:v>
                </c:pt>
                <c:pt idx="1069">
                  <c:v>44053</c:v>
                </c:pt>
                <c:pt idx="1070">
                  <c:v>44054</c:v>
                </c:pt>
                <c:pt idx="1071">
                  <c:v>44055</c:v>
                </c:pt>
                <c:pt idx="1072">
                  <c:v>44056</c:v>
                </c:pt>
                <c:pt idx="1073">
                  <c:v>44057</c:v>
                </c:pt>
                <c:pt idx="1074">
                  <c:v>44060</c:v>
                </c:pt>
                <c:pt idx="1075">
                  <c:v>44061</c:v>
                </c:pt>
                <c:pt idx="1076">
                  <c:v>44062</c:v>
                </c:pt>
                <c:pt idx="1077">
                  <c:v>44063</c:v>
                </c:pt>
                <c:pt idx="1078">
                  <c:v>44064</c:v>
                </c:pt>
                <c:pt idx="1079">
                  <c:v>44067</c:v>
                </c:pt>
                <c:pt idx="1080">
                  <c:v>44068</c:v>
                </c:pt>
                <c:pt idx="1081">
                  <c:v>44069</c:v>
                </c:pt>
                <c:pt idx="1082">
                  <c:v>44070</c:v>
                </c:pt>
                <c:pt idx="1083">
                  <c:v>44071</c:v>
                </c:pt>
                <c:pt idx="1084">
                  <c:v>44074</c:v>
                </c:pt>
                <c:pt idx="1085">
                  <c:v>44075</c:v>
                </c:pt>
                <c:pt idx="1086">
                  <c:v>44076</c:v>
                </c:pt>
                <c:pt idx="1087">
                  <c:v>44077</c:v>
                </c:pt>
                <c:pt idx="1088">
                  <c:v>44078</c:v>
                </c:pt>
                <c:pt idx="1089">
                  <c:v>44081</c:v>
                </c:pt>
                <c:pt idx="1090">
                  <c:v>44082</c:v>
                </c:pt>
                <c:pt idx="1091">
                  <c:v>44083</c:v>
                </c:pt>
                <c:pt idx="1092">
                  <c:v>44084</c:v>
                </c:pt>
                <c:pt idx="1093">
                  <c:v>44085</c:v>
                </c:pt>
                <c:pt idx="1094">
                  <c:v>44088</c:v>
                </c:pt>
                <c:pt idx="1095">
                  <c:v>44089</c:v>
                </c:pt>
                <c:pt idx="1096">
                  <c:v>44090</c:v>
                </c:pt>
                <c:pt idx="1097">
                  <c:v>44091</c:v>
                </c:pt>
                <c:pt idx="1098">
                  <c:v>44092</c:v>
                </c:pt>
                <c:pt idx="1099">
                  <c:v>44095</c:v>
                </c:pt>
                <c:pt idx="1100">
                  <c:v>44096</c:v>
                </c:pt>
                <c:pt idx="1101">
                  <c:v>44097</c:v>
                </c:pt>
                <c:pt idx="1102">
                  <c:v>44098</c:v>
                </c:pt>
                <c:pt idx="1103">
                  <c:v>44099</c:v>
                </c:pt>
                <c:pt idx="1104">
                  <c:v>44102</c:v>
                </c:pt>
                <c:pt idx="1105">
                  <c:v>44103</c:v>
                </c:pt>
                <c:pt idx="1106">
                  <c:v>44104</c:v>
                </c:pt>
                <c:pt idx="1107">
                  <c:v>44113</c:v>
                </c:pt>
                <c:pt idx="1108">
                  <c:v>44116</c:v>
                </c:pt>
                <c:pt idx="1109">
                  <c:v>44117</c:v>
                </c:pt>
                <c:pt idx="1110">
                  <c:v>44118</c:v>
                </c:pt>
                <c:pt idx="1111">
                  <c:v>44119</c:v>
                </c:pt>
                <c:pt idx="1112">
                  <c:v>44120</c:v>
                </c:pt>
                <c:pt idx="1113">
                  <c:v>44123</c:v>
                </c:pt>
                <c:pt idx="1114">
                  <c:v>44124</c:v>
                </c:pt>
                <c:pt idx="1115">
                  <c:v>44125</c:v>
                </c:pt>
                <c:pt idx="1116">
                  <c:v>44126</c:v>
                </c:pt>
                <c:pt idx="1117">
                  <c:v>44127</c:v>
                </c:pt>
                <c:pt idx="1118">
                  <c:v>44130</c:v>
                </c:pt>
                <c:pt idx="1119">
                  <c:v>44131</c:v>
                </c:pt>
                <c:pt idx="1120">
                  <c:v>44132</c:v>
                </c:pt>
                <c:pt idx="1121">
                  <c:v>44133</c:v>
                </c:pt>
                <c:pt idx="1122">
                  <c:v>44134</c:v>
                </c:pt>
                <c:pt idx="1123">
                  <c:v>44137</c:v>
                </c:pt>
                <c:pt idx="1124">
                  <c:v>44138</c:v>
                </c:pt>
                <c:pt idx="1125">
                  <c:v>44139</c:v>
                </c:pt>
                <c:pt idx="1126">
                  <c:v>44140</c:v>
                </c:pt>
                <c:pt idx="1127">
                  <c:v>44141</c:v>
                </c:pt>
                <c:pt idx="1128">
                  <c:v>44144</c:v>
                </c:pt>
                <c:pt idx="1129">
                  <c:v>44145</c:v>
                </c:pt>
                <c:pt idx="1130">
                  <c:v>44146</c:v>
                </c:pt>
                <c:pt idx="1131">
                  <c:v>44147</c:v>
                </c:pt>
                <c:pt idx="1132">
                  <c:v>44148</c:v>
                </c:pt>
                <c:pt idx="1133">
                  <c:v>44151</c:v>
                </c:pt>
                <c:pt idx="1134">
                  <c:v>44152</c:v>
                </c:pt>
                <c:pt idx="1135">
                  <c:v>44153</c:v>
                </c:pt>
                <c:pt idx="1136">
                  <c:v>44154</c:v>
                </c:pt>
                <c:pt idx="1137">
                  <c:v>44155</c:v>
                </c:pt>
                <c:pt idx="1138">
                  <c:v>44158</c:v>
                </c:pt>
                <c:pt idx="1139">
                  <c:v>44159</c:v>
                </c:pt>
                <c:pt idx="1140">
                  <c:v>44160</c:v>
                </c:pt>
                <c:pt idx="1141">
                  <c:v>44161</c:v>
                </c:pt>
                <c:pt idx="1142">
                  <c:v>44162</c:v>
                </c:pt>
                <c:pt idx="1143">
                  <c:v>44165</c:v>
                </c:pt>
                <c:pt idx="1144">
                  <c:v>44166</c:v>
                </c:pt>
                <c:pt idx="1145">
                  <c:v>44167</c:v>
                </c:pt>
                <c:pt idx="1146">
                  <c:v>44168</c:v>
                </c:pt>
                <c:pt idx="1147">
                  <c:v>44169</c:v>
                </c:pt>
                <c:pt idx="1148">
                  <c:v>44172</c:v>
                </c:pt>
                <c:pt idx="1149">
                  <c:v>44173</c:v>
                </c:pt>
                <c:pt idx="1150">
                  <c:v>44174</c:v>
                </c:pt>
                <c:pt idx="1151">
                  <c:v>44175</c:v>
                </c:pt>
                <c:pt idx="1152">
                  <c:v>44176</c:v>
                </c:pt>
                <c:pt idx="1153">
                  <c:v>44179</c:v>
                </c:pt>
                <c:pt idx="1154">
                  <c:v>44180</c:v>
                </c:pt>
                <c:pt idx="1155">
                  <c:v>44181</c:v>
                </c:pt>
                <c:pt idx="1156">
                  <c:v>44182</c:v>
                </c:pt>
                <c:pt idx="1157">
                  <c:v>44183</c:v>
                </c:pt>
                <c:pt idx="1158">
                  <c:v>44186</c:v>
                </c:pt>
                <c:pt idx="1159">
                  <c:v>44187</c:v>
                </c:pt>
                <c:pt idx="1160">
                  <c:v>44188</c:v>
                </c:pt>
                <c:pt idx="1161">
                  <c:v>44189</c:v>
                </c:pt>
                <c:pt idx="1162">
                  <c:v>44190</c:v>
                </c:pt>
                <c:pt idx="1163">
                  <c:v>44193</c:v>
                </c:pt>
                <c:pt idx="1164">
                  <c:v>44194</c:v>
                </c:pt>
                <c:pt idx="1165">
                  <c:v>44195</c:v>
                </c:pt>
                <c:pt idx="1166">
                  <c:v>44196</c:v>
                </c:pt>
                <c:pt idx="1167">
                  <c:v>44200</c:v>
                </c:pt>
                <c:pt idx="1168">
                  <c:v>44201</c:v>
                </c:pt>
                <c:pt idx="1169">
                  <c:v>44202</c:v>
                </c:pt>
                <c:pt idx="1170">
                  <c:v>44203</c:v>
                </c:pt>
                <c:pt idx="1171">
                  <c:v>44204</c:v>
                </c:pt>
                <c:pt idx="1172">
                  <c:v>44207</c:v>
                </c:pt>
                <c:pt idx="1173">
                  <c:v>44208</c:v>
                </c:pt>
                <c:pt idx="1174">
                  <c:v>44209</c:v>
                </c:pt>
                <c:pt idx="1175">
                  <c:v>44210</c:v>
                </c:pt>
                <c:pt idx="1176">
                  <c:v>44211</c:v>
                </c:pt>
                <c:pt idx="1177">
                  <c:v>44214</c:v>
                </c:pt>
                <c:pt idx="1178">
                  <c:v>44215</c:v>
                </c:pt>
                <c:pt idx="1179">
                  <c:v>44216</c:v>
                </c:pt>
                <c:pt idx="1180">
                  <c:v>44217</c:v>
                </c:pt>
                <c:pt idx="1181">
                  <c:v>44218</c:v>
                </c:pt>
                <c:pt idx="1182">
                  <c:v>44221</c:v>
                </c:pt>
                <c:pt idx="1183">
                  <c:v>44222</c:v>
                </c:pt>
                <c:pt idx="1184">
                  <c:v>44223</c:v>
                </c:pt>
                <c:pt idx="1185">
                  <c:v>44224</c:v>
                </c:pt>
                <c:pt idx="1186">
                  <c:v>44225</c:v>
                </c:pt>
                <c:pt idx="1187">
                  <c:v>44228</c:v>
                </c:pt>
                <c:pt idx="1188">
                  <c:v>44229</c:v>
                </c:pt>
                <c:pt idx="1189">
                  <c:v>44230</c:v>
                </c:pt>
                <c:pt idx="1190">
                  <c:v>44231</c:v>
                </c:pt>
                <c:pt idx="1191">
                  <c:v>44232</c:v>
                </c:pt>
                <c:pt idx="1192">
                  <c:v>44235</c:v>
                </c:pt>
                <c:pt idx="1193">
                  <c:v>44236</c:v>
                </c:pt>
                <c:pt idx="1194">
                  <c:v>44237</c:v>
                </c:pt>
                <c:pt idx="1195">
                  <c:v>44245</c:v>
                </c:pt>
                <c:pt idx="1196">
                  <c:v>44246</c:v>
                </c:pt>
                <c:pt idx="1197">
                  <c:v>44249</c:v>
                </c:pt>
                <c:pt idx="1198">
                  <c:v>44250</c:v>
                </c:pt>
                <c:pt idx="1199">
                  <c:v>44251</c:v>
                </c:pt>
                <c:pt idx="1200">
                  <c:v>44252</c:v>
                </c:pt>
                <c:pt idx="1201">
                  <c:v>44253</c:v>
                </c:pt>
                <c:pt idx="1202">
                  <c:v>44256</c:v>
                </c:pt>
                <c:pt idx="1203">
                  <c:v>44257</c:v>
                </c:pt>
                <c:pt idx="1204">
                  <c:v>44258</c:v>
                </c:pt>
                <c:pt idx="1205">
                  <c:v>44259</c:v>
                </c:pt>
                <c:pt idx="1206">
                  <c:v>44260</c:v>
                </c:pt>
                <c:pt idx="1207">
                  <c:v>44263</c:v>
                </c:pt>
                <c:pt idx="1208">
                  <c:v>44264</c:v>
                </c:pt>
                <c:pt idx="1209">
                  <c:v>44265</c:v>
                </c:pt>
                <c:pt idx="1210">
                  <c:v>44266</c:v>
                </c:pt>
                <c:pt idx="1211">
                  <c:v>44267</c:v>
                </c:pt>
                <c:pt idx="1212">
                  <c:v>44270</c:v>
                </c:pt>
                <c:pt idx="1213">
                  <c:v>44271</c:v>
                </c:pt>
                <c:pt idx="1214">
                  <c:v>44272</c:v>
                </c:pt>
                <c:pt idx="1215">
                  <c:v>44273</c:v>
                </c:pt>
                <c:pt idx="1216">
                  <c:v>44274</c:v>
                </c:pt>
                <c:pt idx="1217">
                  <c:v>44277</c:v>
                </c:pt>
                <c:pt idx="1218">
                  <c:v>44278</c:v>
                </c:pt>
                <c:pt idx="1219">
                  <c:v>44279</c:v>
                </c:pt>
                <c:pt idx="1220">
                  <c:v>44280</c:v>
                </c:pt>
                <c:pt idx="1221">
                  <c:v>44281</c:v>
                </c:pt>
                <c:pt idx="1222">
                  <c:v>44284</c:v>
                </c:pt>
                <c:pt idx="1223">
                  <c:v>44285</c:v>
                </c:pt>
                <c:pt idx="1224">
                  <c:v>44286</c:v>
                </c:pt>
                <c:pt idx="1225">
                  <c:v>44287</c:v>
                </c:pt>
                <c:pt idx="1226">
                  <c:v>44288</c:v>
                </c:pt>
                <c:pt idx="1227">
                  <c:v>44292</c:v>
                </c:pt>
                <c:pt idx="1228">
                  <c:v>44293</c:v>
                </c:pt>
                <c:pt idx="1229">
                  <c:v>44294</c:v>
                </c:pt>
                <c:pt idx="1230">
                  <c:v>44295</c:v>
                </c:pt>
                <c:pt idx="1231">
                  <c:v>44298</c:v>
                </c:pt>
                <c:pt idx="1232">
                  <c:v>44299</c:v>
                </c:pt>
                <c:pt idx="1233">
                  <c:v>44300</c:v>
                </c:pt>
                <c:pt idx="1234">
                  <c:v>44301</c:v>
                </c:pt>
                <c:pt idx="1235">
                  <c:v>44302</c:v>
                </c:pt>
                <c:pt idx="1236">
                  <c:v>44305</c:v>
                </c:pt>
                <c:pt idx="1237">
                  <c:v>44306</c:v>
                </c:pt>
                <c:pt idx="1238">
                  <c:v>44307</c:v>
                </c:pt>
                <c:pt idx="1239">
                  <c:v>44308</c:v>
                </c:pt>
                <c:pt idx="1240">
                  <c:v>44309</c:v>
                </c:pt>
                <c:pt idx="1241">
                  <c:v>44312</c:v>
                </c:pt>
                <c:pt idx="1242">
                  <c:v>44313</c:v>
                </c:pt>
                <c:pt idx="1243">
                  <c:v>44314</c:v>
                </c:pt>
                <c:pt idx="1244">
                  <c:v>44315</c:v>
                </c:pt>
                <c:pt idx="1245">
                  <c:v>44316</c:v>
                </c:pt>
                <c:pt idx="1246">
                  <c:v>44322</c:v>
                </c:pt>
                <c:pt idx="1247">
                  <c:v>44323</c:v>
                </c:pt>
                <c:pt idx="1248">
                  <c:v>44326</c:v>
                </c:pt>
                <c:pt idx="1249">
                  <c:v>44327</c:v>
                </c:pt>
                <c:pt idx="1250">
                  <c:v>44328</c:v>
                </c:pt>
                <c:pt idx="1251">
                  <c:v>44329</c:v>
                </c:pt>
                <c:pt idx="1252">
                  <c:v>44330</c:v>
                </c:pt>
                <c:pt idx="1253">
                  <c:v>44333</c:v>
                </c:pt>
                <c:pt idx="1254">
                  <c:v>44334</c:v>
                </c:pt>
                <c:pt idx="1255">
                  <c:v>44335</c:v>
                </c:pt>
                <c:pt idx="1256">
                  <c:v>44336</c:v>
                </c:pt>
                <c:pt idx="1257">
                  <c:v>44337</c:v>
                </c:pt>
                <c:pt idx="1258">
                  <c:v>44340</c:v>
                </c:pt>
                <c:pt idx="1259">
                  <c:v>44341</c:v>
                </c:pt>
                <c:pt idx="1260">
                  <c:v>44342</c:v>
                </c:pt>
                <c:pt idx="1261">
                  <c:v>44343</c:v>
                </c:pt>
                <c:pt idx="1262">
                  <c:v>44344</c:v>
                </c:pt>
                <c:pt idx="1263">
                  <c:v>44347</c:v>
                </c:pt>
                <c:pt idx="1264">
                  <c:v>44348</c:v>
                </c:pt>
                <c:pt idx="1265">
                  <c:v>44349</c:v>
                </c:pt>
                <c:pt idx="1266">
                  <c:v>44350</c:v>
                </c:pt>
                <c:pt idx="1267">
                  <c:v>44351</c:v>
                </c:pt>
                <c:pt idx="1268">
                  <c:v>44354</c:v>
                </c:pt>
                <c:pt idx="1269">
                  <c:v>44355</c:v>
                </c:pt>
                <c:pt idx="1270">
                  <c:v>44356</c:v>
                </c:pt>
                <c:pt idx="1271">
                  <c:v>44357</c:v>
                </c:pt>
                <c:pt idx="1272">
                  <c:v>44358</c:v>
                </c:pt>
                <c:pt idx="1273">
                  <c:v>44362</c:v>
                </c:pt>
                <c:pt idx="1274">
                  <c:v>44363</c:v>
                </c:pt>
                <c:pt idx="1275">
                  <c:v>44364</c:v>
                </c:pt>
                <c:pt idx="1276">
                  <c:v>44365</c:v>
                </c:pt>
                <c:pt idx="1277">
                  <c:v>44368</c:v>
                </c:pt>
                <c:pt idx="1278">
                  <c:v>44369</c:v>
                </c:pt>
                <c:pt idx="1279">
                  <c:v>44370</c:v>
                </c:pt>
                <c:pt idx="1280">
                  <c:v>44371</c:v>
                </c:pt>
                <c:pt idx="1281">
                  <c:v>44372</c:v>
                </c:pt>
                <c:pt idx="1282">
                  <c:v>44375</c:v>
                </c:pt>
                <c:pt idx="1283">
                  <c:v>44376</c:v>
                </c:pt>
                <c:pt idx="1284">
                  <c:v>44377</c:v>
                </c:pt>
                <c:pt idx="1285">
                  <c:v>44378</c:v>
                </c:pt>
                <c:pt idx="1286">
                  <c:v>44379</c:v>
                </c:pt>
                <c:pt idx="1287">
                  <c:v>44382</c:v>
                </c:pt>
                <c:pt idx="1288">
                  <c:v>44383</c:v>
                </c:pt>
                <c:pt idx="1289">
                  <c:v>44384</c:v>
                </c:pt>
                <c:pt idx="1290">
                  <c:v>44385</c:v>
                </c:pt>
                <c:pt idx="1291">
                  <c:v>44386</c:v>
                </c:pt>
                <c:pt idx="1292">
                  <c:v>44389</c:v>
                </c:pt>
                <c:pt idx="1293">
                  <c:v>44390</c:v>
                </c:pt>
                <c:pt idx="1294">
                  <c:v>44391</c:v>
                </c:pt>
                <c:pt idx="1295">
                  <c:v>44392</c:v>
                </c:pt>
                <c:pt idx="1296">
                  <c:v>44393</c:v>
                </c:pt>
                <c:pt idx="1297">
                  <c:v>44396</c:v>
                </c:pt>
                <c:pt idx="1298">
                  <c:v>44397</c:v>
                </c:pt>
                <c:pt idx="1299">
                  <c:v>44398</c:v>
                </c:pt>
                <c:pt idx="1300">
                  <c:v>44399</c:v>
                </c:pt>
                <c:pt idx="1301">
                  <c:v>44400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</c:numCache>
            </c:numRef>
          </c:cat>
          <c:val>
            <c:numRef>
              <c:f>vix!$C$2:$C$1308</c:f>
              <c:numCache>
                <c:formatCode>General</c:formatCode>
                <c:ptCount val="1307"/>
                <c:pt idx="1044">
                  <c:v>32.575674321626579</c:v>
                </c:pt>
                <c:pt idx="1045">
                  <c:v>31.955067069885839</c:v>
                </c:pt>
                <c:pt idx="1046">
                  <c:v>33.007560651660199</c:v>
                </c:pt>
                <c:pt idx="1047">
                  <c:v>33.067158790329763</c:v>
                </c:pt>
                <c:pt idx="1048">
                  <c:v>32.054063608065299</c:v>
                </c:pt>
                <c:pt idx="1049">
                  <c:v>29.100192613700742</c:v>
                </c:pt>
                <c:pt idx="1050">
                  <c:v>29.19495068695473</c:v>
                </c:pt>
                <c:pt idx="1051">
                  <c:v>34.675337518912229</c:v>
                </c:pt>
                <c:pt idx="1052">
                  <c:v>36.874447139525479</c:v>
                </c:pt>
                <c:pt idx="1053">
                  <c:v>31.950037661262741</c:v>
                </c:pt>
                <c:pt idx="1054">
                  <c:v>31.208939328693539</c:v>
                </c:pt>
                <c:pt idx="1055">
                  <c:v>29.36115938758487</c:v>
                </c:pt>
                <c:pt idx="1056">
                  <c:v>28.707710923336379</c:v>
                </c:pt>
                <c:pt idx="1057">
                  <c:v>29.32573161365378</c:v>
                </c:pt>
                <c:pt idx="1058">
                  <c:v>32.026558018148549</c:v>
                </c:pt>
                <c:pt idx="1059">
                  <c:v>29.217757537932371</c:v>
                </c:pt>
                <c:pt idx="1060">
                  <c:v>28.67054452424669</c:v>
                </c:pt>
                <c:pt idx="1061">
                  <c:v>29.207883938511021</c:v>
                </c:pt>
                <c:pt idx="1062">
                  <c:v>29.39743408605262</c:v>
                </c:pt>
                <c:pt idx="1063">
                  <c:v>30.44637243115816</c:v>
                </c:pt>
                <c:pt idx="1064">
                  <c:v>31.361535639641509</c:v>
                </c:pt>
                <c:pt idx="1065">
                  <c:v>30.930921061166899</c:v>
                </c:pt>
                <c:pt idx="1066">
                  <c:v>31.027813237001929</c:v>
                </c:pt>
                <c:pt idx="1067">
                  <c:v>31.153387734884351</c:v>
                </c:pt>
                <c:pt idx="1068">
                  <c:v>30.321429448787381</c:v>
                </c:pt>
                <c:pt idx="1069">
                  <c:v>30.31127959436693</c:v>
                </c:pt>
                <c:pt idx="1070">
                  <c:v>29.357079437008409</c:v>
                </c:pt>
                <c:pt idx="1071">
                  <c:v>28.993471655073009</c:v>
                </c:pt>
                <c:pt idx="1072">
                  <c:v>28.524625856667789</c:v>
                </c:pt>
                <c:pt idx="1073">
                  <c:v>27.903451340814541</c:v>
                </c:pt>
                <c:pt idx="1074">
                  <c:v>30.740652026772249</c:v>
                </c:pt>
                <c:pt idx="1075">
                  <c:v>30.451447740425781</c:v>
                </c:pt>
                <c:pt idx="1076">
                  <c:v>31.78520312720358</c:v>
                </c:pt>
                <c:pt idx="1077">
                  <c:v>30.70781367897154</c:v>
                </c:pt>
                <c:pt idx="1078">
                  <c:v>30.120294152285538</c:v>
                </c:pt>
                <c:pt idx="1079">
                  <c:v>27.900487215006571</c:v>
                </c:pt>
                <c:pt idx="1080">
                  <c:v>27.27812816770416</c:v>
                </c:pt>
                <c:pt idx="1081">
                  <c:v>28.27729594331225</c:v>
                </c:pt>
                <c:pt idx="1082">
                  <c:v>26.13749480178636</c:v>
                </c:pt>
                <c:pt idx="1083">
                  <c:v>26.58042458279774</c:v>
                </c:pt>
                <c:pt idx="1084">
                  <c:v>26.286731019330119</c:v>
                </c:pt>
                <c:pt idx="1085">
                  <c:v>26.179275826559891</c:v>
                </c:pt>
                <c:pt idx="1086">
                  <c:v>26.616189754321528</c:v>
                </c:pt>
                <c:pt idx="1087">
                  <c:v>26.708026147688742</c:v>
                </c:pt>
                <c:pt idx="1088">
                  <c:v>26.571577977295512</c:v>
                </c:pt>
                <c:pt idx="1089">
                  <c:v>26.90666241482057</c:v>
                </c:pt>
                <c:pt idx="1090">
                  <c:v>26.27400425823518</c:v>
                </c:pt>
                <c:pt idx="1091">
                  <c:v>27.04889536677468</c:v>
                </c:pt>
                <c:pt idx="1092">
                  <c:v>25.34117721449897</c:v>
                </c:pt>
                <c:pt idx="1093">
                  <c:v>24.159201561548631</c:v>
                </c:pt>
                <c:pt idx="1094">
                  <c:v>22.87442436281346</c:v>
                </c:pt>
                <c:pt idx="1095">
                  <c:v>22.40037266147694</c:v>
                </c:pt>
                <c:pt idx="1096">
                  <c:v>25.611960430009329</c:v>
                </c:pt>
                <c:pt idx="1097">
                  <c:v>25.36010735824307</c:v>
                </c:pt>
                <c:pt idx="1098">
                  <c:v>26.51253328673835</c:v>
                </c:pt>
                <c:pt idx="1099">
                  <c:v>25.968085523333521</c:v>
                </c:pt>
                <c:pt idx="1100">
                  <c:v>25.88212199978793</c:v>
                </c:pt>
                <c:pt idx="1101">
                  <c:v>24.85117731728953</c:v>
                </c:pt>
                <c:pt idx="1102">
                  <c:v>25.7302305642189</c:v>
                </c:pt>
                <c:pt idx="1103">
                  <c:v>25.72538699344161</c:v>
                </c:pt>
                <c:pt idx="1104">
                  <c:v>25.80557416762425</c:v>
                </c:pt>
                <c:pt idx="1105">
                  <c:v>26.955455258500638</c:v>
                </c:pt>
                <c:pt idx="1106">
                  <c:v>27.50452734421696</c:v>
                </c:pt>
                <c:pt idx="1107">
                  <c:v>22.448810530326</c:v>
                </c:pt>
                <c:pt idx="1108">
                  <c:v>24.223265402418519</c:v>
                </c:pt>
                <c:pt idx="1109">
                  <c:v>24.08230760813775</c:v>
                </c:pt>
                <c:pt idx="1110">
                  <c:v>23.343479712151211</c:v>
                </c:pt>
                <c:pt idx="1111">
                  <c:v>23.836209258322121</c:v>
                </c:pt>
                <c:pt idx="1112">
                  <c:v>23.67294744296585</c:v>
                </c:pt>
                <c:pt idx="1113">
                  <c:v>22.843606726403909</c:v>
                </c:pt>
                <c:pt idx="1114">
                  <c:v>22.211776073212281</c:v>
                </c:pt>
                <c:pt idx="1115">
                  <c:v>24.20937019084268</c:v>
                </c:pt>
                <c:pt idx="1116">
                  <c:v>24.042301747667508</c:v>
                </c:pt>
                <c:pt idx="1117">
                  <c:v>24.115991682105282</c:v>
                </c:pt>
                <c:pt idx="1118">
                  <c:v>23.010969337976078</c:v>
                </c:pt>
                <c:pt idx="1119">
                  <c:v>23.23959377255013</c:v>
                </c:pt>
                <c:pt idx="1120">
                  <c:v>22.816553803467599</c:v>
                </c:pt>
                <c:pt idx="1121">
                  <c:v>22.59913727981569</c:v>
                </c:pt>
                <c:pt idx="1122">
                  <c:v>23.491191956302512</c:v>
                </c:pt>
                <c:pt idx="1123">
                  <c:v>24.294368086822821</c:v>
                </c:pt>
                <c:pt idx="1124">
                  <c:v>24.24986783805851</c:v>
                </c:pt>
                <c:pt idx="1125">
                  <c:v>22.69653896811424</c:v>
                </c:pt>
                <c:pt idx="1126">
                  <c:v>22.143404903181811</c:v>
                </c:pt>
                <c:pt idx="1127">
                  <c:v>21.76197739559035</c:v>
                </c:pt>
                <c:pt idx="1128">
                  <c:v>22.890944658916059</c:v>
                </c:pt>
                <c:pt idx="1129">
                  <c:v>22.733896506882878</c:v>
                </c:pt>
                <c:pt idx="1130">
                  <c:v>22.200075173204048</c:v>
                </c:pt>
                <c:pt idx="1131">
                  <c:v>21.729731419418631</c:v>
                </c:pt>
                <c:pt idx="1132">
                  <c:v>21.04418744786296</c:v>
                </c:pt>
                <c:pt idx="1133">
                  <c:v>20.99726068378467</c:v>
                </c:pt>
                <c:pt idx="1134">
                  <c:v>20.70021152363557</c:v>
                </c:pt>
                <c:pt idx="1135">
                  <c:v>23.01364508333587</c:v>
                </c:pt>
                <c:pt idx="1136">
                  <c:v>23.013309759800709</c:v>
                </c:pt>
                <c:pt idx="1137">
                  <c:v>21.665708896591209</c:v>
                </c:pt>
                <c:pt idx="1138">
                  <c:v>21.955319254261649</c:v>
                </c:pt>
                <c:pt idx="1139">
                  <c:v>21.162240647671581</c:v>
                </c:pt>
                <c:pt idx="1140">
                  <c:v>20.808332248803321</c:v>
                </c:pt>
                <c:pt idx="1141">
                  <c:v>19.662028000966991</c:v>
                </c:pt>
                <c:pt idx="1142">
                  <c:v>20.367125485230272</c:v>
                </c:pt>
                <c:pt idx="1143">
                  <c:v>20.542446002447271</c:v>
                </c:pt>
                <c:pt idx="1144">
                  <c:v>22.931993463092589</c:v>
                </c:pt>
                <c:pt idx="1145">
                  <c:v>23.62676367810008</c:v>
                </c:pt>
                <c:pt idx="1146">
                  <c:v>23.363193494906049</c:v>
                </c:pt>
                <c:pt idx="1147">
                  <c:v>22.5247411698791</c:v>
                </c:pt>
                <c:pt idx="1148">
                  <c:v>21.36058090433168</c:v>
                </c:pt>
                <c:pt idx="1149">
                  <c:v>20.32594436376435</c:v>
                </c:pt>
                <c:pt idx="1150">
                  <c:v>19.651181031431779</c:v>
                </c:pt>
                <c:pt idx="1151">
                  <c:v>18.745733880843812</c:v>
                </c:pt>
                <c:pt idx="1152">
                  <c:v>19.27655676492175</c:v>
                </c:pt>
                <c:pt idx="1153">
                  <c:v>18.516943193677179</c:v>
                </c:pt>
                <c:pt idx="1154">
                  <c:v>18.472803111500919</c:v>
                </c:pt>
                <c:pt idx="1155">
                  <c:v>21.936201923851652</c:v>
                </c:pt>
                <c:pt idx="1156">
                  <c:v>22.066231245114121</c:v>
                </c:pt>
                <c:pt idx="1157">
                  <c:v>21.147334735799529</c:v>
                </c:pt>
                <c:pt idx="1158">
                  <c:v>21.629198359418329</c:v>
                </c:pt>
                <c:pt idx="1159">
                  <c:v>21.057410122506329</c:v>
                </c:pt>
                <c:pt idx="1160">
                  <c:v>20.648635938159831</c:v>
                </c:pt>
                <c:pt idx="1161">
                  <c:v>19.488301655812979</c:v>
                </c:pt>
                <c:pt idx="1162">
                  <c:v>18.999229746116011</c:v>
                </c:pt>
                <c:pt idx="1163">
                  <c:v>18.502444072094718</c:v>
                </c:pt>
                <c:pt idx="1164">
                  <c:v>18.928182366355099</c:v>
                </c:pt>
                <c:pt idx="1165">
                  <c:v>18.982090066192661</c:v>
                </c:pt>
                <c:pt idx="1166">
                  <c:v>20.058617303667379</c:v>
                </c:pt>
                <c:pt idx="1167">
                  <c:v>20.685229928695861</c:v>
                </c:pt>
                <c:pt idx="1168">
                  <c:v>20.650444476174801</c:v>
                </c:pt>
                <c:pt idx="1169">
                  <c:v>22.26722376161759</c:v>
                </c:pt>
                <c:pt idx="1170">
                  <c:v>25.348979233660181</c:v>
                </c:pt>
                <c:pt idx="1171">
                  <c:v>25.444737930772831</c:v>
                </c:pt>
                <c:pt idx="1172">
                  <c:v>23.173195746605519</c:v>
                </c:pt>
                <c:pt idx="1173">
                  <c:v>24.478496626594641</c:v>
                </c:pt>
                <c:pt idx="1174">
                  <c:v>24.222310673292519</c:v>
                </c:pt>
                <c:pt idx="1175">
                  <c:v>23.86651353503829</c:v>
                </c:pt>
                <c:pt idx="1176">
                  <c:v>22.066867438759171</c:v>
                </c:pt>
                <c:pt idx="1177">
                  <c:v>22.424011969394801</c:v>
                </c:pt>
                <c:pt idx="1178">
                  <c:v>22.602378128992129</c:v>
                </c:pt>
                <c:pt idx="1179">
                  <c:v>24.315748142359329</c:v>
                </c:pt>
                <c:pt idx="1180">
                  <c:v>25.023125671361861</c:v>
                </c:pt>
                <c:pt idx="1181">
                  <c:v>23.57170316946706</c:v>
                </c:pt>
                <c:pt idx="1182">
                  <c:v>23.281271184680548</c:v>
                </c:pt>
                <c:pt idx="1183">
                  <c:v>23.132794369580161</c:v>
                </c:pt>
                <c:pt idx="1184">
                  <c:v>22.655763243320461</c:v>
                </c:pt>
                <c:pt idx="1185">
                  <c:v>24.169812546479079</c:v>
                </c:pt>
                <c:pt idx="1186">
                  <c:v>24.335989680997351</c:v>
                </c:pt>
                <c:pt idx="1187">
                  <c:v>24.725508378653711</c:v>
                </c:pt>
                <c:pt idx="1188">
                  <c:v>22.968525066565441</c:v>
                </c:pt>
                <c:pt idx="1189">
                  <c:v>21.762769003877221</c:v>
                </c:pt>
                <c:pt idx="1190">
                  <c:v>22.766712511619019</c:v>
                </c:pt>
                <c:pt idx="1191">
                  <c:v>23.171358481258579</c:v>
                </c:pt>
                <c:pt idx="1192">
                  <c:v>23.52029461237354</c:v>
                </c:pt>
                <c:pt idx="1193">
                  <c:v>23.057626445521691</c:v>
                </c:pt>
                <c:pt idx="1194">
                  <c:v>24.396456765330541</c:v>
                </c:pt>
                <c:pt idx="1195">
                  <c:v>25.60228567248895</c:v>
                </c:pt>
                <c:pt idx="1196">
                  <c:v>23.021000212743761</c:v>
                </c:pt>
                <c:pt idx="1197">
                  <c:v>24.210386103705201</c:v>
                </c:pt>
                <c:pt idx="1198">
                  <c:v>23.640427781164981</c:v>
                </c:pt>
                <c:pt idx="1199">
                  <c:v>24.4282646352241</c:v>
                </c:pt>
                <c:pt idx="1200">
                  <c:v>22.874318378082481</c:v>
                </c:pt>
                <c:pt idx="1201">
                  <c:v>25.514235865035921</c:v>
                </c:pt>
                <c:pt idx="1202">
                  <c:v>23.93102283026623</c:v>
                </c:pt>
                <c:pt idx="1203">
                  <c:v>23.296438034922041</c:v>
                </c:pt>
                <c:pt idx="1204">
                  <c:v>23.066535716829861</c:v>
                </c:pt>
                <c:pt idx="1205">
                  <c:v>24.848792204272218</c:v>
                </c:pt>
                <c:pt idx="1206">
                  <c:v>25.530733253704</c:v>
                </c:pt>
                <c:pt idx="1207">
                  <c:v>26.898482880295479</c:v>
                </c:pt>
                <c:pt idx="1208">
                  <c:v>26.60898381298281</c:v>
                </c:pt>
                <c:pt idx="1209">
                  <c:v>25.89729164538323</c:v>
                </c:pt>
                <c:pt idx="1210">
                  <c:v>23.928591087497789</c:v>
                </c:pt>
                <c:pt idx="1211">
                  <c:v>22.51372926537265</c:v>
                </c:pt>
                <c:pt idx="1212">
                  <c:v>23.263067875938681</c:v>
                </c:pt>
                <c:pt idx="1213">
                  <c:v>22.553518574821261</c:v>
                </c:pt>
                <c:pt idx="1214">
                  <c:v>22.705731859037751</c:v>
                </c:pt>
                <c:pt idx="1215">
                  <c:v>22.409108911458318</c:v>
                </c:pt>
                <c:pt idx="1216">
                  <c:v>22.896828546969839</c:v>
                </c:pt>
                <c:pt idx="1217">
                  <c:v>22.196230849567758</c:v>
                </c:pt>
                <c:pt idx="1218">
                  <c:v>21.418161154056591</c:v>
                </c:pt>
                <c:pt idx="1219">
                  <c:v>21.919388496859721</c:v>
                </c:pt>
                <c:pt idx="1220">
                  <c:v>21.053955795155449</c:v>
                </c:pt>
                <c:pt idx="1221">
                  <c:v>20.073666932167249</c:v>
                </c:pt>
                <c:pt idx="1222">
                  <c:v>20.10056023662268</c:v>
                </c:pt>
                <c:pt idx="1223">
                  <c:v>20.110953604336689</c:v>
                </c:pt>
                <c:pt idx="1224">
                  <c:v>19.782802238224779</c:v>
                </c:pt>
                <c:pt idx="1225">
                  <c:v>19.0985885190026</c:v>
                </c:pt>
                <c:pt idx="1226">
                  <c:v>19.254528236100299</c:v>
                </c:pt>
                <c:pt idx="1227">
                  <c:v>19.541616169395802</c:v>
                </c:pt>
                <c:pt idx="1228">
                  <c:v>18.8560259805501</c:v>
                </c:pt>
                <c:pt idx="1229">
                  <c:v>18.519972989896701</c:v>
                </c:pt>
                <c:pt idx="1230">
                  <c:v>18.369609752478102</c:v>
                </c:pt>
                <c:pt idx="1231">
                  <c:v>19.2861370906909</c:v>
                </c:pt>
                <c:pt idx="1232">
                  <c:v>19.249168587194099</c:v>
                </c:pt>
                <c:pt idx="1233">
                  <c:v>19.1263844971987</c:v>
                </c:pt>
                <c:pt idx="1234">
                  <c:v>19.241129277799701</c:v>
                </c:pt>
                <c:pt idx="1235">
                  <c:v>18.982789172103999</c:v>
                </c:pt>
                <c:pt idx="1236">
                  <c:v>19.463454983592001</c:v>
                </c:pt>
                <c:pt idx="1237">
                  <c:v>19.516767170036498</c:v>
                </c:pt>
                <c:pt idx="1238">
                  <c:v>19.710788019121502</c:v>
                </c:pt>
                <c:pt idx="1239">
                  <c:v>19.6614818068186</c:v>
                </c:pt>
                <c:pt idx="1240">
                  <c:v>19.723629414016798</c:v>
                </c:pt>
                <c:pt idx="1241">
                  <c:v>20.418153580558499</c:v>
                </c:pt>
                <c:pt idx="1242">
                  <c:v>20.140797176437399</c:v>
                </c:pt>
                <c:pt idx="1243">
                  <c:v>19.7960579140045</c:v>
                </c:pt>
                <c:pt idx="1244">
                  <c:v>19.6729289455483</c:v>
                </c:pt>
                <c:pt idx="1245">
                  <c:v>19.4029029211592</c:v>
                </c:pt>
                <c:pt idx="1246">
                  <c:v>19.3353370280783</c:v>
                </c:pt>
                <c:pt idx="1247">
                  <c:v>19.108709186548801</c:v>
                </c:pt>
                <c:pt idx="1248">
                  <c:v>18.984888574459301</c:v>
                </c:pt>
                <c:pt idx="1249">
                  <c:v>19.279681313207</c:v>
                </c:pt>
                <c:pt idx="1250">
                  <c:v>19.509179112931299</c:v>
                </c:pt>
                <c:pt idx="1251">
                  <c:v>19.568608095217499</c:v>
                </c:pt>
                <c:pt idx="1252">
                  <c:v>19.884486882808002</c:v>
                </c:pt>
                <c:pt idx="1253">
                  <c:v>20.682117784035899</c:v>
                </c:pt>
                <c:pt idx="1254">
                  <c:v>20.314985844720098</c:v>
                </c:pt>
                <c:pt idx="1255">
                  <c:v>19.6770649634527</c:v>
                </c:pt>
                <c:pt idx="1256">
                  <c:v>19.700618659312799</c:v>
                </c:pt>
                <c:pt idx="1257">
                  <c:v>19.362154389917901</c:v>
                </c:pt>
                <c:pt idx="1258">
                  <c:v>19.3945625848168</c:v>
                </c:pt>
                <c:pt idx="1259">
                  <c:v>21.461416619329501</c:v>
                </c:pt>
                <c:pt idx="1260">
                  <c:v>21.4593750764361</c:v>
                </c:pt>
                <c:pt idx="1261">
                  <c:v>22.429264558678799</c:v>
                </c:pt>
                <c:pt idx="1262">
                  <c:v>22.237297694747902</c:v>
                </c:pt>
                <c:pt idx="1263">
                  <c:v>22.711806223875701</c:v>
                </c:pt>
                <c:pt idx="1264">
                  <c:v>22.485273177537501</c:v>
                </c:pt>
                <c:pt idx="1265">
                  <c:v>21.090286645155601</c:v>
                </c:pt>
                <c:pt idx="1266">
                  <c:v>20.303541387193199</c:v>
                </c:pt>
                <c:pt idx="1267">
                  <c:v>20.4666693822846</c:v>
                </c:pt>
                <c:pt idx="1268">
                  <c:v>21.034771583852699</c:v>
                </c:pt>
                <c:pt idx="1269">
                  <c:v>21.587619164049599</c:v>
                </c:pt>
                <c:pt idx="1270">
                  <c:v>20.738145468969801</c:v>
                </c:pt>
                <c:pt idx="1271">
                  <c:v>19.958929167005302</c:v>
                </c:pt>
                <c:pt idx="1272">
                  <c:v>20.1176493404718</c:v>
                </c:pt>
                <c:pt idx="1273">
                  <c:v>19.785313789097501</c:v>
                </c:pt>
                <c:pt idx="1274">
                  <c:v>20.6380519593903</c:v>
                </c:pt>
                <c:pt idx="1275">
                  <c:v>19.709083858158898</c:v>
                </c:pt>
                <c:pt idx="1276">
                  <c:v>19.774456442504299</c:v>
                </c:pt>
                <c:pt idx="1277">
                  <c:v>20.206151972951002</c:v>
                </c:pt>
                <c:pt idx="1278">
                  <c:v>19.827868546044002</c:v>
                </c:pt>
                <c:pt idx="1279">
                  <c:v>18.505869941709001</c:v>
                </c:pt>
                <c:pt idx="1280">
                  <c:v>17.760250362744099</c:v>
                </c:pt>
                <c:pt idx="1281">
                  <c:v>18.0153367486806</c:v>
                </c:pt>
                <c:pt idx="1282">
                  <c:v>18.315187162158601</c:v>
                </c:pt>
                <c:pt idx="1283">
                  <c:v>18.095482984283201</c:v>
                </c:pt>
                <c:pt idx="1284">
                  <c:v>18.638391034542899</c:v>
                </c:pt>
                <c:pt idx="1285">
                  <c:v>18.280252046614098</c:v>
                </c:pt>
                <c:pt idx="1286">
                  <c:v>19.000400568913999</c:v>
                </c:pt>
                <c:pt idx="1287">
                  <c:v>18.2682685382422</c:v>
                </c:pt>
                <c:pt idx="1288">
                  <c:v>18.028050170034799</c:v>
                </c:pt>
                <c:pt idx="1289">
                  <c:v>17.609935980412899</c:v>
                </c:pt>
                <c:pt idx="1290">
                  <c:v>18.4559348069428</c:v>
                </c:pt>
                <c:pt idx="1291">
                  <c:v>18.4317206696123</c:v>
                </c:pt>
                <c:pt idx="1292">
                  <c:v>18.930513393282698</c:v>
                </c:pt>
                <c:pt idx="1293">
                  <c:v>18.6267314389898</c:v>
                </c:pt>
                <c:pt idx="1294">
                  <c:v>18.6819863067516</c:v>
                </c:pt>
                <c:pt idx="1295">
                  <c:v>18.306133667223001</c:v>
                </c:pt>
                <c:pt idx="1296">
                  <c:v>18.425162437045898</c:v>
                </c:pt>
                <c:pt idx="1297">
                  <c:v>18.562415167788501</c:v>
                </c:pt>
                <c:pt idx="1298">
                  <c:v>18.9429939248874</c:v>
                </c:pt>
                <c:pt idx="1299">
                  <c:v>18.299920771822801</c:v>
                </c:pt>
                <c:pt idx="1300">
                  <c:v>18.3039828601122</c:v>
                </c:pt>
                <c:pt idx="1301">
                  <c:v>18.2151972707324</c:v>
                </c:pt>
                <c:pt idx="1302">
                  <c:v>21.6863395233487</c:v>
                </c:pt>
                <c:pt idx="1303">
                  <c:v>23.619821012813901</c:v>
                </c:pt>
                <c:pt idx="1304">
                  <c:v>22.4118046313754</c:v>
                </c:pt>
                <c:pt idx="1305">
                  <c:v>20.807711535190599</c:v>
                </c:pt>
                <c:pt idx="1306">
                  <c:v>20.262283106611701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34-471B-889A-3A7F0667D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461824"/>
        <c:axId val="1001467728"/>
      </c:lineChart>
      <c:dateAx>
        <c:axId val="10014618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467728"/>
        <c:crosses val="autoZero"/>
        <c:auto val="1"/>
        <c:lblOffset val="100"/>
        <c:baseTimeUnit val="days"/>
      </c:dateAx>
      <c:valAx>
        <c:axId val="100146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4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b="1">
                <a:latin typeface="宋体" panose="02010600030101010101" pitchFamily="2" charset="-122"/>
                <a:ea typeface="宋体" panose="02010600030101010101" pitchFamily="2" charset="-122"/>
              </a:rPr>
              <a:t>中量投启航</a:t>
            </a:r>
            <a:r>
              <a:rPr lang="en-US" altLang="zh-CN" b="1">
                <a:latin typeface="宋体" panose="02010600030101010101" pitchFamily="2" charset="-122"/>
                <a:ea typeface="宋体" panose="02010600030101010101" pitchFamily="2" charset="-122"/>
              </a:rPr>
              <a:t>1</a:t>
            </a:r>
            <a:r>
              <a:rPr lang="zh-CN" altLang="en-US" b="1">
                <a:latin typeface="宋体" panose="02010600030101010101" pitchFamily="2" charset="-122"/>
                <a:ea typeface="宋体" panose="02010600030101010101" pitchFamily="2" charset="-122"/>
              </a:rPr>
              <a:t>号产品净值（</a:t>
            </a:r>
            <a:r>
              <a:rPr lang="en-US" altLang="zh-CN" b="1">
                <a:latin typeface="宋体" panose="02010600030101010101" pitchFamily="2" charset="-122"/>
                <a:ea typeface="宋体" panose="02010600030101010101" pitchFamily="2" charset="-122"/>
              </a:rPr>
              <a:t>2020.07-2021.07</a:t>
            </a:r>
            <a:r>
              <a:rPr lang="zh-CN" altLang="en-US" b="1">
                <a:latin typeface="宋体" panose="02010600030101010101" pitchFamily="2" charset="-122"/>
                <a:ea typeface="宋体" panose="02010600030101010101" pitchFamily="2" charset="-122"/>
              </a:rPr>
              <a:t>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1599895137959121E-2"/>
          <c:y val="0.11096586782861292"/>
          <c:w val="0.92669182107290093"/>
          <c:h val="0.7315808073010481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-1.0478062279017047E-2"/>
                  <c:y val="-7.84313725490196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A9-4337-B15E-D639FDA18C5A}"/>
                </c:ext>
              </c:extLst>
            </c:dLbl>
            <c:dLbl>
              <c:idx val="61"/>
              <c:layout>
                <c:manualLayout>
                  <c:x val="-1.7463437131695079E-3"/>
                  <c:y val="-5.51924473493101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A9-4337-B15E-D639FDA18C5A}"/>
                </c:ext>
              </c:extLst>
            </c:dLbl>
            <c:dLbl>
              <c:idx val="91"/>
              <c:layout>
                <c:manualLayout>
                  <c:x val="-8.7317185658476043E-3"/>
                  <c:y val="-7.26216412490922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A9-4337-B15E-D639FDA18C5A}"/>
                </c:ext>
              </c:extLst>
            </c:dLbl>
            <c:dLbl>
              <c:idx val="122"/>
              <c:layout>
                <c:manualLayout>
                  <c:x val="-2.2702468271203605E-2"/>
                  <c:y val="-5.80973129992738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A9-4337-B15E-D639FDA18C5A}"/>
                </c:ext>
              </c:extLst>
            </c:dLbl>
            <c:dLbl>
              <c:idx val="152"/>
              <c:layout>
                <c:manualLayout>
                  <c:x val="-8.7317185658475401E-3"/>
                  <c:y val="-5.8097312999273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A9-4337-B15E-D639FDA18C5A}"/>
                </c:ext>
              </c:extLst>
            </c:dLbl>
            <c:dLbl>
              <c:idx val="183"/>
              <c:layout>
                <c:manualLayout>
                  <c:x val="-1.3970749705356063E-2"/>
                  <c:y val="-6.39070442992011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A9-4337-B15E-D639FDA18C5A}"/>
                </c:ext>
              </c:extLst>
            </c:dLbl>
            <c:dLbl>
              <c:idx val="214"/>
              <c:layout>
                <c:manualLayout>
                  <c:x val="-1.3970749705356063E-2"/>
                  <c:y val="-9.87654320987654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A9-4337-B15E-D639FDA18C5A}"/>
                </c:ext>
              </c:extLst>
            </c:dLbl>
            <c:dLbl>
              <c:idx val="241"/>
              <c:layout>
                <c:manualLayout>
                  <c:x val="-1.7141573117866807E-2"/>
                  <c:y val="-8.7145969498910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A9-4337-B15E-D639FDA18C5A}"/>
                </c:ext>
              </c:extLst>
            </c:dLbl>
            <c:dLbl>
              <c:idx val="273"/>
              <c:layout>
                <c:manualLayout>
                  <c:x val="0"/>
                  <c:y val="-7.23981900452489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CB-4B8E-BD95-ABE2D77AD84E}"/>
                </c:ext>
              </c:extLst>
            </c:dLbl>
            <c:dLbl>
              <c:idx val="303"/>
              <c:layout>
                <c:manualLayout>
                  <c:x val="-1.3175230566534914E-2"/>
                  <c:y val="-6.6365007541478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7A-41F2-B826-81D9F6F5DDBC}"/>
                </c:ext>
              </c:extLst>
            </c:dLbl>
            <c:dLbl>
              <c:idx val="332"/>
              <c:layout>
                <c:manualLayout>
                  <c:x val="-1.844532279314888E-2"/>
                  <c:y val="-5.42986425339366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35-4E95-AABD-C5A75CC32128}"/>
                </c:ext>
              </c:extLst>
            </c:dLbl>
            <c:dLbl>
              <c:idx val="355"/>
              <c:layout>
                <c:manualLayout>
                  <c:x val="-1.1857707509881422E-2"/>
                  <c:y val="-4.82654600301659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B0-454F-9F40-24D776615F24}"/>
                </c:ext>
              </c:extLst>
            </c:dLbl>
            <c:dLbl>
              <c:idx val="377"/>
              <c:layout>
                <c:manualLayout>
                  <c:x val="0"/>
                  <c:y val="-5.42986425339366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E86-42EB-8BCA-CEDEE5FC17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[0]!date1</c:f>
              <c:strCache>
                <c:ptCount val="378"/>
                <c:pt idx="0">
                  <c:v>2020-07-01</c:v>
                </c:pt>
                <c:pt idx="1">
                  <c:v>2020-07-02</c:v>
                </c:pt>
                <c:pt idx="2">
                  <c:v>2020-07-03</c:v>
                </c:pt>
                <c:pt idx="3">
                  <c:v>2020-07-04</c:v>
                </c:pt>
                <c:pt idx="4">
                  <c:v>2020-07-05</c:v>
                </c:pt>
                <c:pt idx="5">
                  <c:v>2020-07-06</c:v>
                </c:pt>
                <c:pt idx="6">
                  <c:v>2020-07-07</c:v>
                </c:pt>
                <c:pt idx="7">
                  <c:v>2020-07-08</c:v>
                </c:pt>
                <c:pt idx="8">
                  <c:v>2020-07-09</c:v>
                </c:pt>
                <c:pt idx="9">
                  <c:v>2020-07-10</c:v>
                </c:pt>
                <c:pt idx="10">
                  <c:v>2020-07-11</c:v>
                </c:pt>
                <c:pt idx="11">
                  <c:v>2020-07-12</c:v>
                </c:pt>
                <c:pt idx="12">
                  <c:v>2020-07-13</c:v>
                </c:pt>
                <c:pt idx="13">
                  <c:v>2020-07-14</c:v>
                </c:pt>
                <c:pt idx="14">
                  <c:v>2020-07-15</c:v>
                </c:pt>
                <c:pt idx="15">
                  <c:v>2020-07-16</c:v>
                </c:pt>
                <c:pt idx="16">
                  <c:v>2020-07-17</c:v>
                </c:pt>
                <c:pt idx="17">
                  <c:v>2020-07-18</c:v>
                </c:pt>
                <c:pt idx="18">
                  <c:v>2020-07-19</c:v>
                </c:pt>
                <c:pt idx="19">
                  <c:v>2020-07-20</c:v>
                </c:pt>
                <c:pt idx="20">
                  <c:v>2020-07-21</c:v>
                </c:pt>
                <c:pt idx="21">
                  <c:v>2020-07-22</c:v>
                </c:pt>
                <c:pt idx="22">
                  <c:v>2020-07-23</c:v>
                </c:pt>
                <c:pt idx="23">
                  <c:v>2020-07-24</c:v>
                </c:pt>
                <c:pt idx="24">
                  <c:v>2020-07-25</c:v>
                </c:pt>
                <c:pt idx="25">
                  <c:v>2020-07-26</c:v>
                </c:pt>
                <c:pt idx="26">
                  <c:v>2020-07-27</c:v>
                </c:pt>
                <c:pt idx="27">
                  <c:v>2020-07-28</c:v>
                </c:pt>
                <c:pt idx="28">
                  <c:v>2020-07-29</c:v>
                </c:pt>
                <c:pt idx="29">
                  <c:v>2020-07-30</c:v>
                </c:pt>
                <c:pt idx="30">
                  <c:v>2020-07-31</c:v>
                </c:pt>
                <c:pt idx="31">
                  <c:v>2020-08-01</c:v>
                </c:pt>
                <c:pt idx="32">
                  <c:v>2020-08-02</c:v>
                </c:pt>
                <c:pt idx="33">
                  <c:v>2020-08-03</c:v>
                </c:pt>
                <c:pt idx="34">
                  <c:v>2020-08-04</c:v>
                </c:pt>
                <c:pt idx="35">
                  <c:v>2020-08-05</c:v>
                </c:pt>
                <c:pt idx="36">
                  <c:v>2020-08-06</c:v>
                </c:pt>
                <c:pt idx="37">
                  <c:v>2020-08-07</c:v>
                </c:pt>
                <c:pt idx="38">
                  <c:v>2020-08-08</c:v>
                </c:pt>
                <c:pt idx="39">
                  <c:v>2020-08-09</c:v>
                </c:pt>
                <c:pt idx="40">
                  <c:v>2020-08-10</c:v>
                </c:pt>
                <c:pt idx="41">
                  <c:v>2020-08-11</c:v>
                </c:pt>
                <c:pt idx="42">
                  <c:v>2020-08-12</c:v>
                </c:pt>
                <c:pt idx="43">
                  <c:v>2020-08-13</c:v>
                </c:pt>
                <c:pt idx="44">
                  <c:v>2020-08-14</c:v>
                </c:pt>
                <c:pt idx="45">
                  <c:v>2020-08-15</c:v>
                </c:pt>
                <c:pt idx="46">
                  <c:v>2020-08-16</c:v>
                </c:pt>
                <c:pt idx="47">
                  <c:v>2020-08-17</c:v>
                </c:pt>
                <c:pt idx="48">
                  <c:v>2020-08-18</c:v>
                </c:pt>
                <c:pt idx="49">
                  <c:v>2020-08-19</c:v>
                </c:pt>
                <c:pt idx="50">
                  <c:v>2020-08-20</c:v>
                </c:pt>
                <c:pt idx="51">
                  <c:v>2020-08-21</c:v>
                </c:pt>
                <c:pt idx="52">
                  <c:v>2020-08-22</c:v>
                </c:pt>
                <c:pt idx="53">
                  <c:v>2020-08-23</c:v>
                </c:pt>
                <c:pt idx="54">
                  <c:v>2020-08-24</c:v>
                </c:pt>
                <c:pt idx="55">
                  <c:v>2020-08-25</c:v>
                </c:pt>
                <c:pt idx="56">
                  <c:v>2020-08-26</c:v>
                </c:pt>
                <c:pt idx="57">
                  <c:v>2020-08-27</c:v>
                </c:pt>
                <c:pt idx="58">
                  <c:v>2020-08-28</c:v>
                </c:pt>
                <c:pt idx="59">
                  <c:v>2020-08-29</c:v>
                </c:pt>
                <c:pt idx="60">
                  <c:v>2020-08-30</c:v>
                </c:pt>
                <c:pt idx="61">
                  <c:v>2020-08-31</c:v>
                </c:pt>
                <c:pt idx="62">
                  <c:v>2020-09-01</c:v>
                </c:pt>
                <c:pt idx="63">
                  <c:v>2020-09-02</c:v>
                </c:pt>
                <c:pt idx="64">
                  <c:v>2020-09-03</c:v>
                </c:pt>
                <c:pt idx="65">
                  <c:v>2020-09-04</c:v>
                </c:pt>
                <c:pt idx="66">
                  <c:v>2020-09-05</c:v>
                </c:pt>
                <c:pt idx="67">
                  <c:v>2020-09-06</c:v>
                </c:pt>
                <c:pt idx="68">
                  <c:v>2020-09-07</c:v>
                </c:pt>
                <c:pt idx="69">
                  <c:v>2020-09-08</c:v>
                </c:pt>
                <c:pt idx="70">
                  <c:v>2020-09-09</c:v>
                </c:pt>
                <c:pt idx="71">
                  <c:v>2020-09-10</c:v>
                </c:pt>
                <c:pt idx="72">
                  <c:v>2020-09-11</c:v>
                </c:pt>
                <c:pt idx="73">
                  <c:v>2020-09-12</c:v>
                </c:pt>
                <c:pt idx="74">
                  <c:v>2020-09-13</c:v>
                </c:pt>
                <c:pt idx="75">
                  <c:v>2020-09-14</c:v>
                </c:pt>
                <c:pt idx="76">
                  <c:v>2020-09-15</c:v>
                </c:pt>
                <c:pt idx="77">
                  <c:v>2020-09-16</c:v>
                </c:pt>
                <c:pt idx="78">
                  <c:v>2020-09-17</c:v>
                </c:pt>
                <c:pt idx="79">
                  <c:v>2020-09-18</c:v>
                </c:pt>
                <c:pt idx="80">
                  <c:v>2020-09-19</c:v>
                </c:pt>
                <c:pt idx="81">
                  <c:v>2020-09-20</c:v>
                </c:pt>
                <c:pt idx="82">
                  <c:v>2020-09-21</c:v>
                </c:pt>
                <c:pt idx="83">
                  <c:v>2020-09-22</c:v>
                </c:pt>
                <c:pt idx="84">
                  <c:v>2020-09-23</c:v>
                </c:pt>
                <c:pt idx="85">
                  <c:v>2020-09-24</c:v>
                </c:pt>
                <c:pt idx="86">
                  <c:v>2020-09-25</c:v>
                </c:pt>
                <c:pt idx="87">
                  <c:v>2020-09-26</c:v>
                </c:pt>
                <c:pt idx="88">
                  <c:v>2020-09-27</c:v>
                </c:pt>
                <c:pt idx="89">
                  <c:v>2020-09-28</c:v>
                </c:pt>
                <c:pt idx="90">
                  <c:v>2020-09-29</c:v>
                </c:pt>
                <c:pt idx="91">
                  <c:v>2020-09-30</c:v>
                </c:pt>
                <c:pt idx="92">
                  <c:v>2020-10-01</c:v>
                </c:pt>
                <c:pt idx="93">
                  <c:v>2020-10-02</c:v>
                </c:pt>
                <c:pt idx="94">
                  <c:v>2020-10-03</c:v>
                </c:pt>
                <c:pt idx="95">
                  <c:v>2020-10-04</c:v>
                </c:pt>
                <c:pt idx="96">
                  <c:v>2020-10-05</c:v>
                </c:pt>
                <c:pt idx="97">
                  <c:v>2020-10-06</c:v>
                </c:pt>
                <c:pt idx="98">
                  <c:v>2020-10-07</c:v>
                </c:pt>
                <c:pt idx="99">
                  <c:v>2020-10-08</c:v>
                </c:pt>
                <c:pt idx="100">
                  <c:v>2020-10-09</c:v>
                </c:pt>
                <c:pt idx="101">
                  <c:v>2020-10-10</c:v>
                </c:pt>
                <c:pt idx="102">
                  <c:v>2020-10-11</c:v>
                </c:pt>
                <c:pt idx="103">
                  <c:v>2020-10-12</c:v>
                </c:pt>
                <c:pt idx="104">
                  <c:v>2020-10-13</c:v>
                </c:pt>
                <c:pt idx="105">
                  <c:v>2020-10-14</c:v>
                </c:pt>
                <c:pt idx="106">
                  <c:v>2020-10-15</c:v>
                </c:pt>
                <c:pt idx="107">
                  <c:v>2020-10-16</c:v>
                </c:pt>
                <c:pt idx="108">
                  <c:v>2020-10-17</c:v>
                </c:pt>
                <c:pt idx="109">
                  <c:v>2020-10-18</c:v>
                </c:pt>
                <c:pt idx="110">
                  <c:v>2020-10-19</c:v>
                </c:pt>
                <c:pt idx="111">
                  <c:v>2020-10-20</c:v>
                </c:pt>
                <c:pt idx="112">
                  <c:v>2020-10-21</c:v>
                </c:pt>
                <c:pt idx="113">
                  <c:v>2020-10-22</c:v>
                </c:pt>
                <c:pt idx="114">
                  <c:v>2020-10-23</c:v>
                </c:pt>
                <c:pt idx="115">
                  <c:v>2020-10-24</c:v>
                </c:pt>
                <c:pt idx="116">
                  <c:v>2020-10-25</c:v>
                </c:pt>
                <c:pt idx="117">
                  <c:v>2020-10-26</c:v>
                </c:pt>
                <c:pt idx="118">
                  <c:v>2020-10-27</c:v>
                </c:pt>
                <c:pt idx="119">
                  <c:v>2020-10-28</c:v>
                </c:pt>
                <c:pt idx="120">
                  <c:v>2020-10-29</c:v>
                </c:pt>
                <c:pt idx="121">
                  <c:v>2020-10-30</c:v>
                </c:pt>
                <c:pt idx="122">
                  <c:v>2020-10-31</c:v>
                </c:pt>
                <c:pt idx="123">
                  <c:v>2020-11-01</c:v>
                </c:pt>
                <c:pt idx="124">
                  <c:v>2020-11-02</c:v>
                </c:pt>
                <c:pt idx="125">
                  <c:v>2020-11-03</c:v>
                </c:pt>
                <c:pt idx="126">
                  <c:v>2020-11-04</c:v>
                </c:pt>
                <c:pt idx="127">
                  <c:v>2020-11-05</c:v>
                </c:pt>
                <c:pt idx="128">
                  <c:v>2020-11-06</c:v>
                </c:pt>
                <c:pt idx="129">
                  <c:v>2020-11-07</c:v>
                </c:pt>
                <c:pt idx="130">
                  <c:v>2020-11-08</c:v>
                </c:pt>
                <c:pt idx="131">
                  <c:v>2020-11-09</c:v>
                </c:pt>
                <c:pt idx="132">
                  <c:v>2020-11-10</c:v>
                </c:pt>
                <c:pt idx="133">
                  <c:v>2020-11-11</c:v>
                </c:pt>
                <c:pt idx="134">
                  <c:v>2020-11-12</c:v>
                </c:pt>
                <c:pt idx="135">
                  <c:v>2020-11-13</c:v>
                </c:pt>
                <c:pt idx="136">
                  <c:v>2020-11-14</c:v>
                </c:pt>
                <c:pt idx="137">
                  <c:v>2020-11-15</c:v>
                </c:pt>
                <c:pt idx="138">
                  <c:v>2020-11-16</c:v>
                </c:pt>
                <c:pt idx="139">
                  <c:v>2020-11-17</c:v>
                </c:pt>
                <c:pt idx="140">
                  <c:v>2020-11-18</c:v>
                </c:pt>
                <c:pt idx="141">
                  <c:v>2020-11-19</c:v>
                </c:pt>
                <c:pt idx="142">
                  <c:v>2020-11-20</c:v>
                </c:pt>
                <c:pt idx="143">
                  <c:v>2020-11-21</c:v>
                </c:pt>
                <c:pt idx="144">
                  <c:v>2020-11-22</c:v>
                </c:pt>
                <c:pt idx="145">
                  <c:v>2020-11-23</c:v>
                </c:pt>
                <c:pt idx="146">
                  <c:v>2020-11-24</c:v>
                </c:pt>
                <c:pt idx="147">
                  <c:v>2020-11-25</c:v>
                </c:pt>
                <c:pt idx="148">
                  <c:v>2020-11-26</c:v>
                </c:pt>
                <c:pt idx="149">
                  <c:v>2020-11-27</c:v>
                </c:pt>
                <c:pt idx="150">
                  <c:v>2020-11-28</c:v>
                </c:pt>
                <c:pt idx="151">
                  <c:v>2020-11-29</c:v>
                </c:pt>
                <c:pt idx="152">
                  <c:v>2020-11-30</c:v>
                </c:pt>
                <c:pt idx="153">
                  <c:v>2020-12-01</c:v>
                </c:pt>
                <c:pt idx="154">
                  <c:v>2020-12-02</c:v>
                </c:pt>
                <c:pt idx="155">
                  <c:v>2020-12-03</c:v>
                </c:pt>
                <c:pt idx="156">
                  <c:v>2020-12-04</c:v>
                </c:pt>
                <c:pt idx="157">
                  <c:v>2020-12-05</c:v>
                </c:pt>
                <c:pt idx="158">
                  <c:v>2020-12-06</c:v>
                </c:pt>
                <c:pt idx="159">
                  <c:v>2020-12-07</c:v>
                </c:pt>
                <c:pt idx="160">
                  <c:v>2020-12-08</c:v>
                </c:pt>
                <c:pt idx="161">
                  <c:v>2020-12-09</c:v>
                </c:pt>
                <c:pt idx="162">
                  <c:v>2020-12-10</c:v>
                </c:pt>
                <c:pt idx="163">
                  <c:v>2020-12-11</c:v>
                </c:pt>
                <c:pt idx="164">
                  <c:v>2020-12-12</c:v>
                </c:pt>
                <c:pt idx="165">
                  <c:v>2020-12-13</c:v>
                </c:pt>
                <c:pt idx="166">
                  <c:v>2020-12-14</c:v>
                </c:pt>
                <c:pt idx="167">
                  <c:v>2020-12-15</c:v>
                </c:pt>
                <c:pt idx="168">
                  <c:v>2020-12-16</c:v>
                </c:pt>
                <c:pt idx="169">
                  <c:v>2020-12-17</c:v>
                </c:pt>
                <c:pt idx="170">
                  <c:v>2020-12-18</c:v>
                </c:pt>
                <c:pt idx="171">
                  <c:v>2020-12-19</c:v>
                </c:pt>
                <c:pt idx="172">
                  <c:v>2020-12-20</c:v>
                </c:pt>
                <c:pt idx="173">
                  <c:v>2020-12-21</c:v>
                </c:pt>
                <c:pt idx="174">
                  <c:v>2020-12-22</c:v>
                </c:pt>
                <c:pt idx="175">
                  <c:v>2020-12-23</c:v>
                </c:pt>
                <c:pt idx="176">
                  <c:v>2020-12-24</c:v>
                </c:pt>
                <c:pt idx="177">
                  <c:v>2020-12-25</c:v>
                </c:pt>
                <c:pt idx="178">
                  <c:v>2020-12-26</c:v>
                </c:pt>
                <c:pt idx="179">
                  <c:v>2020-12-27</c:v>
                </c:pt>
                <c:pt idx="180">
                  <c:v>2020-12-28</c:v>
                </c:pt>
                <c:pt idx="181">
                  <c:v>2020-12-29</c:v>
                </c:pt>
                <c:pt idx="182">
                  <c:v>2020-12-30</c:v>
                </c:pt>
                <c:pt idx="183">
                  <c:v>2020-12-31</c:v>
                </c:pt>
                <c:pt idx="184">
                  <c:v>2021-01-01</c:v>
                </c:pt>
                <c:pt idx="185">
                  <c:v>2021-01-02</c:v>
                </c:pt>
                <c:pt idx="186">
                  <c:v>2021-01-03</c:v>
                </c:pt>
                <c:pt idx="187">
                  <c:v>2021-01-04</c:v>
                </c:pt>
                <c:pt idx="188">
                  <c:v>2021-01-05</c:v>
                </c:pt>
                <c:pt idx="189">
                  <c:v>2021-01-06</c:v>
                </c:pt>
                <c:pt idx="190">
                  <c:v>2021-01-07</c:v>
                </c:pt>
                <c:pt idx="191">
                  <c:v>2021-01-08</c:v>
                </c:pt>
                <c:pt idx="192">
                  <c:v>2021-01-09</c:v>
                </c:pt>
                <c:pt idx="193">
                  <c:v>2021-01-10</c:v>
                </c:pt>
                <c:pt idx="194">
                  <c:v>2021-01-11</c:v>
                </c:pt>
                <c:pt idx="195">
                  <c:v>2021-01-12</c:v>
                </c:pt>
                <c:pt idx="196">
                  <c:v>2021-01-13</c:v>
                </c:pt>
                <c:pt idx="197">
                  <c:v>2021-01-14</c:v>
                </c:pt>
                <c:pt idx="198">
                  <c:v>2021-01-15</c:v>
                </c:pt>
                <c:pt idx="199">
                  <c:v>2021-01-16</c:v>
                </c:pt>
                <c:pt idx="200">
                  <c:v>2021-01-17</c:v>
                </c:pt>
                <c:pt idx="201">
                  <c:v>2021-01-18</c:v>
                </c:pt>
                <c:pt idx="202">
                  <c:v>2021-01-19</c:v>
                </c:pt>
                <c:pt idx="203">
                  <c:v>2021-01-20</c:v>
                </c:pt>
                <c:pt idx="204">
                  <c:v>2021-01-21</c:v>
                </c:pt>
                <c:pt idx="205">
                  <c:v>2021-01-22</c:v>
                </c:pt>
                <c:pt idx="206">
                  <c:v>2021-01-23</c:v>
                </c:pt>
                <c:pt idx="207">
                  <c:v>2021-01-24</c:v>
                </c:pt>
                <c:pt idx="208">
                  <c:v>2021-01-25</c:v>
                </c:pt>
                <c:pt idx="209">
                  <c:v>2021-01-26</c:v>
                </c:pt>
                <c:pt idx="210">
                  <c:v>2021-01-27</c:v>
                </c:pt>
                <c:pt idx="211">
                  <c:v>2021-01-28</c:v>
                </c:pt>
                <c:pt idx="212">
                  <c:v>2021-01-29</c:v>
                </c:pt>
                <c:pt idx="213">
                  <c:v>2021-01-30</c:v>
                </c:pt>
                <c:pt idx="214">
                  <c:v>2021-01-31</c:v>
                </c:pt>
                <c:pt idx="215">
                  <c:v>2021-02-01</c:v>
                </c:pt>
                <c:pt idx="216">
                  <c:v>2021-02-02</c:v>
                </c:pt>
                <c:pt idx="217">
                  <c:v>2021-02-03</c:v>
                </c:pt>
                <c:pt idx="218">
                  <c:v>2021-02-04</c:v>
                </c:pt>
                <c:pt idx="219">
                  <c:v>2021-02-05</c:v>
                </c:pt>
                <c:pt idx="220">
                  <c:v>2021-02-06</c:v>
                </c:pt>
                <c:pt idx="221">
                  <c:v>2021-02-07</c:v>
                </c:pt>
                <c:pt idx="222">
                  <c:v>2021-02-08</c:v>
                </c:pt>
                <c:pt idx="223">
                  <c:v>2021-02-09</c:v>
                </c:pt>
                <c:pt idx="224">
                  <c:v>2021-02-10</c:v>
                </c:pt>
                <c:pt idx="225">
                  <c:v>2021-02-11</c:v>
                </c:pt>
                <c:pt idx="226">
                  <c:v>2021-02-12</c:v>
                </c:pt>
                <c:pt idx="227">
                  <c:v>2021-02-13</c:v>
                </c:pt>
                <c:pt idx="228">
                  <c:v>2021-02-14</c:v>
                </c:pt>
                <c:pt idx="229">
                  <c:v>2021-02-15</c:v>
                </c:pt>
                <c:pt idx="230">
                  <c:v>2021-02-16</c:v>
                </c:pt>
                <c:pt idx="231">
                  <c:v>2021-02-17</c:v>
                </c:pt>
                <c:pt idx="232">
                  <c:v>2021-02-18</c:v>
                </c:pt>
                <c:pt idx="233">
                  <c:v>2021-02-19</c:v>
                </c:pt>
                <c:pt idx="234">
                  <c:v>2021-02-20</c:v>
                </c:pt>
                <c:pt idx="235">
                  <c:v>2021-02-21</c:v>
                </c:pt>
                <c:pt idx="236">
                  <c:v>2021-02-22</c:v>
                </c:pt>
                <c:pt idx="237">
                  <c:v>2021-02-23</c:v>
                </c:pt>
                <c:pt idx="238">
                  <c:v>2021-02-24</c:v>
                </c:pt>
                <c:pt idx="239">
                  <c:v>2021-02-25</c:v>
                </c:pt>
                <c:pt idx="240">
                  <c:v>2021-02-26</c:v>
                </c:pt>
                <c:pt idx="241">
                  <c:v>2021-02-27</c:v>
                </c:pt>
                <c:pt idx="242">
                  <c:v>2021-02-28</c:v>
                </c:pt>
                <c:pt idx="243">
                  <c:v>2021-03-01</c:v>
                </c:pt>
                <c:pt idx="244">
                  <c:v>2021-03-02</c:v>
                </c:pt>
                <c:pt idx="245">
                  <c:v>2021-03-03</c:v>
                </c:pt>
                <c:pt idx="246">
                  <c:v>2021-03-04</c:v>
                </c:pt>
                <c:pt idx="247">
                  <c:v>2021-03-05</c:v>
                </c:pt>
                <c:pt idx="248">
                  <c:v>2021-03-06</c:v>
                </c:pt>
                <c:pt idx="249">
                  <c:v>2021-03-07</c:v>
                </c:pt>
                <c:pt idx="250">
                  <c:v>2021-03-08</c:v>
                </c:pt>
                <c:pt idx="251">
                  <c:v>2021-03-09</c:v>
                </c:pt>
                <c:pt idx="252">
                  <c:v>2021-03-10</c:v>
                </c:pt>
                <c:pt idx="253">
                  <c:v>2021-03-11</c:v>
                </c:pt>
                <c:pt idx="254">
                  <c:v>2021-03-12</c:v>
                </c:pt>
                <c:pt idx="255">
                  <c:v>2021-03-13</c:v>
                </c:pt>
                <c:pt idx="256">
                  <c:v>2021-03-14</c:v>
                </c:pt>
                <c:pt idx="257">
                  <c:v>2021-03-15</c:v>
                </c:pt>
                <c:pt idx="258">
                  <c:v>2021-03-16</c:v>
                </c:pt>
                <c:pt idx="259">
                  <c:v>2021-03-17</c:v>
                </c:pt>
                <c:pt idx="260">
                  <c:v>2021-03-18</c:v>
                </c:pt>
                <c:pt idx="261">
                  <c:v>2021-03-19</c:v>
                </c:pt>
                <c:pt idx="262">
                  <c:v>2021-03-20</c:v>
                </c:pt>
                <c:pt idx="263">
                  <c:v>2021-03-21</c:v>
                </c:pt>
                <c:pt idx="264">
                  <c:v>2021-03-22</c:v>
                </c:pt>
                <c:pt idx="265">
                  <c:v>2021-03-23</c:v>
                </c:pt>
                <c:pt idx="266">
                  <c:v>2021-03-24</c:v>
                </c:pt>
                <c:pt idx="267">
                  <c:v>2021-03-25</c:v>
                </c:pt>
                <c:pt idx="268">
                  <c:v>2021-03-26</c:v>
                </c:pt>
                <c:pt idx="269">
                  <c:v>2021-03-27</c:v>
                </c:pt>
                <c:pt idx="270">
                  <c:v>2021-03-28</c:v>
                </c:pt>
                <c:pt idx="271">
                  <c:v>2021-03-29</c:v>
                </c:pt>
                <c:pt idx="272">
                  <c:v>2021-03-30</c:v>
                </c:pt>
                <c:pt idx="273">
                  <c:v>2021-03-31</c:v>
                </c:pt>
                <c:pt idx="274">
                  <c:v>2021-04-01</c:v>
                </c:pt>
                <c:pt idx="275">
                  <c:v>2021-04-02</c:v>
                </c:pt>
                <c:pt idx="276">
                  <c:v>2021-04-03</c:v>
                </c:pt>
                <c:pt idx="277">
                  <c:v>2021-04-04</c:v>
                </c:pt>
                <c:pt idx="278">
                  <c:v>2021-04-05</c:v>
                </c:pt>
                <c:pt idx="279">
                  <c:v>2021-04-06</c:v>
                </c:pt>
                <c:pt idx="280">
                  <c:v>2021-04-07</c:v>
                </c:pt>
                <c:pt idx="281">
                  <c:v>2021-04-08</c:v>
                </c:pt>
                <c:pt idx="282">
                  <c:v>2021-04-09</c:v>
                </c:pt>
                <c:pt idx="283">
                  <c:v>2021-04-10</c:v>
                </c:pt>
                <c:pt idx="284">
                  <c:v>2021-04-11</c:v>
                </c:pt>
                <c:pt idx="285">
                  <c:v>2021-04-12</c:v>
                </c:pt>
                <c:pt idx="286">
                  <c:v>2021-04-13</c:v>
                </c:pt>
                <c:pt idx="287">
                  <c:v>2021-04-14</c:v>
                </c:pt>
                <c:pt idx="288">
                  <c:v>2021-04-15</c:v>
                </c:pt>
                <c:pt idx="289">
                  <c:v>2021-04-16</c:v>
                </c:pt>
                <c:pt idx="290">
                  <c:v>2021-04-17</c:v>
                </c:pt>
                <c:pt idx="291">
                  <c:v>2021-04-18</c:v>
                </c:pt>
                <c:pt idx="292">
                  <c:v>2021-04-19</c:v>
                </c:pt>
                <c:pt idx="293">
                  <c:v>2021-04-20</c:v>
                </c:pt>
                <c:pt idx="294">
                  <c:v>2021-04-21</c:v>
                </c:pt>
                <c:pt idx="295">
                  <c:v>2021-04-22</c:v>
                </c:pt>
                <c:pt idx="296">
                  <c:v>2021-04-23</c:v>
                </c:pt>
                <c:pt idx="297">
                  <c:v>2021-04-24</c:v>
                </c:pt>
                <c:pt idx="298">
                  <c:v>2021-04-25</c:v>
                </c:pt>
                <c:pt idx="299">
                  <c:v>2021-04-26</c:v>
                </c:pt>
                <c:pt idx="300">
                  <c:v>2021-04-27</c:v>
                </c:pt>
                <c:pt idx="301">
                  <c:v>2021-04-28</c:v>
                </c:pt>
                <c:pt idx="302">
                  <c:v>2021-04-29</c:v>
                </c:pt>
                <c:pt idx="303">
                  <c:v>2021-04-30</c:v>
                </c:pt>
                <c:pt idx="304">
                  <c:v>2021-05-01</c:v>
                </c:pt>
                <c:pt idx="305">
                  <c:v>2021-05-02</c:v>
                </c:pt>
                <c:pt idx="306">
                  <c:v>2021-05-03</c:v>
                </c:pt>
                <c:pt idx="307">
                  <c:v>2021-05-04</c:v>
                </c:pt>
                <c:pt idx="308">
                  <c:v>2021-05-05</c:v>
                </c:pt>
                <c:pt idx="309">
                  <c:v>2021-05-06</c:v>
                </c:pt>
                <c:pt idx="310">
                  <c:v>2021-05-07</c:v>
                </c:pt>
                <c:pt idx="311">
                  <c:v>2021-05-08</c:v>
                </c:pt>
                <c:pt idx="312">
                  <c:v>2021-05-09</c:v>
                </c:pt>
                <c:pt idx="313">
                  <c:v>2021-05-10</c:v>
                </c:pt>
                <c:pt idx="314">
                  <c:v>2021-05-11</c:v>
                </c:pt>
                <c:pt idx="315">
                  <c:v>2021-05-12</c:v>
                </c:pt>
                <c:pt idx="316">
                  <c:v>2021-05-13</c:v>
                </c:pt>
                <c:pt idx="317">
                  <c:v>2021-05-14</c:v>
                </c:pt>
                <c:pt idx="318">
                  <c:v>2021-05-15</c:v>
                </c:pt>
                <c:pt idx="319">
                  <c:v>2021-05-16</c:v>
                </c:pt>
                <c:pt idx="320">
                  <c:v>2021-05-17</c:v>
                </c:pt>
                <c:pt idx="321">
                  <c:v>2021-05-18</c:v>
                </c:pt>
                <c:pt idx="322">
                  <c:v>2021-05-19</c:v>
                </c:pt>
                <c:pt idx="323">
                  <c:v>2021-05-20</c:v>
                </c:pt>
                <c:pt idx="324">
                  <c:v>2021-05-21</c:v>
                </c:pt>
                <c:pt idx="325">
                  <c:v>2021-05-22</c:v>
                </c:pt>
                <c:pt idx="326">
                  <c:v>2021-05-23</c:v>
                </c:pt>
                <c:pt idx="327">
                  <c:v>2021-05-24</c:v>
                </c:pt>
                <c:pt idx="328">
                  <c:v>2021-05-25</c:v>
                </c:pt>
                <c:pt idx="329">
                  <c:v>2021-05-26</c:v>
                </c:pt>
                <c:pt idx="330">
                  <c:v>2021-05-27</c:v>
                </c:pt>
                <c:pt idx="331">
                  <c:v>2021-05-28</c:v>
                </c:pt>
                <c:pt idx="332">
                  <c:v>2021-05-29</c:v>
                </c:pt>
                <c:pt idx="333">
                  <c:v>2021-05-30</c:v>
                </c:pt>
                <c:pt idx="334">
                  <c:v>2021-05-31</c:v>
                </c:pt>
                <c:pt idx="335">
                  <c:v>2021-06-01</c:v>
                </c:pt>
                <c:pt idx="336">
                  <c:v>2021-06-02</c:v>
                </c:pt>
                <c:pt idx="337">
                  <c:v>2021-06-03</c:v>
                </c:pt>
                <c:pt idx="338">
                  <c:v>2021-06-04</c:v>
                </c:pt>
                <c:pt idx="339">
                  <c:v>2021-06-07</c:v>
                </c:pt>
                <c:pt idx="340">
                  <c:v>2021-06-08</c:v>
                </c:pt>
                <c:pt idx="341">
                  <c:v>2021-06-09</c:v>
                </c:pt>
                <c:pt idx="342">
                  <c:v>2021-06-10</c:v>
                </c:pt>
                <c:pt idx="343">
                  <c:v>2021-06-11</c:v>
                </c:pt>
                <c:pt idx="344">
                  <c:v>2021-06-15</c:v>
                </c:pt>
                <c:pt idx="345">
                  <c:v>2021-06-16</c:v>
                </c:pt>
                <c:pt idx="346">
                  <c:v>2021-06-17</c:v>
                </c:pt>
                <c:pt idx="347">
                  <c:v>2021-06-18</c:v>
                </c:pt>
                <c:pt idx="348">
                  <c:v>2021-06-21</c:v>
                </c:pt>
                <c:pt idx="349">
                  <c:v>2021-06-22</c:v>
                </c:pt>
                <c:pt idx="350">
                  <c:v>2021-06-23</c:v>
                </c:pt>
                <c:pt idx="351">
                  <c:v>2021-06-24</c:v>
                </c:pt>
                <c:pt idx="352">
                  <c:v>2021-06-25</c:v>
                </c:pt>
                <c:pt idx="353">
                  <c:v>2021-06-28</c:v>
                </c:pt>
                <c:pt idx="354">
                  <c:v>2021-06-29</c:v>
                </c:pt>
                <c:pt idx="355">
                  <c:v>2021-06-30</c:v>
                </c:pt>
                <c:pt idx="356">
                  <c:v>2021-07-01</c:v>
                </c:pt>
                <c:pt idx="357">
                  <c:v>2021-07-02</c:v>
                </c:pt>
                <c:pt idx="358">
                  <c:v>2021-07-05</c:v>
                </c:pt>
                <c:pt idx="359">
                  <c:v>2021-07-06</c:v>
                </c:pt>
                <c:pt idx="360">
                  <c:v>2021-07-07</c:v>
                </c:pt>
                <c:pt idx="361">
                  <c:v>2021-07-08</c:v>
                </c:pt>
                <c:pt idx="362">
                  <c:v>2021-07-09</c:v>
                </c:pt>
                <c:pt idx="363">
                  <c:v>2021-07-12</c:v>
                </c:pt>
                <c:pt idx="364">
                  <c:v>2021-07-13</c:v>
                </c:pt>
                <c:pt idx="365">
                  <c:v>2021-07-14</c:v>
                </c:pt>
                <c:pt idx="366">
                  <c:v>2021-07-15</c:v>
                </c:pt>
                <c:pt idx="367">
                  <c:v>2021-07-16</c:v>
                </c:pt>
                <c:pt idx="368">
                  <c:v>2021-07-19</c:v>
                </c:pt>
                <c:pt idx="369">
                  <c:v>2021-07-20</c:v>
                </c:pt>
                <c:pt idx="370">
                  <c:v>2021-07-21</c:v>
                </c:pt>
                <c:pt idx="371">
                  <c:v>2021-07-22</c:v>
                </c:pt>
                <c:pt idx="372">
                  <c:v>2021-07-23</c:v>
                </c:pt>
                <c:pt idx="373">
                  <c:v>2021-07-26</c:v>
                </c:pt>
                <c:pt idx="374">
                  <c:v>2021-07-27</c:v>
                </c:pt>
                <c:pt idx="375">
                  <c:v>2021-07-28</c:v>
                </c:pt>
                <c:pt idx="376">
                  <c:v>2021-07-29</c:v>
                </c:pt>
                <c:pt idx="377">
                  <c:v>2021-07-30</c:v>
                </c:pt>
              </c:strCache>
            </c:strRef>
          </c:cat>
          <c:val>
            <c:numRef>
              <c:f>[0]!netvalue</c:f>
              <c:numCache>
                <c:formatCode>General</c:formatCode>
                <c:ptCount val="378"/>
                <c:pt idx="0">
                  <c:v>1.0027999999999999</c:v>
                </c:pt>
                <c:pt idx="1">
                  <c:v>1.0027999999999999</c:v>
                </c:pt>
                <c:pt idx="2">
                  <c:v>1.0027999999999999</c:v>
                </c:pt>
                <c:pt idx="3">
                  <c:v>1.0027999999999999</c:v>
                </c:pt>
                <c:pt idx="4">
                  <c:v>1.0027999999999999</c:v>
                </c:pt>
                <c:pt idx="5">
                  <c:v>1.0027999999999999</c:v>
                </c:pt>
                <c:pt idx="6">
                  <c:v>1.0027999999999999</c:v>
                </c:pt>
                <c:pt idx="7">
                  <c:v>0.99750000000000005</c:v>
                </c:pt>
                <c:pt idx="8">
                  <c:v>1.0035000000000001</c:v>
                </c:pt>
                <c:pt idx="9">
                  <c:v>1.0049999999999999</c:v>
                </c:pt>
                <c:pt idx="10">
                  <c:v>1.0049999999999999</c:v>
                </c:pt>
                <c:pt idx="11">
                  <c:v>1.0049999999999999</c:v>
                </c:pt>
                <c:pt idx="12">
                  <c:v>1.0269999999999999</c:v>
                </c:pt>
                <c:pt idx="13">
                  <c:v>1.0291999999999999</c:v>
                </c:pt>
                <c:pt idx="14">
                  <c:v>1.0268999999999999</c:v>
                </c:pt>
                <c:pt idx="15">
                  <c:v>0.97950000000000004</c:v>
                </c:pt>
                <c:pt idx="16">
                  <c:v>1.0157</c:v>
                </c:pt>
                <c:pt idx="17">
                  <c:v>1.0157</c:v>
                </c:pt>
                <c:pt idx="18">
                  <c:v>1.0157</c:v>
                </c:pt>
                <c:pt idx="19">
                  <c:v>1.0103</c:v>
                </c:pt>
                <c:pt idx="20">
                  <c:v>1.0210999999999999</c:v>
                </c:pt>
                <c:pt idx="21">
                  <c:v>1.0236000000000001</c:v>
                </c:pt>
                <c:pt idx="22">
                  <c:v>1.0214000000000001</c:v>
                </c:pt>
                <c:pt idx="23">
                  <c:v>0.98089999999999999</c:v>
                </c:pt>
                <c:pt idx="24">
                  <c:v>0.98089999999999999</c:v>
                </c:pt>
                <c:pt idx="25">
                  <c:v>0.98089999999999999</c:v>
                </c:pt>
                <c:pt idx="26">
                  <c:v>1.0033000000000001</c:v>
                </c:pt>
                <c:pt idx="27">
                  <c:v>1.0094000000000001</c:v>
                </c:pt>
                <c:pt idx="28">
                  <c:v>1.0035000000000001</c:v>
                </c:pt>
                <c:pt idx="29">
                  <c:v>1.0023</c:v>
                </c:pt>
                <c:pt idx="30">
                  <c:v>1.0003</c:v>
                </c:pt>
                <c:pt idx="31">
                  <c:v>1.0003</c:v>
                </c:pt>
                <c:pt idx="32">
                  <c:v>1.0003</c:v>
                </c:pt>
                <c:pt idx="33">
                  <c:v>1.0056</c:v>
                </c:pt>
                <c:pt idx="34">
                  <c:v>1.0064</c:v>
                </c:pt>
                <c:pt idx="35">
                  <c:v>1.0059</c:v>
                </c:pt>
                <c:pt idx="36">
                  <c:v>1.0144</c:v>
                </c:pt>
                <c:pt idx="37">
                  <c:v>1.0341</c:v>
                </c:pt>
                <c:pt idx="38">
                  <c:v>1.0341</c:v>
                </c:pt>
                <c:pt idx="39">
                  <c:v>1.0341</c:v>
                </c:pt>
                <c:pt idx="40">
                  <c:v>1.0465</c:v>
                </c:pt>
                <c:pt idx="41">
                  <c:v>1.0452999999999999</c:v>
                </c:pt>
                <c:pt idx="42">
                  <c:v>1.0589</c:v>
                </c:pt>
                <c:pt idx="43">
                  <c:v>1.0645</c:v>
                </c:pt>
                <c:pt idx="44">
                  <c:v>1.0669</c:v>
                </c:pt>
                <c:pt idx="45">
                  <c:v>1.0669</c:v>
                </c:pt>
                <c:pt idx="46">
                  <c:v>1.0669</c:v>
                </c:pt>
                <c:pt idx="47">
                  <c:v>1.0429999999999999</c:v>
                </c:pt>
                <c:pt idx="48">
                  <c:v>1.0525</c:v>
                </c:pt>
                <c:pt idx="49">
                  <c:v>1.0610999999999999</c:v>
                </c:pt>
                <c:pt idx="50">
                  <c:v>1.0682</c:v>
                </c:pt>
                <c:pt idx="51">
                  <c:v>1.0692999999999999</c:v>
                </c:pt>
                <c:pt idx="52">
                  <c:v>1.0692999999999999</c:v>
                </c:pt>
                <c:pt idx="53">
                  <c:v>1.0692999999999999</c:v>
                </c:pt>
                <c:pt idx="54">
                  <c:v>1.0831999999999999</c:v>
                </c:pt>
                <c:pt idx="55">
                  <c:v>1.0892999999999999</c:v>
                </c:pt>
                <c:pt idx="56">
                  <c:v>1.0878000000000001</c:v>
                </c:pt>
                <c:pt idx="57">
                  <c:v>1.0984</c:v>
                </c:pt>
                <c:pt idx="58">
                  <c:v>1.0806</c:v>
                </c:pt>
                <c:pt idx="59">
                  <c:v>1.0806</c:v>
                </c:pt>
                <c:pt idx="60">
                  <c:v>1.0806</c:v>
                </c:pt>
                <c:pt idx="61">
                  <c:v>1.0842000000000001</c:v>
                </c:pt>
                <c:pt idx="62">
                  <c:v>1.0916999999999999</c:v>
                </c:pt>
                <c:pt idx="63">
                  <c:v>1.0902000000000001</c:v>
                </c:pt>
                <c:pt idx="64">
                  <c:v>1.0962000000000001</c:v>
                </c:pt>
                <c:pt idx="65">
                  <c:v>1.0996999999999999</c:v>
                </c:pt>
                <c:pt idx="66">
                  <c:v>1.0996999999999999</c:v>
                </c:pt>
                <c:pt idx="67">
                  <c:v>1.0996999999999999</c:v>
                </c:pt>
                <c:pt idx="68">
                  <c:v>1.1053999999999999</c:v>
                </c:pt>
                <c:pt idx="69">
                  <c:v>1.1076999999999999</c:v>
                </c:pt>
                <c:pt idx="70">
                  <c:v>1.0995999999999999</c:v>
                </c:pt>
                <c:pt idx="71">
                  <c:v>1.1107</c:v>
                </c:pt>
                <c:pt idx="72">
                  <c:v>1.1192</c:v>
                </c:pt>
                <c:pt idx="73">
                  <c:v>1.1192</c:v>
                </c:pt>
                <c:pt idx="74">
                  <c:v>1.1192</c:v>
                </c:pt>
                <c:pt idx="75">
                  <c:v>1.127</c:v>
                </c:pt>
                <c:pt idx="76">
                  <c:v>1.1296999999999999</c:v>
                </c:pt>
                <c:pt idx="77">
                  <c:v>1.1311</c:v>
                </c:pt>
                <c:pt idx="78">
                  <c:v>1.1299999999999999</c:v>
                </c:pt>
                <c:pt idx="79">
                  <c:v>1.1234999999999999</c:v>
                </c:pt>
                <c:pt idx="80">
                  <c:v>1.1234999999999999</c:v>
                </c:pt>
                <c:pt idx="81">
                  <c:v>1.1234999999999999</c:v>
                </c:pt>
                <c:pt idx="82">
                  <c:v>1.1205000000000001</c:v>
                </c:pt>
                <c:pt idx="83">
                  <c:v>1.1152</c:v>
                </c:pt>
                <c:pt idx="84">
                  <c:v>1.1221000000000001</c:v>
                </c:pt>
                <c:pt idx="85">
                  <c:v>1.1161000000000001</c:v>
                </c:pt>
                <c:pt idx="86">
                  <c:v>1.1171</c:v>
                </c:pt>
                <c:pt idx="87">
                  <c:v>1.1171</c:v>
                </c:pt>
                <c:pt idx="88">
                  <c:v>1.1171</c:v>
                </c:pt>
                <c:pt idx="89">
                  <c:v>1.1178999999999999</c:v>
                </c:pt>
                <c:pt idx="90">
                  <c:v>1.1101000000000001</c:v>
                </c:pt>
                <c:pt idx="91">
                  <c:v>1.1074999999999999</c:v>
                </c:pt>
                <c:pt idx="92">
                  <c:v>1.1074999999999999</c:v>
                </c:pt>
                <c:pt idx="93">
                  <c:v>1.1074999999999999</c:v>
                </c:pt>
                <c:pt idx="94">
                  <c:v>1.1074999999999999</c:v>
                </c:pt>
                <c:pt idx="95">
                  <c:v>1.1074999999999999</c:v>
                </c:pt>
                <c:pt idx="96">
                  <c:v>1.1074999999999999</c:v>
                </c:pt>
                <c:pt idx="97">
                  <c:v>1.1074999999999999</c:v>
                </c:pt>
                <c:pt idx="98">
                  <c:v>1.1074999999999999</c:v>
                </c:pt>
                <c:pt idx="99">
                  <c:v>1.1074999999999999</c:v>
                </c:pt>
                <c:pt idx="100">
                  <c:v>1.1373</c:v>
                </c:pt>
                <c:pt idx="101">
                  <c:v>1.1373</c:v>
                </c:pt>
                <c:pt idx="102">
                  <c:v>1.1373</c:v>
                </c:pt>
                <c:pt idx="103">
                  <c:v>1.1269</c:v>
                </c:pt>
                <c:pt idx="104">
                  <c:v>1.1312</c:v>
                </c:pt>
                <c:pt idx="105">
                  <c:v>1.1348</c:v>
                </c:pt>
                <c:pt idx="106">
                  <c:v>1.1378999999999999</c:v>
                </c:pt>
                <c:pt idx="107">
                  <c:v>1.1431</c:v>
                </c:pt>
                <c:pt idx="108">
                  <c:v>1.1431</c:v>
                </c:pt>
                <c:pt idx="109">
                  <c:v>1.1431</c:v>
                </c:pt>
                <c:pt idx="110">
                  <c:v>1.1501999999999999</c:v>
                </c:pt>
                <c:pt idx="111">
                  <c:v>1.1546000000000001</c:v>
                </c:pt>
                <c:pt idx="112">
                  <c:v>1.1548</c:v>
                </c:pt>
                <c:pt idx="113">
                  <c:v>1.1544000000000001</c:v>
                </c:pt>
                <c:pt idx="114">
                  <c:v>1.1544000000000001</c:v>
                </c:pt>
                <c:pt idx="115">
                  <c:v>1.1544000000000001</c:v>
                </c:pt>
                <c:pt idx="116">
                  <c:v>1.1544000000000001</c:v>
                </c:pt>
                <c:pt idx="117">
                  <c:v>1.1563000000000001</c:v>
                </c:pt>
                <c:pt idx="118">
                  <c:v>1.157</c:v>
                </c:pt>
                <c:pt idx="119">
                  <c:v>1.1583000000000001</c:v>
                </c:pt>
                <c:pt idx="120">
                  <c:v>1.1589</c:v>
                </c:pt>
                <c:pt idx="121">
                  <c:v>1.1538999999999999</c:v>
                </c:pt>
                <c:pt idx="122">
                  <c:v>1.1538999999999999</c:v>
                </c:pt>
                <c:pt idx="123">
                  <c:v>1.1538999999999999</c:v>
                </c:pt>
                <c:pt idx="124">
                  <c:v>1.1540999999999999</c:v>
                </c:pt>
                <c:pt idx="125">
                  <c:v>1.1526000000000001</c:v>
                </c:pt>
                <c:pt idx="126">
                  <c:v>1.1589</c:v>
                </c:pt>
                <c:pt idx="127">
                  <c:v>1.1621999999999999</c:v>
                </c:pt>
                <c:pt idx="128">
                  <c:v>1.1647000000000001</c:v>
                </c:pt>
                <c:pt idx="129">
                  <c:v>1.1647000000000001</c:v>
                </c:pt>
                <c:pt idx="130">
                  <c:v>1.1647000000000001</c:v>
                </c:pt>
                <c:pt idx="131">
                  <c:v>1.1651</c:v>
                </c:pt>
                <c:pt idx="132">
                  <c:v>1.1661999999999999</c:v>
                </c:pt>
                <c:pt idx="133">
                  <c:v>1.1697</c:v>
                </c:pt>
                <c:pt idx="134">
                  <c:v>1.1734</c:v>
                </c:pt>
                <c:pt idx="135">
                  <c:v>1.165</c:v>
                </c:pt>
                <c:pt idx="136">
                  <c:v>1.165</c:v>
                </c:pt>
                <c:pt idx="137">
                  <c:v>1.165</c:v>
                </c:pt>
                <c:pt idx="138">
                  <c:v>1.1682999999999999</c:v>
                </c:pt>
                <c:pt idx="139">
                  <c:v>1.1712</c:v>
                </c:pt>
                <c:pt idx="140">
                  <c:v>1.1707000000000001</c:v>
                </c:pt>
                <c:pt idx="141">
                  <c:v>1.1704000000000001</c:v>
                </c:pt>
                <c:pt idx="142">
                  <c:v>1.1747000000000001</c:v>
                </c:pt>
                <c:pt idx="143">
                  <c:v>1.1747000000000001</c:v>
                </c:pt>
                <c:pt idx="144">
                  <c:v>1.1747000000000001</c:v>
                </c:pt>
                <c:pt idx="145">
                  <c:v>1.173</c:v>
                </c:pt>
                <c:pt idx="146">
                  <c:v>1.1740999999999999</c:v>
                </c:pt>
                <c:pt idx="147">
                  <c:v>1.1757</c:v>
                </c:pt>
                <c:pt idx="148">
                  <c:v>1.1815</c:v>
                </c:pt>
                <c:pt idx="149">
                  <c:v>1.1795</c:v>
                </c:pt>
                <c:pt idx="150">
                  <c:v>1.1795</c:v>
                </c:pt>
                <c:pt idx="151">
                  <c:v>1.1795</c:v>
                </c:pt>
                <c:pt idx="152">
                  <c:v>1.1819999999999999</c:v>
                </c:pt>
                <c:pt idx="153">
                  <c:v>1.1594</c:v>
                </c:pt>
                <c:pt idx="154">
                  <c:v>1.1606000000000001</c:v>
                </c:pt>
                <c:pt idx="155">
                  <c:v>1.1623000000000001</c:v>
                </c:pt>
                <c:pt idx="156">
                  <c:v>1.1680999999999999</c:v>
                </c:pt>
                <c:pt idx="157">
                  <c:v>1.1680999999999999</c:v>
                </c:pt>
                <c:pt idx="158">
                  <c:v>1.1680999999999999</c:v>
                </c:pt>
                <c:pt idx="159">
                  <c:v>1.1741999999999999</c:v>
                </c:pt>
                <c:pt idx="160">
                  <c:v>1.1779999999999999</c:v>
                </c:pt>
                <c:pt idx="161">
                  <c:v>1.1846000000000001</c:v>
                </c:pt>
                <c:pt idx="162">
                  <c:v>1.1898</c:v>
                </c:pt>
                <c:pt idx="163">
                  <c:v>1.1889000000000001</c:v>
                </c:pt>
                <c:pt idx="164">
                  <c:v>1.1889000000000001</c:v>
                </c:pt>
                <c:pt idx="165">
                  <c:v>1.1889000000000001</c:v>
                </c:pt>
                <c:pt idx="166">
                  <c:v>1.1944999999999999</c:v>
                </c:pt>
                <c:pt idx="167">
                  <c:v>1.1942999999999999</c:v>
                </c:pt>
                <c:pt idx="168">
                  <c:v>1.1955</c:v>
                </c:pt>
                <c:pt idx="169">
                  <c:v>1.1935</c:v>
                </c:pt>
                <c:pt idx="170">
                  <c:v>1.1968000000000001</c:v>
                </c:pt>
                <c:pt idx="171">
                  <c:v>1.1968000000000001</c:v>
                </c:pt>
                <c:pt idx="172">
                  <c:v>1.1968000000000001</c:v>
                </c:pt>
                <c:pt idx="173">
                  <c:v>1.1938</c:v>
                </c:pt>
                <c:pt idx="174">
                  <c:v>1.1933</c:v>
                </c:pt>
                <c:pt idx="175">
                  <c:v>1.1949000000000001</c:v>
                </c:pt>
                <c:pt idx="176">
                  <c:v>1.1973</c:v>
                </c:pt>
                <c:pt idx="177">
                  <c:v>1.1977</c:v>
                </c:pt>
                <c:pt idx="178">
                  <c:v>1.1977</c:v>
                </c:pt>
                <c:pt idx="179">
                  <c:v>1.1977</c:v>
                </c:pt>
                <c:pt idx="180">
                  <c:v>1.1994</c:v>
                </c:pt>
                <c:pt idx="181">
                  <c:v>1.1987000000000001</c:v>
                </c:pt>
                <c:pt idx="182">
                  <c:v>1.1971000000000001</c:v>
                </c:pt>
                <c:pt idx="183">
                  <c:v>1.1950000000000001</c:v>
                </c:pt>
                <c:pt idx="184">
                  <c:v>1.1950000000000001</c:v>
                </c:pt>
                <c:pt idx="185">
                  <c:v>1.1950000000000001</c:v>
                </c:pt>
                <c:pt idx="186">
                  <c:v>1.1950000000000001</c:v>
                </c:pt>
                <c:pt idx="187">
                  <c:v>1.1967000000000001</c:v>
                </c:pt>
                <c:pt idx="188">
                  <c:v>1.1969000000000001</c:v>
                </c:pt>
                <c:pt idx="189">
                  <c:v>1.1929000000000001</c:v>
                </c:pt>
                <c:pt idx="190">
                  <c:v>1.1617</c:v>
                </c:pt>
                <c:pt idx="191">
                  <c:v>1.1632</c:v>
                </c:pt>
                <c:pt idx="192">
                  <c:v>1.1632</c:v>
                </c:pt>
                <c:pt idx="193">
                  <c:v>1.1632</c:v>
                </c:pt>
                <c:pt idx="194">
                  <c:v>1.1733</c:v>
                </c:pt>
                <c:pt idx="195">
                  <c:v>1.1286</c:v>
                </c:pt>
                <c:pt idx="196">
                  <c:v>1.1236999999999999</c:v>
                </c:pt>
                <c:pt idx="197">
                  <c:v>1.1174999999999999</c:v>
                </c:pt>
                <c:pt idx="198">
                  <c:v>1.1311</c:v>
                </c:pt>
                <c:pt idx="199">
                  <c:v>1.1311</c:v>
                </c:pt>
                <c:pt idx="200">
                  <c:v>1.1311</c:v>
                </c:pt>
                <c:pt idx="201">
                  <c:v>1.1369</c:v>
                </c:pt>
                <c:pt idx="202">
                  <c:v>1.1338999999999999</c:v>
                </c:pt>
                <c:pt idx="203">
                  <c:v>1.1345000000000001</c:v>
                </c:pt>
                <c:pt idx="204">
                  <c:v>1.1318999999999999</c:v>
                </c:pt>
                <c:pt idx="205">
                  <c:v>1.1414</c:v>
                </c:pt>
                <c:pt idx="206">
                  <c:v>1.1413</c:v>
                </c:pt>
                <c:pt idx="207">
                  <c:v>1.1413</c:v>
                </c:pt>
                <c:pt idx="208">
                  <c:v>1.1435999999999999</c:v>
                </c:pt>
                <c:pt idx="209">
                  <c:v>1.1422000000000001</c:v>
                </c:pt>
                <c:pt idx="210">
                  <c:v>1.143</c:v>
                </c:pt>
                <c:pt idx="211">
                  <c:v>1.1354</c:v>
                </c:pt>
                <c:pt idx="212">
                  <c:v>1.1259999999999999</c:v>
                </c:pt>
                <c:pt idx="213">
                  <c:v>1.1259999999999999</c:v>
                </c:pt>
                <c:pt idx="214">
                  <c:v>1.1259999999999999</c:v>
                </c:pt>
                <c:pt idx="215">
                  <c:v>1.1312</c:v>
                </c:pt>
                <c:pt idx="216">
                  <c:v>1.1414</c:v>
                </c:pt>
                <c:pt idx="217">
                  <c:v>1.1475</c:v>
                </c:pt>
                <c:pt idx="218">
                  <c:v>1.149</c:v>
                </c:pt>
                <c:pt idx="219">
                  <c:v>1.1544000000000001</c:v>
                </c:pt>
                <c:pt idx="220">
                  <c:v>1.1543000000000001</c:v>
                </c:pt>
                <c:pt idx="221">
                  <c:v>1.1543000000000001</c:v>
                </c:pt>
                <c:pt idx="222">
                  <c:v>1.1607000000000001</c:v>
                </c:pt>
                <c:pt idx="223">
                  <c:v>1.1580999999999999</c:v>
                </c:pt>
                <c:pt idx="224">
                  <c:v>1.149</c:v>
                </c:pt>
                <c:pt idx="225">
                  <c:v>1.149</c:v>
                </c:pt>
                <c:pt idx="226">
                  <c:v>1.1489</c:v>
                </c:pt>
                <c:pt idx="227">
                  <c:v>1.1489</c:v>
                </c:pt>
                <c:pt idx="228">
                  <c:v>1.1489</c:v>
                </c:pt>
                <c:pt idx="229">
                  <c:v>1.1489</c:v>
                </c:pt>
                <c:pt idx="230">
                  <c:v>1.1489</c:v>
                </c:pt>
                <c:pt idx="231">
                  <c:v>1.1489</c:v>
                </c:pt>
                <c:pt idx="232">
                  <c:v>1.1580999999999999</c:v>
                </c:pt>
                <c:pt idx="233">
                  <c:v>1.1758</c:v>
                </c:pt>
                <c:pt idx="234">
                  <c:v>1.1758</c:v>
                </c:pt>
                <c:pt idx="235">
                  <c:v>1.1758</c:v>
                </c:pt>
                <c:pt idx="236">
                  <c:v>1.1712</c:v>
                </c:pt>
                <c:pt idx="237">
                  <c:v>1.1716</c:v>
                </c:pt>
                <c:pt idx="238">
                  <c:v>1.1658999999999999</c:v>
                </c:pt>
                <c:pt idx="239">
                  <c:v>1.1754</c:v>
                </c:pt>
                <c:pt idx="240">
                  <c:v>1.1591</c:v>
                </c:pt>
                <c:pt idx="241">
                  <c:v>1.1591</c:v>
                </c:pt>
                <c:pt idx="242">
                  <c:v>1.1591</c:v>
                </c:pt>
                <c:pt idx="243">
                  <c:v>1.1879999999999999</c:v>
                </c:pt>
                <c:pt idx="244">
                  <c:v>1.1897</c:v>
                </c:pt>
                <c:pt idx="245">
                  <c:v>1.1916</c:v>
                </c:pt>
                <c:pt idx="246">
                  <c:v>1.1836</c:v>
                </c:pt>
                <c:pt idx="247">
                  <c:v>1.1840999999999999</c:v>
                </c:pt>
                <c:pt idx="248">
                  <c:v>1.1840999999999999</c:v>
                </c:pt>
                <c:pt idx="249">
                  <c:v>1.1840999999999999</c:v>
                </c:pt>
                <c:pt idx="250">
                  <c:v>1.1415</c:v>
                </c:pt>
                <c:pt idx="251">
                  <c:v>1.1465000000000001</c:v>
                </c:pt>
                <c:pt idx="252">
                  <c:v>1.1516</c:v>
                </c:pt>
                <c:pt idx="253">
                  <c:v>1.1781999999999999</c:v>
                </c:pt>
                <c:pt idx="254">
                  <c:v>1.1846000000000001</c:v>
                </c:pt>
                <c:pt idx="255">
                  <c:v>1.1846000000000001</c:v>
                </c:pt>
                <c:pt idx="256">
                  <c:v>1.1846000000000001</c:v>
                </c:pt>
                <c:pt idx="257">
                  <c:v>1.1815</c:v>
                </c:pt>
                <c:pt idx="258">
                  <c:v>1.1846000000000001</c:v>
                </c:pt>
                <c:pt idx="259">
                  <c:v>1.1812</c:v>
                </c:pt>
                <c:pt idx="260">
                  <c:v>1.1818</c:v>
                </c:pt>
                <c:pt idx="261">
                  <c:v>1.1782999999999999</c:v>
                </c:pt>
                <c:pt idx="262">
                  <c:v>1.1782999999999999</c:v>
                </c:pt>
                <c:pt idx="263">
                  <c:v>1.1782999999999999</c:v>
                </c:pt>
                <c:pt idx="264">
                  <c:v>1.1780999999999999</c:v>
                </c:pt>
                <c:pt idx="265">
                  <c:v>1.1831</c:v>
                </c:pt>
                <c:pt idx="266">
                  <c:v>1.1840999999999999</c:v>
                </c:pt>
                <c:pt idx="267">
                  <c:v>1.1798999999999999</c:v>
                </c:pt>
                <c:pt idx="268">
                  <c:v>1.1767000000000001</c:v>
                </c:pt>
                <c:pt idx="269">
                  <c:v>1.1767000000000001</c:v>
                </c:pt>
                <c:pt idx="270">
                  <c:v>1.1767000000000001</c:v>
                </c:pt>
                <c:pt idx="271">
                  <c:v>1.1722999999999999</c:v>
                </c:pt>
                <c:pt idx="272">
                  <c:v>1.1725000000000001</c:v>
                </c:pt>
                <c:pt idx="273">
                  <c:v>1.1711</c:v>
                </c:pt>
                <c:pt idx="274">
                  <c:v>1.1667000000000001</c:v>
                </c:pt>
                <c:pt idx="275">
                  <c:v>1.1661999999999999</c:v>
                </c:pt>
                <c:pt idx="276">
                  <c:v>1.1661999999999999</c:v>
                </c:pt>
                <c:pt idx="277">
                  <c:v>1.1661999999999999</c:v>
                </c:pt>
                <c:pt idx="278">
                  <c:v>1.1661999999999999</c:v>
                </c:pt>
                <c:pt idx="279">
                  <c:v>1.1673</c:v>
                </c:pt>
                <c:pt idx="280">
                  <c:v>1.1674</c:v>
                </c:pt>
                <c:pt idx="281">
                  <c:v>1.1645000000000001</c:v>
                </c:pt>
                <c:pt idx="282">
                  <c:v>1.1657999999999999</c:v>
                </c:pt>
                <c:pt idx="283">
                  <c:v>1.1657999999999999</c:v>
                </c:pt>
                <c:pt idx="284">
                  <c:v>1.1657999999999999</c:v>
                </c:pt>
                <c:pt idx="285">
                  <c:v>1.169</c:v>
                </c:pt>
                <c:pt idx="286">
                  <c:v>1.167</c:v>
                </c:pt>
                <c:pt idx="287">
                  <c:v>1.1641999999999999</c:v>
                </c:pt>
                <c:pt idx="288">
                  <c:v>1.1636</c:v>
                </c:pt>
                <c:pt idx="289">
                  <c:v>1.1574</c:v>
                </c:pt>
                <c:pt idx="290">
                  <c:v>1.1574</c:v>
                </c:pt>
                <c:pt idx="291">
                  <c:v>1.1574</c:v>
                </c:pt>
                <c:pt idx="292">
                  <c:v>1.1642999999999999</c:v>
                </c:pt>
                <c:pt idx="293">
                  <c:v>1.1615</c:v>
                </c:pt>
                <c:pt idx="294">
                  <c:v>1.1624000000000001</c:v>
                </c:pt>
                <c:pt idx="295">
                  <c:v>1.1637999999999999</c:v>
                </c:pt>
                <c:pt idx="296">
                  <c:v>1.1632</c:v>
                </c:pt>
                <c:pt idx="297">
                  <c:v>1.1632</c:v>
                </c:pt>
                <c:pt idx="298">
                  <c:v>1.1632</c:v>
                </c:pt>
                <c:pt idx="299">
                  <c:v>1.1614</c:v>
                </c:pt>
                <c:pt idx="300">
                  <c:v>1.1607000000000001</c:v>
                </c:pt>
                <c:pt idx="301">
                  <c:v>1.1662999999999999</c:v>
                </c:pt>
                <c:pt idx="302">
                  <c:v>1.1706000000000001</c:v>
                </c:pt>
                <c:pt idx="303">
                  <c:v>1.1672</c:v>
                </c:pt>
                <c:pt idx="304">
                  <c:v>1.1672</c:v>
                </c:pt>
                <c:pt idx="305">
                  <c:v>1.1672</c:v>
                </c:pt>
                <c:pt idx="306">
                  <c:v>1.1672</c:v>
                </c:pt>
                <c:pt idx="307">
                  <c:v>1.1672</c:v>
                </c:pt>
                <c:pt idx="308">
                  <c:v>1.1672</c:v>
                </c:pt>
                <c:pt idx="309">
                  <c:v>1.1778999999999999</c:v>
                </c:pt>
                <c:pt idx="310">
                  <c:v>1.1798</c:v>
                </c:pt>
                <c:pt idx="311">
                  <c:v>1.1798</c:v>
                </c:pt>
                <c:pt idx="312">
                  <c:v>1.1798</c:v>
                </c:pt>
                <c:pt idx="313">
                  <c:v>1.1819</c:v>
                </c:pt>
                <c:pt idx="314">
                  <c:v>1.1800999999999999</c:v>
                </c:pt>
                <c:pt idx="315">
                  <c:v>1.1843999999999999</c:v>
                </c:pt>
                <c:pt idx="316">
                  <c:v>1.1893</c:v>
                </c:pt>
                <c:pt idx="317">
                  <c:v>1.1812</c:v>
                </c:pt>
                <c:pt idx="318">
                  <c:v>1.1812</c:v>
                </c:pt>
                <c:pt idx="319">
                  <c:v>1.1812</c:v>
                </c:pt>
                <c:pt idx="320">
                  <c:v>1.1817</c:v>
                </c:pt>
                <c:pt idx="321">
                  <c:v>1.1801999999999999</c:v>
                </c:pt>
                <c:pt idx="322">
                  <c:v>1.1801999999999999</c:v>
                </c:pt>
                <c:pt idx="323">
                  <c:v>1.1758</c:v>
                </c:pt>
                <c:pt idx="324">
                  <c:v>1.1726000000000001</c:v>
                </c:pt>
                <c:pt idx="325">
                  <c:v>1.1726000000000001</c:v>
                </c:pt>
                <c:pt idx="326">
                  <c:v>1.1726000000000001</c:v>
                </c:pt>
                <c:pt idx="327">
                  <c:v>1.1712</c:v>
                </c:pt>
                <c:pt idx="328">
                  <c:v>1.1680999999999999</c:v>
                </c:pt>
                <c:pt idx="329">
                  <c:v>1.1698999999999999</c:v>
                </c:pt>
                <c:pt idx="330">
                  <c:v>1.17</c:v>
                </c:pt>
                <c:pt idx="331">
                  <c:v>1.1701999999999999</c:v>
                </c:pt>
                <c:pt idx="332">
                  <c:v>1.1701999999999999</c:v>
                </c:pt>
                <c:pt idx="333">
                  <c:v>1.1701999999999999</c:v>
                </c:pt>
                <c:pt idx="334">
                  <c:v>1.1675</c:v>
                </c:pt>
                <c:pt idx="335">
                  <c:v>1.1687000000000001</c:v>
                </c:pt>
                <c:pt idx="336">
                  <c:v>1.1751</c:v>
                </c:pt>
                <c:pt idx="337">
                  <c:v>1.1793</c:v>
                </c:pt>
                <c:pt idx="338">
                  <c:v>1.1802999999999999</c:v>
                </c:pt>
                <c:pt idx="339">
                  <c:v>1.1823999999999999</c:v>
                </c:pt>
                <c:pt idx="340">
                  <c:v>1.18</c:v>
                </c:pt>
                <c:pt idx="341">
                  <c:v>1.1919</c:v>
                </c:pt>
                <c:pt idx="342">
                  <c:v>1.1959</c:v>
                </c:pt>
                <c:pt idx="343">
                  <c:v>1.1968000000000001</c:v>
                </c:pt>
                <c:pt idx="344">
                  <c:v>1.2014</c:v>
                </c:pt>
                <c:pt idx="345">
                  <c:v>1.2005999999999999</c:v>
                </c:pt>
                <c:pt idx="346">
                  <c:v>1.2040999999999999</c:v>
                </c:pt>
                <c:pt idx="347">
                  <c:v>1.1996</c:v>
                </c:pt>
                <c:pt idx="348">
                  <c:v>1.1975</c:v>
                </c:pt>
                <c:pt idx="349">
                  <c:v>1.1973</c:v>
                </c:pt>
                <c:pt idx="350">
                  <c:v>1.2031000000000001</c:v>
                </c:pt>
                <c:pt idx="351">
                  <c:v>1.2033</c:v>
                </c:pt>
                <c:pt idx="352">
                  <c:v>1.2032</c:v>
                </c:pt>
                <c:pt idx="353">
                  <c:v>1.2042999999999999</c:v>
                </c:pt>
                <c:pt idx="354">
                  <c:v>1.2047000000000001</c:v>
                </c:pt>
                <c:pt idx="355">
                  <c:v>1.2031000000000001</c:v>
                </c:pt>
                <c:pt idx="356">
                  <c:v>1.2020999999999999</c:v>
                </c:pt>
                <c:pt idx="357">
                  <c:v>1.2011000000000001</c:v>
                </c:pt>
                <c:pt idx="358">
                  <c:v>1.2051000000000001</c:v>
                </c:pt>
                <c:pt idx="359">
                  <c:v>1.2022999999999999</c:v>
                </c:pt>
                <c:pt idx="360">
                  <c:v>1.1949000000000001</c:v>
                </c:pt>
                <c:pt idx="361">
                  <c:v>1.1910000000000001</c:v>
                </c:pt>
                <c:pt idx="362">
                  <c:v>1.1946000000000001</c:v>
                </c:pt>
                <c:pt idx="363">
                  <c:v>1.1967000000000001</c:v>
                </c:pt>
                <c:pt idx="364">
                  <c:v>1.1997</c:v>
                </c:pt>
                <c:pt idx="365">
                  <c:v>1.1996</c:v>
                </c:pt>
                <c:pt idx="366">
                  <c:v>1.2020999999999999</c:v>
                </c:pt>
                <c:pt idx="367">
                  <c:v>1.2041999999999999</c:v>
                </c:pt>
                <c:pt idx="368">
                  <c:v>1.2041999999999999</c:v>
                </c:pt>
                <c:pt idx="369">
                  <c:v>1.2038</c:v>
                </c:pt>
                <c:pt idx="370">
                  <c:v>1.2019</c:v>
                </c:pt>
                <c:pt idx="371">
                  <c:v>1.2059</c:v>
                </c:pt>
                <c:pt idx="372">
                  <c:v>1.2060999999999999</c:v>
                </c:pt>
                <c:pt idx="373">
                  <c:v>1.2005999999999999</c:v>
                </c:pt>
                <c:pt idx="374">
                  <c:v>1.1901999999999999</c:v>
                </c:pt>
                <c:pt idx="375">
                  <c:v>1.1897</c:v>
                </c:pt>
                <c:pt idx="376">
                  <c:v>1.1928000000000001</c:v>
                </c:pt>
                <c:pt idx="377">
                  <c:v>1.1935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A-4F53-B2D1-CA1B81EBC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21719"/>
        <c:axId val="777424671"/>
      </c:lineChart>
      <c:catAx>
        <c:axId val="777421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7424671"/>
        <c:crosses val="autoZero"/>
        <c:auto val="1"/>
        <c:lblAlgn val="ctr"/>
        <c:lblOffset val="100"/>
        <c:noMultiLvlLbl val="0"/>
      </c:catAx>
      <c:valAx>
        <c:axId val="777424671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7421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247649</xdr:colOff>
      <xdr:row>927</xdr:row>
      <xdr:rowOff>57150</xdr:rowOff>
    </xdr:from>
    <xdr:to>
      <xdr:col>23</xdr:col>
      <xdr:colOff>409575</xdr:colOff>
      <xdr:row>954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248C7161-F725-4B15-A36B-2B35B54A1F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257175</xdr:colOff>
      <xdr:row>961</xdr:row>
      <xdr:rowOff>0</xdr:rowOff>
    </xdr:from>
    <xdr:to>
      <xdr:col>23</xdr:col>
      <xdr:colOff>457200</xdr:colOff>
      <xdr:row>988</xdr:row>
      <xdr:rowOff>133350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9B6CE25B-69A8-4C2F-BD7D-22D1E8E04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32</xdr:row>
      <xdr:rowOff>0</xdr:rowOff>
    </xdr:from>
    <xdr:to>
      <xdr:col>18</xdr:col>
      <xdr:colOff>19050</xdr:colOff>
      <xdr:row>56</xdr:row>
      <xdr:rowOff>85725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6221D62-B9A6-4771-BF43-BA7640096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</xdr:colOff>
      <xdr:row>58</xdr:row>
      <xdr:rowOff>66676</xdr:rowOff>
    </xdr:from>
    <xdr:to>
      <xdr:col>17</xdr:col>
      <xdr:colOff>438150</xdr:colOff>
      <xdr:row>76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85FDCAB4-6992-4E93-8425-0F210C497B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28575</xdr:colOff>
      <xdr:row>31</xdr:row>
      <xdr:rowOff>171450</xdr:rowOff>
    </xdr:from>
    <xdr:to>
      <xdr:col>18</xdr:col>
      <xdr:colOff>47625</xdr:colOff>
      <xdr:row>56</xdr:row>
      <xdr:rowOff>76200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34D423EC-C8A4-4C07-A0BA-1D1008B5B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47624</xdr:colOff>
      <xdr:row>58</xdr:row>
      <xdr:rowOff>57150</xdr:rowOff>
    </xdr:from>
    <xdr:to>
      <xdr:col>18</xdr:col>
      <xdr:colOff>266699</xdr:colOff>
      <xdr:row>76</xdr:row>
      <xdr:rowOff>114299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17A067E1-54DF-4622-B6CC-4AA574781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600076</xdr:colOff>
      <xdr:row>5</xdr:row>
      <xdr:rowOff>1</xdr:rowOff>
    </xdr:from>
    <xdr:to>
      <xdr:col>18</xdr:col>
      <xdr:colOff>95250</xdr:colOff>
      <xdr:row>30</xdr:row>
      <xdr:rowOff>76200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1B2DFCB3-E359-4F39-BFB5-6252F00710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114300</xdr:colOff>
      <xdr:row>4</xdr:row>
      <xdr:rowOff>66675</xdr:rowOff>
    </xdr:from>
    <xdr:to>
      <xdr:col>28</xdr:col>
      <xdr:colOff>457200</xdr:colOff>
      <xdr:row>29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3FF5F38-0CE6-489D-8B90-3E4BEEADA5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2</xdr:row>
      <xdr:rowOff>152401</xdr:rowOff>
    </xdr:from>
    <xdr:to>
      <xdr:col>16</xdr:col>
      <xdr:colOff>266700</xdr:colOff>
      <xdr:row>26</xdr:row>
      <xdr:rowOff>19051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53C70A4B-BDA3-4CED-B2BF-FC5F0CFA10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Xuan\Desktop\&#28165;&#31639;&#31995;&#32479;200629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数据"/>
      <sheetName val="交易记录例子"/>
      <sheetName val="清算表"/>
      <sheetName val="日报表"/>
      <sheetName val="工具"/>
      <sheetName val="行情"/>
      <sheetName val="合约乘数管理"/>
      <sheetName val="保证金"/>
      <sheetName val="货币关联"/>
      <sheetName val="汇率"/>
      <sheetName val="盈亏报表分析"/>
      <sheetName val="配置表"/>
      <sheetName val="Sheet1"/>
      <sheetName val="交易清单"/>
      <sheetName val="初始库存表"/>
    </sheetNames>
    <sheetDataSet>
      <sheetData sheetId="0"/>
      <sheetData sheetId="1"/>
      <sheetData sheetId="2"/>
      <sheetData sheetId="3">
        <row r="1">
          <cell r="AC1" t="str">
            <v>起始日期</v>
          </cell>
          <cell r="AD1" t="str">
            <v>结束日期</v>
          </cell>
          <cell r="AE1" t="str">
            <v>产品</v>
          </cell>
          <cell r="AF1" t="str">
            <v>策略名称</v>
          </cell>
          <cell r="AG1" t="str">
            <v>子策略</v>
          </cell>
        </row>
        <row r="2">
          <cell r="AC2">
            <v>44020</v>
          </cell>
          <cell r="AD2">
            <v>44075</v>
          </cell>
          <cell r="AE2" t="str">
            <v>中量投期权启航1号</v>
          </cell>
          <cell r="AF2" t="str">
            <v>波动率套利</v>
          </cell>
          <cell r="AG2" t="str">
            <v>波动率方向</v>
          </cell>
          <cell r="AJ2" t="str">
            <v>跨境</v>
          </cell>
          <cell r="AK2" t="str">
            <v>股票</v>
          </cell>
        </row>
        <row r="4">
          <cell r="AA4" t="str">
            <v>统计日期</v>
          </cell>
          <cell r="AB4" t="str">
            <v>产品</v>
          </cell>
          <cell r="AC4" t="str">
            <v>策略名称</v>
          </cell>
          <cell r="AD4" t="str">
            <v>子策略</v>
          </cell>
          <cell r="AE4" t="str">
            <v>多头</v>
          </cell>
          <cell r="AF4" t="str">
            <v>空头</v>
          </cell>
          <cell r="AG4" t="str">
            <v>净头寸</v>
          </cell>
          <cell r="AH4" t="str">
            <v>资金占用</v>
          </cell>
          <cell r="AI4" t="str">
            <v>实现盈亏</v>
          </cell>
          <cell r="AJ4" t="str">
            <v>浮动盈亏</v>
          </cell>
          <cell r="AK4" t="str">
            <v>总盈亏</v>
          </cell>
        </row>
        <row r="5">
          <cell r="AA5">
            <v>44020</v>
          </cell>
          <cell r="AB5" t="str">
            <v>中量投期权启航1号</v>
          </cell>
          <cell r="AC5" t="str">
            <v>波动率套利</v>
          </cell>
          <cell r="AD5" t="str">
            <v>波动率方向</v>
          </cell>
          <cell r="AE5">
            <v>0</v>
          </cell>
          <cell r="AF5">
            <v>-11</v>
          </cell>
          <cell r="AG5">
            <v>-11</v>
          </cell>
          <cell r="AH5">
            <v>11</v>
          </cell>
          <cell r="AI5">
            <v>0</v>
          </cell>
          <cell r="AJ5">
            <v>-0.53</v>
          </cell>
          <cell r="AK5">
            <v>-0.55000000000000004</v>
          </cell>
        </row>
        <row r="6">
          <cell r="AA6">
            <v>44021</v>
          </cell>
          <cell r="AB6" t="str">
            <v>中量投期权启航1号</v>
          </cell>
          <cell r="AC6" t="str">
            <v>波动率套利</v>
          </cell>
          <cell r="AD6" t="str">
            <v>波动率方向</v>
          </cell>
          <cell r="AE6">
            <v>0</v>
          </cell>
          <cell r="AF6">
            <v>-13</v>
          </cell>
          <cell r="AG6">
            <v>-13</v>
          </cell>
          <cell r="AH6">
            <v>13</v>
          </cell>
          <cell r="AI6">
            <v>0</v>
          </cell>
          <cell r="AJ6">
            <v>7.0000000000000007E-2</v>
          </cell>
          <cell r="AK6">
            <v>0.05</v>
          </cell>
        </row>
        <row r="7">
          <cell r="AA7">
            <v>44022</v>
          </cell>
          <cell r="AB7" t="str">
            <v>中量投期权启航1号</v>
          </cell>
          <cell r="AC7" t="str">
            <v>波动率套利</v>
          </cell>
          <cell r="AD7" t="str">
            <v>波动率方向</v>
          </cell>
          <cell r="AE7">
            <v>0</v>
          </cell>
          <cell r="AF7">
            <v>-13</v>
          </cell>
          <cell r="AG7">
            <v>-13</v>
          </cell>
          <cell r="AH7">
            <v>13</v>
          </cell>
          <cell r="AI7">
            <v>0.44</v>
          </cell>
          <cell r="AJ7">
            <v>-0.15</v>
          </cell>
          <cell r="AK7">
            <v>0.18</v>
          </cell>
        </row>
        <row r="8">
          <cell r="AA8">
            <v>44023</v>
          </cell>
          <cell r="AB8" t="str">
            <v>中量投期权启航1号</v>
          </cell>
          <cell r="AC8" t="str">
            <v>波动率套利</v>
          </cell>
          <cell r="AD8" t="str">
            <v>波动率方向</v>
          </cell>
          <cell r="AE8">
            <v>0</v>
          </cell>
          <cell r="AF8">
            <v>-13</v>
          </cell>
          <cell r="AG8">
            <v>-13</v>
          </cell>
          <cell r="AH8">
            <v>13</v>
          </cell>
          <cell r="AI8">
            <v>0.44</v>
          </cell>
          <cell r="AJ8">
            <v>-0.15</v>
          </cell>
          <cell r="AK8">
            <v>0.18</v>
          </cell>
        </row>
        <row r="9">
          <cell r="AA9">
            <v>44024</v>
          </cell>
          <cell r="AB9" t="str">
            <v>中量投期权启航1号</v>
          </cell>
          <cell r="AC9" t="str">
            <v>波动率套利</v>
          </cell>
          <cell r="AD9" t="str">
            <v>波动率方向</v>
          </cell>
          <cell r="AE9">
            <v>0</v>
          </cell>
          <cell r="AF9">
            <v>-13</v>
          </cell>
          <cell r="AG9">
            <v>-13</v>
          </cell>
          <cell r="AH9">
            <v>13</v>
          </cell>
          <cell r="AI9">
            <v>0.44</v>
          </cell>
          <cell r="AJ9">
            <v>-0.15</v>
          </cell>
          <cell r="AK9">
            <v>0.18</v>
          </cell>
        </row>
        <row r="10">
          <cell r="AA10">
            <v>44025</v>
          </cell>
          <cell r="AB10" t="str">
            <v>中量投期权启航1号</v>
          </cell>
          <cell r="AC10" t="str">
            <v>波动率套利</v>
          </cell>
          <cell r="AD10" t="str">
            <v>波动率方向</v>
          </cell>
          <cell r="AE10">
            <v>0</v>
          </cell>
          <cell r="AF10">
            <v>-19</v>
          </cell>
          <cell r="AG10">
            <v>-19</v>
          </cell>
          <cell r="AH10">
            <v>19</v>
          </cell>
          <cell r="AI10">
            <v>0.36</v>
          </cell>
          <cell r="AJ10">
            <v>2.2000000000000002</v>
          </cell>
          <cell r="AK10">
            <v>2.4300000000000002</v>
          </cell>
        </row>
        <row r="11">
          <cell r="AA11">
            <v>44026</v>
          </cell>
          <cell r="AB11" t="str">
            <v>中量投期权启航1号</v>
          </cell>
          <cell r="AC11" t="str">
            <v>波动率套利</v>
          </cell>
          <cell r="AD11" t="str">
            <v>波动率方向</v>
          </cell>
          <cell r="AE11">
            <v>0</v>
          </cell>
          <cell r="AF11">
            <v>-18</v>
          </cell>
          <cell r="AG11">
            <v>-18</v>
          </cell>
          <cell r="AH11">
            <v>18</v>
          </cell>
          <cell r="AI11">
            <v>0.49</v>
          </cell>
          <cell r="AJ11">
            <v>2.2999999999999998</v>
          </cell>
          <cell r="AK11">
            <v>2.66</v>
          </cell>
        </row>
        <row r="12">
          <cell r="AA12">
            <v>44027</v>
          </cell>
          <cell r="AB12" t="str">
            <v>中量投期权启航1号</v>
          </cell>
          <cell r="AC12" t="str">
            <v>波动率套利</v>
          </cell>
          <cell r="AD12" t="str">
            <v>波动率方向</v>
          </cell>
          <cell r="AE12">
            <v>0</v>
          </cell>
          <cell r="AF12">
            <v>-25</v>
          </cell>
          <cell r="AG12">
            <v>-25</v>
          </cell>
          <cell r="AH12">
            <v>25</v>
          </cell>
          <cell r="AI12">
            <v>0.49</v>
          </cell>
          <cell r="AJ12">
            <v>2.0699999999999998</v>
          </cell>
          <cell r="AK12">
            <v>2.41</v>
          </cell>
        </row>
        <row r="13">
          <cell r="AA13">
            <v>44028</v>
          </cell>
          <cell r="AB13" t="str">
            <v>中量投期权启航1号</v>
          </cell>
          <cell r="AC13" t="str">
            <v xml:space="preserve">波动率套利  </v>
          </cell>
          <cell r="AD13" t="str">
            <v>波动率方向</v>
          </cell>
          <cell r="AE13">
            <v>0</v>
          </cell>
          <cell r="AF13">
            <v>-28</v>
          </cell>
          <cell r="AG13">
            <v>-28</v>
          </cell>
          <cell r="AH13">
            <v>28</v>
          </cell>
          <cell r="AI13">
            <v>-1.78</v>
          </cell>
          <cell r="AJ13">
            <v>-0.43</v>
          </cell>
          <cell r="AK13">
            <v>-2.4500000000000002</v>
          </cell>
        </row>
        <row r="14">
          <cell r="AA14">
            <v>44029</v>
          </cell>
          <cell r="AB14" t="str">
            <v>中量投期权启航1号</v>
          </cell>
          <cell r="AC14" t="str">
            <v xml:space="preserve">波动率套利  </v>
          </cell>
          <cell r="AD14" t="str">
            <v>波动率方向</v>
          </cell>
          <cell r="AE14">
            <v>0</v>
          </cell>
          <cell r="AF14">
            <v>-19</v>
          </cell>
          <cell r="AG14">
            <v>-19</v>
          </cell>
          <cell r="AH14">
            <v>19</v>
          </cell>
          <cell r="AI14">
            <v>-0.95</v>
          </cell>
          <cell r="AJ14">
            <v>2.42</v>
          </cell>
          <cell r="AK14">
            <v>1.22</v>
          </cell>
        </row>
        <row r="15">
          <cell r="AA15">
            <v>44030</v>
          </cell>
          <cell r="AB15" t="str">
            <v>中量投期权启航1号</v>
          </cell>
          <cell r="AC15" t="str">
            <v xml:space="preserve">波动率套利  </v>
          </cell>
          <cell r="AD15" t="str">
            <v>波动率方向</v>
          </cell>
          <cell r="AE15">
            <v>0</v>
          </cell>
          <cell r="AF15">
            <v>-19</v>
          </cell>
          <cell r="AG15">
            <v>-19</v>
          </cell>
          <cell r="AH15">
            <v>19</v>
          </cell>
          <cell r="AI15">
            <v>-0.95</v>
          </cell>
          <cell r="AJ15">
            <v>2.42</v>
          </cell>
          <cell r="AK15">
            <v>1.22</v>
          </cell>
        </row>
        <row r="16">
          <cell r="AA16">
            <v>44031</v>
          </cell>
          <cell r="AB16" t="str">
            <v>中量投期权启航1号</v>
          </cell>
          <cell r="AC16" t="str">
            <v xml:space="preserve">波动率套利  </v>
          </cell>
          <cell r="AD16" t="str">
            <v>波动率方向</v>
          </cell>
          <cell r="AE16">
            <v>0</v>
          </cell>
          <cell r="AF16">
            <v>-19</v>
          </cell>
          <cell r="AG16">
            <v>-19</v>
          </cell>
          <cell r="AH16">
            <v>19</v>
          </cell>
          <cell r="AI16">
            <v>-0.95</v>
          </cell>
          <cell r="AJ16">
            <v>2.42</v>
          </cell>
          <cell r="AK16">
            <v>1.22</v>
          </cell>
        </row>
        <row r="17">
          <cell r="AA17">
            <v>44032</v>
          </cell>
          <cell r="AB17" t="str">
            <v>中量投期权启航1号</v>
          </cell>
          <cell r="AC17" t="str">
            <v xml:space="preserve">波动率套利  </v>
          </cell>
          <cell r="AD17" t="str">
            <v>波动率方向</v>
          </cell>
          <cell r="AE17">
            <v>0</v>
          </cell>
          <cell r="AF17">
            <v>-25</v>
          </cell>
          <cell r="AG17">
            <v>-25</v>
          </cell>
          <cell r="AH17">
            <v>25</v>
          </cell>
          <cell r="AI17">
            <v>-0.95</v>
          </cell>
          <cell r="AJ17">
            <v>1.87</v>
          </cell>
          <cell r="AK17">
            <v>0.65</v>
          </cell>
        </row>
        <row r="18">
          <cell r="AA18">
            <v>44033</v>
          </cell>
          <cell r="AB18" t="str">
            <v>中量投期权启航1号</v>
          </cell>
          <cell r="AC18" t="str">
            <v xml:space="preserve">波动率套利  </v>
          </cell>
          <cell r="AD18" t="str">
            <v>波动率方向</v>
          </cell>
          <cell r="AE18">
            <v>0</v>
          </cell>
          <cell r="AF18">
            <v>-16</v>
          </cell>
          <cell r="AG18">
            <v>-16</v>
          </cell>
          <cell r="AH18">
            <v>16</v>
          </cell>
          <cell r="AI18">
            <v>-0.06</v>
          </cell>
          <cell r="AJ18">
            <v>2.11</v>
          </cell>
          <cell r="AK18">
            <v>1.77</v>
          </cell>
        </row>
        <row r="19">
          <cell r="AA19">
            <v>44034</v>
          </cell>
          <cell r="AB19" t="str">
            <v>中量投期权启航1号</v>
          </cell>
          <cell r="AC19" t="str">
            <v xml:space="preserve">波动率套利  </v>
          </cell>
          <cell r="AD19" t="str">
            <v>波动率方向</v>
          </cell>
          <cell r="AE19">
            <v>0</v>
          </cell>
          <cell r="AF19">
            <v>-16</v>
          </cell>
          <cell r="AG19">
            <v>-16</v>
          </cell>
          <cell r="AH19">
            <v>16</v>
          </cell>
          <cell r="AI19">
            <v>-0.06</v>
          </cell>
          <cell r="AJ19">
            <v>2.36</v>
          </cell>
          <cell r="AK19">
            <v>2.02</v>
          </cell>
        </row>
        <row r="20">
          <cell r="AA20">
            <v>44035</v>
          </cell>
          <cell r="AB20" t="str">
            <v>中量投期权启航1号</v>
          </cell>
          <cell r="AC20" t="str">
            <v xml:space="preserve">波动率套利  </v>
          </cell>
          <cell r="AD20" t="str">
            <v>波动率方向</v>
          </cell>
          <cell r="AE20">
            <v>0</v>
          </cell>
          <cell r="AF20">
            <v>-17</v>
          </cell>
          <cell r="AG20">
            <v>-17</v>
          </cell>
          <cell r="AH20">
            <v>17</v>
          </cell>
          <cell r="AI20">
            <v>-0.11</v>
          </cell>
          <cell r="AJ20">
            <v>2.19</v>
          </cell>
          <cell r="AK20">
            <v>1.79</v>
          </cell>
        </row>
        <row r="21">
          <cell r="AA21">
            <v>44036</v>
          </cell>
          <cell r="AB21" t="str">
            <v>中量投期权启航1号</v>
          </cell>
          <cell r="AC21" t="str">
            <v xml:space="preserve">波动率套利  </v>
          </cell>
          <cell r="AD21" t="str">
            <v>波动率方向</v>
          </cell>
          <cell r="AE21">
            <v>0</v>
          </cell>
          <cell r="AF21">
            <v>-26</v>
          </cell>
          <cell r="AG21">
            <v>-26</v>
          </cell>
          <cell r="AH21">
            <v>26</v>
          </cell>
          <cell r="AI21">
            <v>-0.5</v>
          </cell>
          <cell r="AJ21">
            <v>-1.53</v>
          </cell>
          <cell r="AK21">
            <v>-2.34</v>
          </cell>
        </row>
        <row r="22">
          <cell r="AA22">
            <v>44037</v>
          </cell>
          <cell r="AB22" t="str">
            <v>中量投期权启航1号</v>
          </cell>
          <cell r="AC22" t="str">
            <v xml:space="preserve">波动率套利  </v>
          </cell>
          <cell r="AD22" t="str">
            <v>波动率方向</v>
          </cell>
          <cell r="AE22">
            <v>0</v>
          </cell>
          <cell r="AF22">
            <v>-26</v>
          </cell>
          <cell r="AG22">
            <v>-26</v>
          </cell>
          <cell r="AH22">
            <v>26</v>
          </cell>
          <cell r="AI22">
            <v>-0.5</v>
          </cell>
          <cell r="AJ22">
            <v>-1.53</v>
          </cell>
          <cell r="AK22">
            <v>-2.34</v>
          </cell>
        </row>
        <row r="23">
          <cell r="AA23">
            <v>44038</v>
          </cell>
          <cell r="AB23" t="str">
            <v>中量投期权启航1号</v>
          </cell>
          <cell r="AC23" t="str">
            <v xml:space="preserve">波动率套利  </v>
          </cell>
          <cell r="AD23" t="str">
            <v>波动率方向</v>
          </cell>
          <cell r="AE23">
            <v>0</v>
          </cell>
          <cell r="AF23">
            <v>-26</v>
          </cell>
          <cell r="AG23">
            <v>-26</v>
          </cell>
          <cell r="AH23">
            <v>26</v>
          </cell>
          <cell r="AI23">
            <v>-0.5</v>
          </cell>
          <cell r="AJ23">
            <v>-1.53</v>
          </cell>
          <cell r="AK23">
            <v>-2.34</v>
          </cell>
        </row>
        <row r="24">
          <cell r="AA24">
            <v>44039</v>
          </cell>
          <cell r="AB24" t="str">
            <v>中量投期权启航1号</v>
          </cell>
          <cell r="AC24" t="str">
            <v>波动率套利</v>
          </cell>
          <cell r="AD24" t="str">
            <v>波动率方向</v>
          </cell>
          <cell r="AE24">
            <v>0</v>
          </cell>
          <cell r="AF24">
            <v>-18</v>
          </cell>
          <cell r="AG24">
            <v>-18</v>
          </cell>
          <cell r="AH24">
            <v>18</v>
          </cell>
          <cell r="AI24">
            <v>-0.42</v>
          </cell>
          <cell r="AJ24">
            <v>0.64</v>
          </cell>
          <cell r="AK24">
            <v>-0.09</v>
          </cell>
        </row>
        <row r="25">
          <cell r="AA25">
            <v>44040</v>
          </cell>
          <cell r="AB25" t="str">
            <v>中量投期权启航1号</v>
          </cell>
          <cell r="AC25" t="str">
            <v xml:space="preserve">波动率套利  </v>
          </cell>
          <cell r="AD25" t="str">
            <v>波动率方向</v>
          </cell>
          <cell r="AE25">
            <v>0</v>
          </cell>
          <cell r="AF25">
            <v>-17</v>
          </cell>
          <cell r="AG25">
            <v>-17</v>
          </cell>
          <cell r="AH25">
            <v>17</v>
          </cell>
          <cell r="AI25">
            <v>-0.32</v>
          </cell>
          <cell r="AJ25">
            <v>1.1399999999999999</v>
          </cell>
          <cell r="AK25">
            <v>0.51</v>
          </cell>
        </row>
        <row r="26">
          <cell r="AA26">
            <v>44041</v>
          </cell>
          <cell r="AB26" t="str">
            <v>中量投期权启航1号</v>
          </cell>
          <cell r="AC26" t="str">
            <v xml:space="preserve">波动率套利  </v>
          </cell>
          <cell r="AD26" t="str">
            <v>波动率方向</v>
          </cell>
          <cell r="AE26">
            <v>0</v>
          </cell>
          <cell r="AF26">
            <v>-17</v>
          </cell>
          <cell r="AG26">
            <v>-17</v>
          </cell>
          <cell r="AH26">
            <v>17</v>
          </cell>
          <cell r="AI26">
            <v>-0.55000000000000004</v>
          </cell>
          <cell r="AJ26">
            <v>0.77</v>
          </cell>
          <cell r="AK26">
            <v>-0.1</v>
          </cell>
        </row>
        <row r="27">
          <cell r="AA27">
            <v>44042</v>
          </cell>
          <cell r="AB27" t="str">
            <v>中量投期权启航1号</v>
          </cell>
          <cell r="AC27" t="str">
            <v xml:space="preserve">波动率套利  </v>
          </cell>
          <cell r="AD27" t="str">
            <v>波动率方向</v>
          </cell>
          <cell r="AE27">
            <v>0</v>
          </cell>
          <cell r="AF27">
            <v>-18</v>
          </cell>
          <cell r="AG27">
            <v>-18</v>
          </cell>
          <cell r="AH27">
            <v>18</v>
          </cell>
          <cell r="AI27">
            <v>-0.55000000000000004</v>
          </cell>
          <cell r="AJ27">
            <v>0.64</v>
          </cell>
          <cell r="AK27">
            <v>-0.22</v>
          </cell>
        </row>
        <row r="28">
          <cell r="AA28">
            <v>44043</v>
          </cell>
          <cell r="AB28" t="str">
            <v>中量投期权启航1号</v>
          </cell>
          <cell r="AC28" t="str">
            <v xml:space="preserve">波动率套利  </v>
          </cell>
          <cell r="AD28" t="str">
            <v>波动率方向</v>
          </cell>
          <cell r="AE28">
            <v>0</v>
          </cell>
          <cell r="AF28">
            <v>-28</v>
          </cell>
          <cell r="AG28">
            <v>-28</v>
          </cell>
          <cell r="AH28">
            <v>28</v>
          </cell>
          <cell r="AI28">
            <v>-0.49</v>
          </cell>
          <cell r="AJ28">
            <v>0.38</v>
          </cell>
          <cell r="AK28">
            <v>-0.46</v>
          </cell>
        </row>
        <row r="29">
          <cell r="AA29">
            <v>44044</v>
          </cell>
          <cell r="AB29" t="str">
            <v>中量投期权启航1号</v>
          </cell>
          <cell r="AC29" t="str">
            <v xml:space="preserve">波动率套利  </v>
          </cell>
          <cell r="AD29" t="str">
            <v>波动率方向</v>
          </cell>
          <cell r="AE29">
            <v>0</v>
          </cell>
          <cell r="AF29">
            <v>-28</v>
          </cell>
          <cell r="AG29">
            <v>-28</v>
          </cell>
          <cell r="AH29">
            <v>28</v>
          </cell>
          <cell r="AI29">
            <v>-0.49</v>
          </cell>
          <cell r="AJ29">
            <v>0.38</v>
          </cell>
          <cell r="AK29">
            <v>-0.46</v>
          </cell>
        </row>
        <row r="30">
          <cell r="AA30">
            <v>44045</v>
          </cell>
          <cell r="AB30" t="str">
            <v>中量投期权启航1号</v>
          </cell>
          <cell r="AC30" t="str">
            <v xml:space="preserve">波动率套利  </v>
          </cell>
          <cell r="AD30" t="str">
            <v>波动率方向</v>
          </cell>
          <cell r="AE30">
            <v>0</v>
          </cell>
          <cell r="AF30">
            <v>-28</v>
          </cell>
          <cell r="AG30">
            <v>-28</v>
          </cell>
          <cell r="AH30">
            <v>28</v>
          </cell>
          <cell r="AI30">
            <v>-0.49</v>
          </cell>
          <cell r="AJ30">
            <v>0.38</v>
          </cell>
          <cell r="AK30">
            <v>-0.46</v>
          </cell>
        </row>
        <row r="31">
          <cell r="AA31">
            <v>44046</v>
          </cell>
          <cell r="AB31" t="str">
            <v>中量投期权启航1号</v>
          </cell>
          <cell r="AC31" t="str">
            <v xml:space="preserve">波动率套利  </v>
          </cell>
          <cell r="AD31" t="str">
            <v>波动率方向</v>
          </cell>
          <cell r="AE31">
            <v>0</v>
          </cell>
          <cell r="AF31">
            <v>-29</v>
          </cell>
          <cell r="AG31">
            <v>-29</v>
          </cell>
          <cell r="AH31">
            <v>29</v>
          </cell>
          <cell r="AI31">
            <v>0.28999999999999998</v>
          </cell>
          <cell r="AJ31">
            <v>0.22</v>
          </cell>
          <cell r="AK31">
            <v>0.02</v>
          </cell>
        </row>
        <row r="32">
          <cell r="AA32">
            <v>44047</v>
          </cell>
          <cell r="AB32" t="str">
            <v>中量投期权启航1号</v>
          </cell>
          <cell r="AC32" t="str">
            <v xml:space="preserve">波动率套利  </v>
          </cell>
          <cell r="AD32" t="str">
            <v>波动率方向</v>
          </cell>
          <cell r="AE32">
            <v>0</v>
          </cell>
          <cell r="AF32">
            <v>-28</v>
          </cell>
          <cell r="AG32">
            <v>-28</v>
          </cell>
          <cell r="AH32">
            <v>28</v>
          </cell>
          <cell r="AI32">
            <v>-0.27</v>
          </cell>
          <cell r="AJ32">
            <v>0.86</v>
          </cell>
          <cell r="AK32">
            <v>0.1</v>
          </cell>
        </row>
        <row r="33">
          <cell r="AA33">
            <v>44048</v>
          </cell>
          <cell r="AB33" t="str">
            <v>中量投期权启航1号</v>
          </cell>
          <cell r="AC33" t="str">
            <v xml:space="preserve">波动率套利  </v>
          </cell>
          <cell r="AD33" t="str">
            <v>波动率方向</v>
          </cell>
          <cell r="AE33">
            <v>0</v>
          </cell>
          <cell r="AF33">
            <v>-29</v>
          </cell>
          <cell r="AG33">
            <v>-29</v>
          </cell>
          <cell r="AH33">
            <v>29</v>
          </cell>
          <cell r="AI33">
            <v>-0.2</v>
          </cell>
          <cell r="AJ33">
            <v>0.74</v>
          </cell>
          <cell r="AK33">
            <v>0.04</v>
          </cell>
        </row>
        <row r="34">
          <cell r="AA34">
            <v>44049</v>
          </cell>
          <cell r="AB34" t="str">
            <v>中量投期权启航1号</v>
          </cell>
          <cell r="AC34" t="str">
            <v xml:space="preserve">波动率套利  </v>
          </cell>
          <cell r="AD34" t="str">
            <v>波动率方向</v>
          </cell>
          <cell r="AE34">
            <v>0</v>
          </cell>
          <cell r="AF34">
            <v>-29</v>
          </cell>
          <cell r="AG34">
            <v>-29</v>
          </cell>
          <cell r="AH34">
            <v>29</v>
          </cell>
          <cell r="AI34">
            <v>-0.2</v>
          </cell>
          <cell r="AJ34">
            <v>1.61</v>
          </cell>
          <cell r="AK34">
            <v>0.92</v>
          </cell>
        </row>
        <row r="35">
          <cell r="AA35">
            <v>44050</v>
          </cell>
          <cell r="AB35" t="str">
            <v>中量投期权启航1号</v>
          </cell>
          <cell r="AC35" t="str">
            <v xml:space="preserve">波动率套利  </v>
          </cell>
          <cell r="AD35" t="str">
            <v>波动率方向</v>
          </cell>
          <cell r="AE35">
            <v>0</v>
          </cell>
          <cell r="AF35">
            <v>-27</v>
          </cell>
          <cell r="AG35">
            <v>-27</v>
          </cell>
          <cell r="AH35">
            <v>27</v>
          </cell>
          <cell r="AI35">
            <v>-0.18</v>
          </cell>
          <cell r="AJ35">
            <v>3.64</v>
          </cell>
          <cell r="AK35">
            <v>2.96</v>
          </cell>
        </row>
        <row r="36">
          <cell r="AA36">
            <v>44051</v>
          </cell>
          <cell r="AB36" t="str">
            <v>中量投期权启航1号</v>
          </cell>
          <cell r="AC36" t="str">
            <v xml:space="preserve">波动率套利  </v>
          </cell>
          <cell r="AD36" t="str">
            <v>波动率方向</v>
          </cell>
          <cell r="AE36">
            <v>0</v>
          </cell>
          <cell r="AF36">
            <v>-27</v>
          </cell>
          <cell r="AG36">
            <v>-27</v>
          </cell>
          <cell r="AH36">
            <v>27</v>
          </cell>
          <cell r="AI36">
            <v>-0.18</v>
          </cell>
          <cell r="AJ36">
            <v>3.64</v>
          </cell>
          <cell r="AK36">
            <v>2.96</v>
          </cell>
        </row>
        <row r="37">
          <cell r="AA37">
            <v>44052</v>
          </cell>
          <cell r="AB37" t="str">
            <v>中量投期权启航1号</v>
          </cell>
          <cell r="AC37" t="str">
            <v xml:space="preserve">波动率套利  </v>
          </cell>
          <cell r="AD37" t="str">
            <v>波动率方向</v>
          </cell>
          <cell r="AE37">
            <v>0</v>
          </cell>
          <cell r="AF37">
            <v>-27</v>
          </cell>
          <cell r="AG37">
            <v>-27</v>
          </cell>
          <cell r="AH37">
            <v>27</v>
          </cell>
          <cell r="AI37">
            <v>-0.18</v>
          </cell>
          <cell r="AJ37">
            <v>3.64</v>
          </cell>
          <cell r="AK37">
            <v>2.96</v>
          </cell>
        </row>
        <row r="38">
          <cell r="AA38">
            <v>44053</v>
          </cell>
          <cell r="AB38" t="str">
            <v>中量投期权启航1号</v>
          </cell>
          <cell r="AC38" t="str">
            <v xml:space="preserve">波动率套利  </v>
          </cell>
          <cell r="AD38" t="str">
            <v>波动率方向</v>
          </cell>
          <cell r="AE38">
            <v>0</v>
          </cell>
          <cell r="AF38">
            <v>-25</v>
          </cell>
          <cell r="AG38">
            <v>-25</v>
          </cell>
          <cell r="AH38">
            <v>25</v>
          </cell>
          <cell r="AI38">
            <v>0.03</v>
          </cell>
          <cell r="AJ38">
            <v>4.72</v>
          </cell>
          <cell r="AK38">
            <v>4.24</v>
          </cell>
        </row>
        <row r="39">
          <cell r="AA39">
            <v>44054</v>
          </cell>
          <cell r="AB39" t="str">
            <v>中量投期权启航1号</v>
          </cell>
          <cell r="AC39" t="str">
            <v xml:space="preserve">波动率套利  </v>
          </cell>
          <cell r="AD39" t="str">
            <v>波动率方向</v>
          </cell>
          <cell r="AE39">
            <v>0</v>
          </cell>
          <cell r="AF39">
            <v>-18</v>
          </cell>
          <cell r="AG39">
            <v>-18</v>
          </cell>
          <cell r="AH39">
            <v>18</v>
          </cell>
          <cell r="AI39">
            <v>0.37</v>
          </cell>
          <cell r="AJ39">
            <v>4.26</v>
          </cell>
          <cell r="AK39">
            <v>4.0999999999999996</v>
          </cell>
        </row>
        <row r="40">
          <cell r="AA40">
            <v>44055</v>
          </cell>
          <cell r="AB40" t="str">
            <v>中量投期权启航1号</v>
          </cell>
          <cell r="AC40" t="str">
            <v xml:space="preserve">波动率套利  </v>
          </cell>
          <cell r="AD40" t="str">
            <v>波动率方向</v>
          </cell>
          <cell r="AE40">
            <v>0</v>
          </cell>
          <cell r="AF40">
            <v>-17</v>
          </cell>
          <cell r="AG40">
            <v>-17</v>
          </cell>
          <cell r="AH40">
            <v>17</v>
          </cell>
          <cell r="AI40">
            <v>0.46</v>
          </cell>
          <cell r="AJ40">
            <v>5.58</v>
          </cell>
          <cell r="AK40">
            <v>5.51</v>
          </cell>
        </row>
        <row r="41">
          <cell r="AA41">
            <v>44056</v>
          </cell>
          <cell r="AB41" t="str">
            <v>中量投期权启航1号</v>
          </cell>
          <cell r="AC41" t="str">
            <v xml:space="preserve">波动率套利  </v>
          </cell>
          <cell r="AD41" t="str">
            <v>波动率方向</v>
          </cell>
          <cell r="AE41">
            <v>0</v>
          </cell>
          <cell r="AF41">
            <v>-17</v>
          </cell>
          <cell r="AG41">
            <v>-17</v>
          </cell>
          <cell r="AH41">
            <v>17</v>
          </cell>
          <cell r="AI41">
            <v>0.46</v>
          </cell>
          <cell r="AJ41">
            <v>6.17</v>
          </cell>
          <cell r="AK41">
            <v>6.09</v>
          </cell>
        </row>
        <row r="42">
          <cell r="AA42">
            <v>44057</v>
          </cell>
          <cell r="AB42" t="str">
            <v>中量投期权启航1号</v>
          </cell>
          <cell r="AC42" t="str">
            <v xml:space="preserve">波动率套利  </v>
          </cell>
          <cell r="AD42" t="str">
            <v>波动率方向</v>
          </cell>
          <cell r="AE42">
            <v>0</v>
          </cell>
          <cell r="AF42">
            <v>-17</v>
          </cell>
          <cell r="AG42">
            <v>-17</v>
          </cell>
          <cell r="AH42">
            <v>17</v>
          </cell>
          <cell r="AI42">
            <v>0.85</v>
          </cell>
          <cell r="AJ42">
            <v>6.03</v>
          </cell>
          <cell r="AK42">
            <v>6.33</v>
          </cell>
        </row>
        <row r="43">
          <cell r="AA43">
            <v>44058</v>
          </cell>
          <cell r="AB43" t="str">
            <v>中量投期权启航1号</v>
          </cell>
          <cell r="AC43" t="str">
            <v xml:space="preserve">波动率套利  </v>
          </cell>
          <cell r="AD43" t="str">
            <v>波动率方向</v>
          </cell>
          <cell r="AE43">
            <v>0</v>
          </cell>
          <cell r="AF43">
            <v>-17</v>
          </cell>
          <cell r="AG43">
            <v>-17</v>
          </cell>
          <cell r="AH43">
            <v>17</v>
          </cell>
          <cell r="AI43">
            <v>0.85</v>
          </cell>
          <cell r="AJ43">
            <v>6.03</v>
          </cell>
          <cell r="AK43">
            <v>6.33</v>
          </cell>
        </row>
        <row r="44">
          <cell r="AA44">
            <v>44059</v>
          </cell>
          <cell r="AB44" t="str">
            <v>中量投期权启航1号</v>
          </cell>
          <cell r="AC44" t="str">
            <v xml:space="preserve">波动率套利  </v>
          </cell>
          <cell r="AD44" t="str">
            <v>波动率方向</v>
          </cell>
          <cell r="AE44">
            <v>0</v>
          </cell>
          <cell r="AF44">
            <v>-17</v>
          </cell>
          <cell r="AG44">
            <v>-17</v>
          </cell>
          <cell r="AH44">
            <v>17</v>
          </cell>
          <cell r="AI44">
            <v>0.85</v>
          </cell>
          <cell r="AJ44">
            <v>6.03</v>
          </cell>
          <cell r="AK44">
            <v>6.33</v>
          </cell>
        </row>
        <row r="45">
          <cell r="AA45">
            <v>44060</v>
          </cell>
          <cell r="AB45" t="str">
            <v>中量投期权启航1号</v>
          </cell>
          <cell r="AC45" t="str">
            <v>波动率套利</v>
          </cell>
          <cell r="AD45" t="str">
            <v>波动率方向</v>
          </cell>
          <cell r="AE45">
            <v>0</v>
          </cell>
          <cell r="AF45">
            <v>-28</v>
          </cell>
          <cell r="AG45">
            <v>-28</v>
          </cell>
          <cell r="AH45">
            <v>28</v>
          </cell>
          <cell r="AI45">
            <v>5.03</v>
          </cell>
          <cell r="AJ45">
            <v>-0.54</v>
          </cell>
          <cell r="AK45">
            <v>3.83</v>
          </cell>
        </row>
        <row r="46">
          <cell r="AA46">
            <v>44061</v>
          </cell>
          <cell r="AB46" t="str">
            <v>中量投期权启航1号</v>
          </cell>
          <cell r="AC46" t="str">
            <v>波动率套利</v>
          </cell>
          <cell r="AD46" t="str">
            <v>波动率方向</v>
          </cell>
          <cell r="AE46">
            <v>0</v>
          </cell>
          <cell r="AF46">
            <v>-28</v>
          </cell>
          <cell r="AG46">
            <v>-28</v>
          </cell>
          <cell r="AH46">
            <v>28</v>
          </cell>
          <cell r="AI46">
            <v>5.1100000000000003</v>
          </cell>
          <cell r="AJ46">
            <v>0.34</v>
          </cell>
          <cell r="AK46">
            <v>4.7699999999999996</v>
          </cell>
        </row>
        <row r="47">
          <cell r="AA47">
            <v>44062</v>
          </cell>
          <cell r="AB47" t="str">
            <v>中量投期权启航1号</v>
          </cell>
          <cell r="AC47" t="str">
            <v>波动率套利</v>
          </cell>
          <cell r="AD47" t="str">
            <v>波动率方向</v>
          </cell>
          <cell r="AE47">
            <v>0</v>
          </cell>
          <cell r="AF47">
            <v>-27</v>
          </cell>
          <cell r="AG47">
            <v>-27</v>
          </cell>
          <cell r="AH47">
            <v>27</v>
          </cell>
          <cell r="AI47">
            <v>4.75</v>
          </cell>
          <cell r="AJ47">
            <v>1.6</v>
          </cell>
          <cell r="AK47">
            <v>5.66</v>
          </cell>
        </row>
        <row r="48">
          <cell r="AA48">
            <v>44063</v>
          </cell>
          <cell r="AB48" t="str">
            <v>中量投期权启航1号</v>
          </cell>
          <cell r="AC48" t="str">
            <v>波动率套利</v>
          </cell>
          <cell r="AD48" t="str">
            <v>波动率方向</v>
          </cell>
          <cell r="AE48">
            <v>0</v>
          </cell>
          <cell r="AF48">
            <v>-26</v>
          </cell>
          <cell r="AG48">
            <v>-26</v>
          </cell>
          <cell r="AH48">
            <v>26</v>
          </cell>
          <cell r="AI48">
            <v>4.13</v>
          </cell>
          <cell r="AJ48">
            <v>2.96</v>
          </cell>
          <cell r="AK48">
            <v>6.39</v>
          </cell>
        </row>
        <row r="49">
          <cell r="AA49">
            <v>44064</v>
          </cell>
          <cell r="AB49" t="str">
            <v>中量投期权启航1号</v>
          </cell>
          <cell r="AC49" t="str">
            <v>波动率套利</v>
          </cell>
          <cell r="AD49" t="str">
            <v>波动率方向</v>
          </cell>
          <cell r="AE49">
            <v>0</v>
          </cell>
          <cell r="AF49">
            <v>-26</v>
          </cell>
          <cell r="AG49">
            <v>-26</v>
          </cell>
          <cell r="AH49">
            <v>26</v>
          </cell>
          <cell r="AI49">
            <v>4.57</v>
          </cell>
          <cell r="AJ49">
            <v>2.63</v>
          </cell>
          <cell r="AK49">
            <v>6.49</v>
          </cell>
        </row>
        <row r="50">
          <cell r="AA50">
            <v>44065</v>
          </cell>
          <cell r="AB50" t="str">
            <v>中量投期权启航1号</v>
          </cell>
          <cell r="AC50" t="str">
            <v>波动率套利</v>
          </cell>
          <cell r="AD50" t="str">
            <v>波动率方向</v>
          </cell>
          <cell r="AE50">
            <v>0</v>
          </cell>
          <cell r="AF50">
            <v>-26</v>
          </cell>
          <cell r="AG50">
            <v>-26</v>
          </cell>
          <cell r="AH50">
            <v>26</v>
          </cell>
          <cell r="AI50">
            <v>4.57</v>
          </cell>
          <cell r="AJ50">
            <v>2.63</v>
          </cell>
          <cell r="AK50">
            <v>6.49</v>
          </cell>
        </row>
        <row r="51">
          <cell r="AA51">
            <v>44066</v>
          </cell>
          <cell r="AB51" t="str">
            <v>中量投期权启航1号</v>
          </cell>
          <cell r="AC51" t="str">
            <v>波动率套利</v>
          </cell>
          <cell r="AD51" t="str">
            <v>波动率方向</v>
          </cell>
          <cell r="AE51">
            <v>0</v>
          </cell>
          <cell r="AF51">
            <v>-26</v>
          </cell>
          <cell r="AG51">
            <v>-26</v>
          </cell>
          <cell r="AH51">
            <v>26</v>
          </cell>
          <cell r="AI51">
            <v>4.57</v>
          </cell>
          <cell r="AJ51">
            <v>2.63</v>
          </cell>
          <cell r="AK51">
            <v>6.49</v>
          </cell>
        </row>
        <row r="52">
          <cell r="AA52">
            <v>44067</v>
          </cell>
          <cell r="AB52" t="str">
            <v>中量投期权启航1号</v>
          </cell>
          <cell r="AC52" t="str">
            <v>波动率套利</v>
          </cell>
          <cell r="AD52" t="str">
            <v>波动率方向</v>
          </cell>
          <cell r="AE52">
            <v>0</v>
          </cell>
          <cell r="AF52">
            <v>-17</v>
          </cell>
          <cell r="AG52">
            <v>-17</v>
          </cell>
          <cell r="AH52">
            <v>17</v>
          </cell>
          <cell r="AI52">
            <v>5.7</v>
          </cell>
          <cell r="AJ52">
            <v>2.95</v>
          </cell>
          <cell r="AK52">
            <v>7.93</v>
          </cell>
        </row>
        <row r="53">
          <cell r="AA53">
            <v>44068</v>
          </cell>
          <cell r="AB53" t="str">
            <v>中量投期权启航1号</v>
          </cell>
          <cell r="AC53" t="str">
            <v>波动率套利</v>
          </cell>
          <cell r="AD53" t="str">
            <v>波动率方向</v>
          </cell>
          <cell r="AE53">
            <v>0</v>
          </cell>
          <cell r="AF53">
            <v>-17</v>
          </cell>
          <cell r="AG53">
            <v>-17</v>
          </cell>
          <cell r="AH53">
            <v>17</v>
          </cell>
          <cell r="AI53">
            <v>5.94</v>
          </cell>
          <cell r="AJ53">
            <v>3.34</v>
          </cell>
          <cell r="AK53">
            <v>8.56</v>
          </cell>
        </row>
        <row r="54">
          <cell r="AA54">
            <v>44069</v>
          </cell>
          <cell r="AB54" t="str">
            <v>中量投期权启航1号</v>
          </cell>
          <cell r="AC54" t="str">
            <v>波动率套利</v>
          </cell>
          <cell r="AD54" t="str">
            <v>波动率方向</v>
          </cell>
          <cell r="AE54">
            <v>0</v>
          </cell>
          <cell r="AF54">
            <v>-17</v>
          </cell>
          <cell r="AG54">
            <v>-17</v>
          </cell>
          <cell r="AH54">
            <v>17</v>
          </cell>
          <cell r="AI54">
            <v>5.77</v>
          </cell>
          <cell r="AJ54">
            <v>3.36</v>
          </cell>
          <cell r="AK54">
            <v>8.4</v>
          </cell>
        </row>
        <row r="55">
          <cell r="AA55">
            <v>44070</v>
          </cell>
          <cell r="AB55" t="str">
            <v>中量投期权启航1号</v>
          </cell>
          <cell r="AC55" t="str">
            <v>波动率套利</v>
          </cell>
          <cell r="AD55" t="str">
            <v>波动率方向</v>
          </cell>
          <cell r="AE55">
            <v>0</v>
          </cell>
          <cell r="AF55">
            <v>-16</v>
          </cell>
          <cell r="AG55">
            <v>-16</v>
          </cell>
          <cell r="AH55">
            <v>16</v>
          </cell>
          <cell r="AI55">
            <v>5.89</v>
          </cell>
          <cell r="AJ55">
            <v>4.34</v>
          </cell>
          <cell r="AK55">
            <v>9.49</v>
          </cell>
        </row>
        <row r="56">
          <cell r="AA56">
            <v>44071</v>
          </cell>
          <cell r="AB56" t="str">
            <v>中量投期权启航1号</v>
          </cell>
          <cell r="AC56" t="str">
            <v>波动率套利</v>
          </cell>
          <cell r="AD56" t="str">
            <v>波动率方向</v>
          </cell>
          <cell r="AE56">
            <v>0</v>
          </cell>
          <cell r="AF56">
            <v>-16</v>
          </cell>
          <cell r="AG56">
            <v>-16</v>
          </cell>
          <cell r="AH56">
            <v>16</v>
          </cell>
          <cell r="AI56">
            <v>5.98</v>
          </cell>
          <cell r="AJ56">
            <v>2.4300000000000002</v>
          </cell>
          <cell r="AK56">
            <v>7.65</v>
          </cell>
        </row>
        <row r="57">
          <cell r="AA57">
            <v>44072</v>
          </cell>
          <cell r="AB57" t="str">
            <v>中量投期权启航1号</v>
          </cell>
          <cell r="AC57" t="str">
            <v>波动率套利</v>
          </cell>
          <cell r="AD57" t="str">
            <v>波动率方向</v>
          </cell>
          <cell r="AE57">
            <v>0</v>
          </cell>
          <cell r="AF57">
            <v>-16</v>
          </cell>
          <cell r="AG57">
            <v>-16</v>
          </cell>
          <cell r="AH57">
            <v>16</v>
          </cell>
          <cell r="AI57">
            <v>5.98</v>
          </cell>
          <cell r="AJ57">
            <v>2.4300000000000002</v>
          </cell>
          <cell r="AK57">
            <v>7.65</v>
          </cell>
        </row>
        <row r="58">
          <cell r="AA58">
            <v>44073</v>
          </cell>
          <cell r="AB58" t="str">
            <v>中量投期权启航1号</v>
          </cell>
          <cell r="AC58" t="str">
            <v>波动率套利</v>
          </cell>
          <cell r="AD58" t="str">
            <v>波动率方向</v>
          </cell>
          <cell r="AE58">
            <v>0</v>
          </cell>
          <cell r="AF58">
            <v>-16</v>
          </cell>
          <cell r="AG58">
            <v>-16</v>
          </cell>
          <cell r="AH58">
            <v>16</v>
          </cell>
          <cell r="AI58">
            <v>5.98</v>
          </cell>
          <cell r="AJ58">
            <v>2.4300000000000002</v>
          </cell>
          <cell r="AK58">
            <v>7.65</v>
          </cell>
        </row>
        <row r="59">
          <cell r="AA59">
            <v>44074</v>
          </cell>
          <cell r="AB59" t="str">
            <v>中量投期权启航1号</v>
          </cell>
          <cell r="AC59" t="str">
            <v>波动率套利</v>
          </cell>
          <cell r="AD59" t="str">
            <v>波动率方向</v>
          </cell>
          <cell r="AE59">
            <v>0</v>
          </cell>
          <cell r="AF59">
            <v>-17</v>
          </cell>
          <cell r="AG59">
            <v>-17</v>
          </cell>
          <cell r="AH59">
            <v>17</v>
          </cell>
          <cell r="AI59">
            <v>5.99</v>
          </cell>
          <cell r="AJ59">
            <v>2.79</v>
          </cell>
          <cell r="AK59">
            <v>8.0299999999999994</v>
          </cell>
        </row>
        <row r="60">
          <cell r="AC60"/>
          <cell r="AK60"/>
        </row>
        <row r="61">
          <cell r="AC61"/>
          <cell r="AK61"/>
        </row>
        <row r="62">
          <cell r="AC62"/>
          <cell r="AK62"/>
        </row>
        <row r="63">
          <cell r="AC63"/>
          <cell r="AK63"/>
        </row>
        <row r="64">
          <cell r="AC64"/>
          <cell r="AK64"/>
        </row>
        <row r="65">
          <cell r="AC65"/>
          <cell r="AK65"/>
        </row>
        <row r="66">
          <cell r="AC66"/>
          <cell r="AK66"/>
        </row>
        <row r="67">
          <cell r="AC67"/>
          <cell r="AK67"/>
        </row>
        <row r="68">
          <cell r="AC68"/>
          <cell r="AK68"/>
        </row>
        <row r="69">
          <cell r="AC69"/>
          <cell r="AK69"/>
        </row>
        <row r="70">
          <cell r="AC70"/>
          <cell r="AK70"/>
        </row>
        <row r="71">
          <cell r="AC71"/>
          <cell r="AK71"/>
        </row>
        <row r="72">
          <cell r="AC72"/>
          <cell r="AK72"/>
        </row>
        <row r="73">
          <cell r="AC73"/>
          <cell r="AK73"/>
        </row>
        <row r="74">
          <cell r="AC74"/>
          <cell r="AK74"/>
        </row>
        <row r="75">
          <cell r="AC75"/>
          <cell r="AK75"/>
        </row>
        <row r="76">
          <cell r="AC76"/>
          <cell r="AK76"/>
        </row>
        <row r="77">
          <cell r="AC77"/>
          <cell r="AK77"/>
        </row>
        <row r="78">
          <cell r="AC78"/>
          <cell r="AK78"/>
        </row>
        <row r="79">
          <cell r="AC79"/>
          <cell r="AK79"/>
        </row>
        <row r="80">
          <cell r="AC80"/>
          <cell r="AK80"/>
        </row>
        <row r="81">
          <cell r="AC81"/>
          <cell r="AK81"/>
        </row>
        <row r="82">
          <cell r="AC82"/>
          <cell r="AK82"/>
        </row>
        <row r="83">
          <cell r="AC83"/>
          <cell r="AK83"/>
        </row>
        <row r="84">
          <cell r="AC84"/>
          <cell r="AK84"/>
        </row>
        <row r="85">
          <cell r="AC85"/>
          <cell r="AK85"/>
        </row>
        <row r="86">
          <cell r="AC86"/>
          <cell r="AK86"/>
        </row>
        <row r="87">
          <cell r="AC87"/>
          <cell r="AK87"/>
        </row>
        <row r="88">
          <cell r="AC88"/>
          <cell r="AK88"/>
        </row>
        <row r="89">
          <cell r="AC89"/>
          <cell r="AK89"/>
        </row>
        <row r="90">
          <cell r="AC90"/>
          <cell r="AK90"/>
        </row>
        <row r="91">
          <cell r="AC91"/>
          <cell r="AK91"/>
        </row>
        <row r="92">
          <cell r="AC92"/>
          <cell r="AK92"/>
        </row>
        <row r="93">
          <cell r="AC93"/>
          <cell r="AK93"/>
        </row>
        <row r="94">
          <cell r="AC94"/>
          <cell r="AK94"/>
        </row>
        <row r="95">
          <cell r="AC95"/>
          <cell r="AK95"/>
        </row>
        <row r="96">
          <cell r="AC96"/>
          <cell r="AK96"/>
        </row>
        <row r="97">
          <cell r="AC97"/>
          <cell r="AK97"/>
        </row>
        <row r="98">
          <cell r="AC98"/>
          <cell r="AK98"/>
        </row>
        <row r="99">
          <cell r="AC99"/>
          <cell r="AK99"/>
        </row>
        <row r="100">
          <cell r="AC100"/>
          <cell r="AK100"/>
        </row>
        <row r="101">
          <cell r="AC101"/>
          <cell r="AK101"/>
        </row>
        <row r="102">
          <cell r="AC102"/>
          <cell r="AK102"/>
        </row>
        <row r="103">
          <cell r="AC103"/>
          <cell r="AK103"/>
        </row>
        <row r="104">
          <cell r="AC104"/>
          <cell r="AK104"/>
        </row>
        <row r="105">
          <cell r="AC105"/>
          <cell r="AK105"/>
        </row>
        <row r="106">
          <cell r="AC106"/>
          <cell r="AK106"/>
        </row>
        <row r="107">
          <cell r="AC107"/>
          <cell r="AK107"/>
        </row>
        <row r="108">
          <cell r="AC108"/>
          <cell r="AK108"/>
        </row>
        <row r="109">
          <cell r="AC109"/>
          <cell r="AK109"/>
        </row>
        <row r="110">
          <cell r="AC110"/>
          <cell r="AK110"/>
        </row>
        <row r="111">
          <cell r="AC111"/>
          <cell r="AK111"/>
        </row>
        <row r="112">
          <cell r="AC112"/>
          <cell r="AK112"/>
        </row>
        <row r="113">
          <cell r="AC113"/>
          <cell r="AK113"/>
        </row>
        <row r="114">
          <cell r="AC114"/>
          <cell r="AK114"/>
        </row>
        <row r="115">
          <cell r="AC115"/>
          <cell r="AK115"/>
        </row>
        <row r="116">
          <cell r="AC116"/>
          <cell r="AK116"/>
        </row>
        <row r="117">
          <cell r="AC117"/>
          <cell r="AK117"/>
        </row>
        <row r="118">
          <cell r="AC118"/>
          <cell r="AK118"/>
        </row>
        <row r="119">
          <cell r="AC119"/>
          <cell r="AK119"/>
        </row>
        <row r="120">
          <cell r="AC120"/>
          <cell r="AK120"/>
        </row>
        <row r="121">
          <cell r="AC121"/>
          <cell r="AK121"/>
        </row>
        <row r="122">
          <cell r="AC122"/>
          <cell r="AK122"/>
        </row>
        <row r="123">
          <cell r="AC123"/>
          <cell r="AK123"/>
        </row>
        <row r="124">
          <cell r="AC124"/>
          <cell r="AK124"/>
        </row>
        <row r="125">
          <cell r="AC125"/>
          <cell r="AK125"/>
        </row>
        <row r="126">
          <cell r="AC126"/>
          <cell r="AK126"/>
        </row>
        <row r="127">
          <cell r="AC127"/>
          <cell r="AK127"/>
        </row>
        <row r="128">
          <cell r="AC128"/>
          <cell r="AK128"/>
        </row>
        <row r="129">
          <cell r="AC129"/>
          <cell r="AK129"/>
        </row>
        <row r="130">
          <cell r="AC130"/>
          <cell r="AK130"/>
        </row>
        <row r="131">
          <cell r="AC131"/>
          <cell r="AK131"/>
        </row>
        <row r="132">
          <cell r="AC132"/>
          <cell r="AK132"/>
        </row>
        <row r="133">
          <cell r="AC133"/>
          <cell r="AK133"/>
        </row>
        <row r="134">
          <cell r="AC134"/>
          <cell r="AK134"/>
        </row>
        <row r="135">
          <cell r="AC135"/>
          <cell r="AK135"/>
        </row>
        <row r="136">
          <cell r="AC136"/>
          <cell r="AK136"/>
        </row>
        <row r="137">
          <cell r="AC137"/>
          <cell r="AK137"/>
        </row>
        <row r="138">
          <cell r="AC138"/>
          <cell r="AK138"/>
        </row>
        <row r="139">
          <cell r="AC139"/>
          <cell r="AK139"/>
        </row>
        <row r="140">
          <cell r="AC140"/>
          <cell r="AK140"/>
        </row>
        <row r="141">
          <cell r="AC141"/>
          <cell r="AK141"/>
        </row>
        <row r="142">
          <cell r="AC142"/>
          <cell r="AK142"/>
        </row>
        <row r="143">
          <cell r="AC143"/>
          <cell r="AK143"/>
        </row>
        <row r="144">
          <cell r="AC144"/>
          <cell r="AK144"/>
        </row>
        <row r="145">
          <cell r="AC145"/>
          <cell r="AK145"/>
        </row>
        <row r="146">
          <cell r="AC146"/>
          <cell r="AK146"/>
        </row>
        <row r="147">
          <cell r="AC147"/>
          <cell r="AK147"/>
        </row>
        <row r="148">
          <cell r="AC148"/>
          <cell r="AK148"/>
        </row>
        <row r="149">
          <cell r="AC149"/>
          <cell r="AK149"/>
        </row>
        <row r="150">
          <cell r="AC150"/>
          <cell r="AK150"/>
        </row>
        <row r="151">
          <cell r="AC151"/>
          <cell r="AK151"/>
        </row>
        <row r="152">
          <cell r="AC152"/>
          <cell r="AK152"/>
        </row>
        <row r="153">
          <cell r="AC153"/>
          <cell r="AK153"/>
        </row>
        <row r="154">
          <cell r="AC154"/>
          <cell r="AK154"/>
        </row>
        <row r="155">
          <cell r="AC155"/>
          <cell r="AK155"/>
        </row>
        <row r="156">
          <cell r="AC156"/>
          <cell r="AK156"/>
        </row>
        <row r="157">
          <cell r="AC157"/>
          <cell r="AK157"/>
        </row>
        <row r="158">
          <cell r="AC158"/>
          <cell r="AK158"/>
        </row>
        <row r="159">
          <cell r="AC159"/>
          <cell r="AK159"/>
        </row>
        <row r="160">
          <cell r="AC160"/>
          <cell r="AK160"/>
        </row>
        <row r="161">
          <cell r="AC161"/>
          <cell r="AK161"/>
        </row>
        <row r="162">
          <cell r="AC162"/>
          <cell r="AK162"/>
        </row>
        <row r="163">
          <cell r="AC163"/>
          <cell r="AK163"/>
        </row>
        <row r="164">
          <cell r="AC164"/>
          <cell r="AK164"/>
        </row>
        <row r="165">
          <cell r="AC165"/>
          <cell r="AK165"/>
        </row>
        <row r="166">
          <cell r="AC166"/>
          <cell r="AK166"/>
        </row>
        <row r="167">
          <cell r="AC167"/>
          <cell r="AK167"/>
        </row>
        <row r="168">
          <cell r="AC168"/>
          <cell r="AK168"/>
        </row>
        <row r="169">
          <cell r="AC169"/>
          <cell r="AK169"/>
        </row>
        <row r="170">
          <cell r="AC170"/>
          <cell r="AK170"/>
        </row>
        <row r="171">
          <cell r="AC171"/>
          <cell r="AK171"/>
        </row>
        <row r="172">
          <cell r="AC172"/>
          <cell r="AK172"/>
        </row>
        <row r="173">
          <cell r="AC173"/>
          <cell r="AK173"/>
        </row>
        <row r="174">
          <cell r="AC174"/>
          <cell r="AK174"/>
        </row>
        <row r="175">
          <cell r="AC175"/>
          <cell r="AK175"/>
        </row>
        <row r="176">
          <cell r="AC176"/>
          <cell r="AK176"/>
        </row>
        <row r="177">
          <cell r="AC177"/>
          <cell r="AK177"/>
        </row>
        <row r="178">
          <cell r="AC178"/>
          <cell r="AK178"/>
        </row>
        <row r="179">
          <cell r="AC179"/>
          <cell r="AK179"/>
        </row>
        <row r="180">
          <cell r="AC180"/>
          <cell r="AK180"/>
        </row>
        <row r="181">
          <cell r="AC181"/>
          <cell r="AK181"/>
        </row>
        <row r="182">
          <cell r="AC182"/>
          <cell r="AK182"/>
        </row>
        <row r="183">
          <cell r="AC183"/>
          <cell r="AK183"/>
        </row>
        <row r="184">
          <cell r="AC184"/>
          <cell r="AK184"/>
        </row>
        <row r="185">
          <cell r="AC185"/>
          <cell r="AK185"/>
        </row>
        <row r="186">
          <cell r="AC186"/>
          <cell r="AK186"/>
        </row>
        <row r="187">
          <cell r="AC187"/>
          <cell r="AK187"/>
        </row>
        <row r="188">
          <cell r="AC188"/>
          <cell r="AK188"/>
        </row>
        <row r="189">
          <cell r="AC189"/>
          <cell r="AK189"/>
        </row>
        <row r="190">
          <cell r="AC190"/>
          <cell r="AK190"/>
        </row>
        <row r="191">
          <cell r="AC191"/>
          <cell r="AK191"/>
        </row>
        <row r="192">
          <cell r="AC192"/>
          <cell r="AK192"/>
        </row>
        <row r="193">
          <cell r="AC193"/>
          <cell r="AK193"/>
        </row>
        <row r="194">
          <cell r="AC194"/>
          <cell r="AK194"/>
        </row>
        <row r="195">
          <cell r="AC195"/>
          <cell r="AK195"/>
        </row>
        <row r="196">
          <cell r="AC196"/>
          <cell r="AK196"/>
        </row>
        <row r="197">
          <cell r="AC197"/>
          <cell r="AK197"/>
        </row>
        <row r="198">
          <cell r="AC198"/>
          <cell r="AK198"/>
        </row>
        <row r="199">
          <cell r="AC199"/>
          <cell r="AK199"/>
        </row>
        <row r="200">
          <cell r="AC200"/>
          <cell r="AK200"/>
        </row>
        <row r="201">
          <cell r="AC201"/>
          <cell r="AK201"/>
        </row>
        <row r="202">
          <cell r="AC202"/>
          <cell r="AK202"/>
        </row>
        <row r="203">
          <cell r="AC203"/>
          <cell r="AK203"/>
        </row>
        <row r="204">
          <cell r="AC204"/>
          <cell r="AK204"/>
        </row>
        <row r="205">
          <cell r="AC205"/>
          <cell r="AK205"/>
        </row>
        <row r="206">
          <cell r="AC206"/>
          <cell r="AK206"/>
        </row>
        <row r="207">
          <cell r="AC207"/>
          <cell r="AK207"/>
        </row>
        <row r="208">
          <cell r="AC208"/>
          <cell r="AK208"/>
        </row>
        <row r="209">
          <cell r="AC209"/>
          <cell r="AK209"/>
        </row>
        <row r="210">
          <cell r="AC210"/>
          <cell r="AK210"/>
        </row>
        <row r="211">
          <cell r="AC211"/>
          <cell r="AK211"/>
        </row>
        <row r="212">
          <cell r="AC212"/>
          <cell r="AK212"/>
        </row>
        <row r="213">
          <cell r="AC213"/>
          <cell r="AK213"/>
        </row>
        <row r="214">
          <cell r="AC214"/>
          <cell r="AK214"/>
        </row>
        <row r="215">
          <cell r="AC215"/>
          <cell r="AK215"/>
        </row>
        <row r="216">
          <cell r="AC216"/>
          <cell r="AK216"/>
        </row>
        <row r="217">
          <cell r="AC217"/>
          <cell r="AK217"/>
        </row>
        <row r="218">
          <cell r="AC218"/>
          <cell r="AK218"/>
        </row>
        <row r="219">
          <cell r="AC219"/>
          <cell r="AK219"/>
        </row>
        <row r="220">
          <cell r="AC220"/>
          <cell r="AK220"/>
        </row>
        <row r="221">
          <cell r="AC221"/>
          <cell r="AK221"/>
        </row>
        <row r="222">
          <cell r="AC222"/>
          <cell r="AK222"/>
        </row>
        <row r="223">
          <cell r="AC223"/>
          <cell r="AK223"/>
        </row>
        <row r="224">
          <cell r="AC224"/>
          <cell r="AK224"/>
        </row>
        <row r="225">
          <cell r="AC225"/>
          <cell r="AK225"/>
        </row>
        <row r="226">
          <cell r="AC226"/>
          <cell r="AK226"/>
        </row>
        <row r="227">
          <cell r="AC227"/>
          <cell r="AK227"/>
        </row>
        <row r="228">
          <cell r="AC228"/>
          <cell r="AK228"/>
        </row>
        <row r="229">
          <cell r="AC229"/>
          <cell r="AK229"/>
        </row>
        <row r="230">
          <cell r="AC230"/>
          <cell r="AK230"/>
        </row>
        <row r="231">
          <cell r="AC231"/>
          <cell r="AK231"/>
        </row>
        <row r="232">
          <cell r="AC232"/>
          <cell r="AK232"/>
        </row>
        <row r="233">
          <cell r="AC233"/>
          <cell r="AK233"/>
        </row>
        <row r="234">
          <cell r="AC234"/>
          <cell r="AK234"/>
        </row>
        <row r="235">
          <cell r="AC235"/>
          <cell r="AK235"/>
        </row>
        <row r="236">
          <cell r="AC236"/>
          <cell r="AK236"/>
        </row>
        <row r="237">
          <cell r="AC237"/>
          <cell r="AK237"/>
        </row>
        <row r="238">
          <cell r="AC238"/>
          <cell r="AK238"/>
        </row>
        <row r="239">
          <cell r="AC239"/>
          <cell r="AK239"/>
        </row>
        <row r="240">
          <cell r="AC240"/>
          <cell r="AK240"/>
        </row>
        <row r="241">
          <cell r="AC241"/>
          <cell r="AK241"/>
        </row>
        <row r="242">
          <cell r="AC242"/>
          <cell r="AK242"/>
        </row>
        <row r="243">
          <cell r="AC243"/>
          <cell r="AK243"/>
        </row>
        <row r="244">
          <cell r="AC244"/>
          <cell r="AK244"/>
        </row>
        <row r="245">
          <cell r="AC245"/>
          <cell r="AK245"/>
        </row>
        <row r="246">
          <cell r="AC246"/>
          <cell r="AK246"/>
        </row>
        <row r="247">
          <cell r="AC247"/>
          <cell r="AK247"/>
        </row>
        <row r="248">
          <cell r="AC248"/>
          <cell r="AK248"/>
        </row>
        <row r="249">
          <cell r="AC249"/>
          <cell r="AK249"/>
        </row>
        <row r="250">
          <cell r="AC250"/>
          <cell r="AK250"/>
        </row>
        <row r="251">
          <cell r="AC251"/>
          <cell r="AK251"/>
        </row>
        <row r="252">
          <cell r="AC252"/>
          <cell r="AK252"/>
        </row>
        <row r="253">
          <cell r="AC253"/>
          <cell r="AK253"/>
        </row>
        <row r="254">
          <cell r="AC254"/>
          <cell r="AK254"/>
        </row>
        <row r="255">
          <cell r="AC255"/>
          <cell r="AK255"/>
        </row>
        <row r="256">
          <cell r="AC256"/>
          <cell r="AK256"/>
        </row>
        <row r="257">
          <cell r="AC257"/>
          <cell r="AK257"/>
        </row>
        <row r="258">
          <cell r="AC258"/>
          <cell r="AK258"/>
        </row>
        <row r="259">
          <cell r="AC259"/>
          <cell r="AK259"/>
        </row>
        <row r="260">
          <cell r="AC260"/>
          <cell r="AK260"/>
        </row>
        <row r="261">
          <cell r="AC261"/>
          <cell r="AK261"/>
        </row>
        <row r="262">
          <cell r="AC262"/>
          <cell r="AK262"/>
        </row>
        <row r="263">
          <cell r="AC263"/>
          <cell r="AK263"/>
        </row>
        <row r="264">
          <cell r="AC264"/>
          <cell r="AK264"/>
        </row>
        <row r="265">
          <cell r="AC265"/>
          <cell r="AK265"/>
        </row>
        <row r="266">
          <cell r="AC266"/>
          <cell r="AK266"/>
        </row>
        <row r="267">
          <cell r="AC267"/>
          <cell r="AK267"/>
        </row>
        <row r="268">
          <cell r="AC268"/>
          <cell r="AK268"/>
        </row>
        <row r="269">
          <cell r="AC269"/>
          <cell r="AK269"/>
        </row>
        <row r="270">
          <cell r="AC270"/>
          <cell r="AK270"/>
        </row>
        <row r="271">
          <cell r="AC271"/>
          <cell r="AK271"/>
        </row>
        <row r="272">
          <cell r="AC272"/>
          <cell r="AK272"/>
        </row>
        <row r="273">
          <cell r="AC273"/>
          <cell r="AK273"/>
        </row>
        <row r="274">
          <cell r="AC274"/>
          <cell r="AK274"/>
        </row>
        <row r="275">
          <cell r="AC275"/>
          <cell r="AK275"/>
        </row>
        <row r="276">
          <cell r="AC276"/>
          <cell r="AK276"/>
        </row>
        <row r="277">
          <cell r="AC277"/>
          <cell r="AK277"/>
        </row>
        <row r="278">
          <cell r="AC278"/>
          <cell r="AK278"/>
        </row>
        <row r="279">
          <cell r="AC279"/>
          <cell r="AK279"/>
        </row>
        <row r="280">
          <cell r="AC280"/>
          <cell r="AK280"/>
        </row>
        <row r="281">
          <cell r="AC281"/>
          <cell r="AK281"/>
        </row>
        <row r="282">
          <cell r="AC282"/>
          <cell r="AK282"/>
        </row>
        <row r="283">
          <cell r="AC283"/>
          <cell r="AK283"/>
        </row>
        <row r="284">
          <cell r="AC284"/>
          <cell r="AK284"/>
        </row>
        <row r="285">
          <cell r="AC285"/>
          <cell r="AK285"/>
        </row>
        <row r="286">
          <cell r="AC286"/>
          <cell r="AK286"/>
        </row>
        <row r="287">
          <cell r="AC287"/>
          <cell r="AK287"/>
        </row>
        <row r="288">
          <cell r="AC288"/>
          <cell r="AK288"/>
        </row>
        <row r="289">
          <cell r="AC289"/>
          <cell r="AK289"/>
        </row>
        <row r="290">
          <cell r="AC290"/>
          <cell r="AK290"/>
        </row>
        <row r="291">
          <cell r="AC291"/>
          <cell r="AK291"/>
        </row>
        <row r="292">
          <cell r="AC292"/>
          <cell r="AK292"/>
        </row>
        <row r="293">
          <cell r="AC293"/>
          <cell r="AK293"/>
        </row>
        <row r="294">
          <cell r="AC294"/>
          <cell r="AK294"/>
        </row>
        <row r="295">
          <cell r="AC295"/>
          <cell r="AK295"/>
        </row>
        <row r="296">
          <cell r="AC296"/>
          <cell r="AK296"/>
        </row>
        <row r="297">
          <cell r="AC297"/>
          <cell r="AK297"/>
        </row>
        <row r="298">
          <cell r="AC298"/>
          <cell r="AK298"/>
        </row>
        <row r="299">
          <cell r="AC299"/>
          <cell r="AK299"/>
        </row>
        <row r="300">
          <cell r="AC300"/>
          <cell r="AK300"/>
        </row>
        <row r="301">
          <cell r="AC301"/>
          <cell r="AK301"/>
        </row>
        <row r="302">
          <cell r="AC302"/>
          <cell r="AK302"/>
        </row>
        <row r="303">
          <cell r="AC303"/>
          <cell r="AK303"/>
        </row>
        <row r="304">
          <cell r="AC304"/>
          <cell r="AK304"/>
        </row>
        <row r="305">
          <cell r="AC305"/>
          <cell r="AK305"/>
        </row>
        <row r="306">
          <cell r="AC306"/>
          <cell r="AK306"/>
        </row>
        <row r="307">
          <cell r="AC307"/>
          <cell r="AK307"/>
        </row>
        <row r="308">
          <cell r="AC308"/>
          <cell r="AK308"/>
        </row>
        <row r="309">
          <cell r="AC309"/>
          <cell r="AK309"/>
        </row>
        <row r="310">
          <cell r="AC310"/>
          <cell r="AK310"/>
        </row>
        <row r="311">
          <cell r="AC311"/>
          <cell r="AK311"/>
        </row>
        <row r="312">
          <cell r="AC312"/>
          <cell r="AK312"/>
        </row>
        <row r="313">
          <cell r="AC313"/>
          <cell r="AK313"/>
        </row>
        <row r="314">
          <cell r="AC314"/>
          <cell r="AK314"/>
        </row>
        <row r="315">
          <cell r="AC315"/>
          <cell r="AK315"/>
        </row>
        <row r="316">
          <cell r="AC316"/>
          <cell r="AK316"/>
        </row>
        <row r="317">
          <cell r="AC317"/>
          <cell r="AK317"/>
        </row>
        <row r="318">
          <cell r="AC318"/>
          <cell r="AK318"/>
        </row>
        <row r="319">
          <cell r="AC319"/>
          <cell r="AK319"/>
        </row>
        <row r="320">
          <cell r="AC320"/>
          <cell r="AK320"/>
        </row>
        <row r="321">
          <cell r="AC321"/>
          <cell r="AK321"/>
        </row>
        <row r="322">
          <cell r="AC322"/>
          <cell r="AK322"/>
        </row>
        <row r="323">
          <cell r="AC323"/>
          <cell r="AK323"/>
        </row>
        <row r="324">
          <cell r="AC324"/>
          <cell r="AK324"/>
        </row>
        <row r="325">
          <cell r="AC325"/>
          <cell r="AK325"/>
        </row>
        <row r="326">
          <cell r="AC326"/>
          <cell r="AK326"/>
        </row>
        <row r="327">
          <cell r="AC327"/>
          <cell r="AK327"/>
        </row>
        <row r="328">
          <cell r="AC328"/>
          <cell r="AK328"/>
        </row>
        <row r="329">
          <cell r="AC329"/>
          <cell r="AK329"/>
        </row>
        <row r="330">
          <cell r="AC330"/>
          <cell r="AK330"/>
        </row>
        <row r="331">
          <cell r="AC331"/>
          <cell r="AK331"/>
        </row>
        <row r="332">
          <cell r="AC332"/>
          <cell r="AK332"/>
        </row>
        <row r="333">
          <cell r="AC333"/>
          <cell r="AK333"/>
        </row>
        <row r="334">
          <cell r="AC334"/>
          <cell r="AK334"/>
        </row>
        <row r="335">
          <cell r="AC335"/>
          <cell r="AK335"/>
        </row>
        <row r="336">
          <cell r="AC336"/>
          <cell r="AK336"/>
        </row>
        <row r="337">
          <cell r="AC337"/>
          <cell r="AK337"/>
        </row>
        <row r="338">
          <cell r="AC338"/>
          <cell r="AK338"/>
        </row>
        <row r="339">
          <cell r="AC339"/>
          <cell r="AK339"/>
        </row>
        <row r="340">
          <cell r="AC340"/>
          <cell r="AK340"/>
        </row>
        <row r="341">
          <cell r="AC341"/>
          <cell r="AK341"/>
        </row>
        <row r="342">
          <cell r="AC342"/>
          <cell r="AK342"/>
        </row>
        <row r="343">
          <cell r="AC343"/>
          <cell r="AK343"/>
        </row>
        <row r="344">
          <cell r="AC344"/>
          <cell r="AK344"/>
        </row>
        <row r="345">
          <cell r="AC345"/>
          <cell r="AK345"/>
        </row>
        <row r="346">
          <cell r="AC346"/>
          <cell r="AK346"/>
        </row>
        <row r="347">
          <cell r="AC347"/>
          <cell r="AK347"/>
        </row>
        <row r="348">
          <cell r="AC348"/>
          <cell r="AK348"/>
        </row>
        <row r="349">
          <cell r="AC349"/>
          <cell r="AK349"/>
        </row>
        <row r="350">
          <cell r="AC350"/>
          <cell r="AK350"/>
        </row>
        <row r="351">
          <cell r="AC351"/>
          <cell r="AK351"/>
        </row>
        <row r="352">
          <cell r="AC352"/>
          <cell r="AK352"/>
        </row>
        <row r="353">
          <cell r="AC353"/>
          <cell r="AK353"/>
        </row>
        <row r="354">
          <cell r="AC354"/>
          <cell r="AK354"/>
        </row>
        <row r="355">
          <cell r="AC355"/>
          <cell r="AK355"/>
        </row>
        <row r="356">
          <cell r="AC356"/>
          <cell r="AK356"/>
        </row>
        <row r="357">
          <cell r="AC357"/>
          <cell r="AK357"/>
        </row>
        <row r="358">
          <cell r="AC358"/>
          <cell r="AK358"/>
        </row>
        <row r="359">
          <cell r="AC359"/>
          <cell r="AK359"/>
        </row>
        <row r="360">
          <cell r="AC360"/>
          <cell r="AK360"/>
        </row>
        <row r="361">
          <cell r="AC361"/>
          <cell r="AK361"/>
        </row>
        <row r="362">
          <cell r="AC362"/>
          <cell r="AK362"/>
        </row>
        <row r="363">
          <cell r="AC363"/>
          <cell r="AK363"/>
        </row>
        <row r="364">
          <cell r="AC364"/>
          <cell r="AK364"/>
        </row>
        <row r="365">
          <cell r="AC365"/>
          <cell r="AK365"/>
        </row>
        <row r="366">
          <cell r="AC366"/>
          <cell r="AK366"/>
        </row>
        <row r="367">
          <cell r="AC367"/>
          <cell r="AK367"/>
        </row>
        <row r="368">
          <cell r="AC368"/>
          <cell r="AK368"/>
        </row>
        <row r="369">
          <cell r="AC369"/>
          <cell r="AK369"/>
        </row>
        <row r="370">
          <cell r="AC370"/>
          <cell r="AK370"/>
        </row>
        <row r="371">
          <cell r="AC371"/>
          <cell r="AK371"/>
        </row>
        <row r="372">
          <cell r="AC372"/>
          <cell r="AK372"/>
        </row>
        <row r="373">
          <cell r="AC373"/>
          <cell r="AK373"/>
        </row>
        <row r="374">
          <cell r="AC374"/>
          <cell r="AK374"/>
        </row>
        <row r="375">
          <cell r="AC375"/>
          <cell r="AK375"/>
        </row>
        <row r="376">
          <cell r="AC376"/>
          <cell r="AK376"/>
        </row>
        <row r="377">
          <cell r="AC377"/>
          <cell r="AK377"/>
        </row>
        <row r="378">
          <cell r="AC378"/>
          <cell r="AK378"/>
        </row>
        <row r="379">
          <cell r="AC379"/>
          <cell r="AK379"/>
        </row>
        <row r="380">
          <cell r="AC380"/>
          <cell r="AK380"/>
        </row>
        <row r="381">
          <cell r="AC381"/>
          <cell r="AK381"/>
        </row>
        <row r="382">
          <cell r="AC382"/>
          <cell r="AK382"/>
        </row>
        <row r="383">
          <cell r="AC383"/>
          <cell r="AK383"/>
        </row>
        <row r="384">
          <cell r="AC384"/>
          <cell r="AK384"/>
        </row>
        <row r="385">
          <cell r="AC385"/>
          <cell r="AK385"/>
        </row>
        <row r="386">
          <cell r="AC386"/>
          <cell r="AK386"/>
        </row>
        <row r="387">
          <cell r="AC387"/>
          <cell r="AK387"/>
        </row>
        <row r="388">
          <cell r="AC388"/>
          <cell r="AK388"/>
        </row>
        <row r="389">
          <cell r="AC389"/>
          <cell r="AK389"/>
        </row>
        <row r="390">
          <cell r="AC390"/>
          <cell r="AK390"/>
        </row>
        <row r="391">
          <cell r="AC391"/>
          <cell r="AK391"/>
        </row>
        <row r="392">
          <cell r="AC392"/>
          <cell r="AK392"/>
        </row>
        <row r="393">
          <cell r="AC393"/>
          <cell r="AK393"/>
        </row>
        <row r="394">
          <cell r="AC394"/>
          <cell r="AK394"/>
        </row>
        <row r="395">
          <cell r="AC395"/>
          <cell r="AK395"/>
        </row>
        <row r="396">
          <cell r="AC396"/>
          <cell r="AK396"/>
        </row>
        <row r="397">
          <cell r="AC397"/>
          <cell r="AK397"/>
        </row>
        <row r="398">
          <cell r="AC398"/>
          <cell r="AK398"/>
        </row>
        <row r="399">
          <cell r="AC399"/>
          <cell r="AK399"/>
        </row>
        <row r="400">
          <cell r="AC400"/>
          <cell r="AK400"/>
        </row>
        <row r="401">
          <cell r="AC401"/>
          <cell r="AK401"/>
        </row>
        <row r="402">
          <cell r="AC402"/>
          <cell r="AK402"/>
        </row>
        <row r="403">
          <cell r="AC403"/>
          <cell r="AK403"/>
        </row>
        <row r="404">
          <cell r="AC404"/>
          <cell r="AK404"/>
        </row>
        <row r="405">
          <cell r="AC405"/>
          <cell r="AK405"/>
        </row>
        <row r="406">
          <cell r="AC406"/>
          <cell r="AK406"/>
        </row>
        <row r="407">
          <cell r="AC407"/>
          <cell r="AK407"/>
        </row>
        <row r="408">
          <cell r="AC408"/>
          <cell r="AK408"/>
        </row>
        <row r="409">
          <cell r="AC409"/>
          <cell r="AK409"/>
        </row>
        <row r="410">
          <cell r="AC410"/>
          <cell r="AK410"/>
        </row>
        <row r="411">
          <cell r="AC411"/>
          <cell r="AK411"/>
        </row>
        <row r="412">
          <cell r="AC412"/>
          <cell r="AK412"/>
        </row>
        <row r="413">
          <cell r="AC413"/>
          <cell r="AK413"/>
        </row>
        <row r="414">
          <cell r="AC414"/>
          <cell r="AK414"/>
        </row>
        <row r="415">
          <cell r="AC415"/>
          <cell r="AK415"/>
        </row>
        <row r="416">
          <cell r="AC416"/>
          <cell r="AK416"/>
        </row>
        <row r="417">
          <cell r="AC417"/>
          <cell r="AK417"/>
        </row>
        <row r="418">
          <cell r="AC418"/>
          <cell r="AK418"/>
        </row>
        <row r="419">
          <cell r="AC419"/>
          <cell r="AK419"/>
        </row>
        <row r="420">
          <cell r="AC420"/>
          <cell r="AK420"/>
        </row>
        <row r="421">
          <cell r="AC421"/>
          <cell r="AK421"/>
        </row>
        <row r="422">
          <cell r="AC422"/>
          <cell r="AK422"/>
        </row>
        <row r="423">
          <cell r="AC423"/>
          <cell r="AK423"/>
        </row>
        <row r="424">
          <cell r="AC424"/>
          <cell r="AK424"/>
        </row>
        <row r="425">
          <cell r="AC425"/>
          <cell r="AK425"/>
        </row>
        <row r="426">
          <cell r="AC426"/>
          <cell r="AK426"/>
        </row>
        <row r="427">
          <cell r="AC427"/>
          <cell r="AK427"/>
        </row>
        <row r="428">
          <cell r="AC428"/>
          <cell r="AK428"/>
        </row>
        <row r="429">
          <cell r="AC429"/>
          <cell r="AK429"/>
        </row>
        <row r="430">
          <cell r="AC430"/>
          <cell r="AK430"/>
        </row>
        <row r="431">
          <cell r="AC431"/>
          <cell r="AK431"/>
        </row>
        <row r="432">
          <cell r="AC432"/>
          <cell r="AK432"/>
        </row>
        <row r="433">
          <cell r="AC433"/>
          <cell r="AK433"/>
        </row>
        <row r="434">
          <cell r="AC434"/>
          <cell r="AK434"/>
        </row>
        <row r="435">
          <cell r="AC435"/>
          <cell r="AK435"/>
        </row>
        <row r="436">
          <cell r="AC436"/>
          <cell r="AK436"/>
        </row>
        <row r="437">
          <cell r="AC437"/>
          <cell r="AK437"/>
        </row>
        <row r="438">
          <cell r="AC438"/>
          <cell r="AK438"/>
        </row>
        <row r="439">
          <cell r="AC439"/>
          <cell r="AK439"/>
        </row>
        <row r="440">
          <cell r="AC440"/>
          <cell r="AK440"/>
        </row>
        <row r="441">
          <cell r="AC441"/>
          <cell r="AK441"/>
        </row>
        <row r="442">
          <cell r="AC442"/>
          <cell r="AK442"/>
        </row>
        <row r="443">
          <cell r="AC443"/>
          <cell r="AK443"/>
        </row>
        <row r="444">
          <cell r="AC444"/>
          <cell r="AK444"/>
        </row>
        <row r="445">
          <cell r="AC445"/>
          <cell r="AK445"/>
        </row>
        <row r="446">
          <cell r="AC446"/>
          <cell r="AK446"/>
        </row>
        <row r="447">
          <cell r="AC447"/>
          <cell r="AK447"/>
        </row>
        <row r="448">
          <cell r="AC448"/>
          <cell r="AK448"/>
        </row>
        <row r="449">
          <cell r="AC449"/>
          <cell r="AK449"/>
        </row>
        <row r="450">
          <cell r="AC450"/>
          <cell r="AK450"/>
        </row>
        <row r="451">
          <cell r="AC451"/>
          <cell r="AK451"/>
        </row>
        <row r="452">
          <cell r="AC452"/>
          <cell r="AK452"/>
        </row>
        <row r="453">
          <cell r="AC453"/>
          <cell r="AK453"/>
        </row>
        <row r="454">
          <cell r="AC454"/>
          <cell r="AK454"/>
        </row>
        <row r="455">
          <cell r="AC455"/>
          <cell r="AK455"/>
        </row>
        <row r="456">
          <cell r="AC456"/>
          <cell r="AK456"/>
        </row>
        <row r="457">
          <cell r="AC457"/>
          <cell r="AK457"/>
        </row>
        <row r="458">
          <cell r="AC458"/>
          <cell r="AK458"/>
        </row>
        <row r="459">
          <cell r="AC459"/>
          <cell r="AK459"/>
        </row>
        <row r="460">
          <cell r="AC460"/>
          <cell r="AK460"/>
        </row>
        <row r="461">
          <cell r="AC461"/>
          <cell r="AK461"/>
        </row>
        <row r="462">
          <cell r="AC462"/>
          <cell r="AK462"/>
        </row>
        <row r="463">
          <cell r="AC463"/>
          <cell r="AK463"/>
        </row>
        <row r="464">
          <cell r="AC464"/>
          <cell r="AK464"/>
        </row>
        <row r="465">
          <cell r="AC465"/>
          <cell r="AK465"/>
        </row>
        <row r="466">
          <cell r="AC466"/>
          <cell r="AK466"/>
        </row>
        <row r="467">
          <cell r="AC467"/>
          <cell r="AK467"/>
        </row>
        <row r="468">
          <cell r="AC468"/>
          <cell r="AK468"/>
        </row>
        <row r="469">
          <cell r="AC469"/>
          <cell r="AK469"/>
        </row>
        <row r="470">
          <cell r="AC470"/>
          <cell r="AK470"/>
        </row>
        <row r="471">
          <cell r="AC471"/>
          <cell r="AK471"/>
        </row>
        <row r="472">
          <cell r="AC472"/>
          <cell r="AK472"/>
        </row>
        <row r="473">
          <cell r="AC473"/>
          <cell r="AK473"/>
        </row>
        <row r="474">
          <cell r="AC474"/>
          <cell r="AK474"/>
        </row>
        <row r="475">
          <cell r="AC475"/>
          <cell r="AK475"/>
        </row>
        <row r="476">
          <cell r="AC476"/>
          <cell r="AK476"/>
        </row>
        <row r="477">
          <cell r="AC477"/>
          <cell r="AK477"/>
        </row>
        <row r="478">
          <cell r="AC478"/>
          <cell r="AK478"/>
        </row>
        <row r="479">
          <cell r="AC479"/>
          <cell r="AK479"/>
        </row>
        <row r="480">
          <cell r="AC480"/>
          <cell r="AK480"/>
        </row>
        <row r="481">
          <cell r="AC481"/>
          <cell r="AK481"/>
        </row>
        <row r="482">
          <cell r="AC482"/>
          <cell r="AK482"/>
        </row>
        <row r="483">
          <cell r="AC483"/>
          <cell r="AK483"/>
        </row>
        <row r="484">
          <cell r="AC484"/>
          <cell r="AK484"/>
        </row>
        <row r="485">
          <cell r="AC485"/>
          <cell r="AK485"/>
        </row>
        <row r="486">
          <cell r="AC486"/>
          <cell r="AK486"/>
        </row>
        <row r="487">
          <cell r="AC487"/>
          <cell r="AK487"/>
        </row>
        <row r="488">
          <cell r="AC488"/>
          <cell r="AK488"/>
        </row>
        <row r="489">
          <cell r="AC489"/>
          <cell r="AK489"/>
        </row>
        <row r="490">
          <cell r="AC490"/>
          <cell r="AK490"/>
        </row>
        <row r="491">
          <cell r="AC491"/>
          <cell r="AK491"/>
        </row>
        <row r="492">
          <cell r="AC492"/>
          <cell r="AK492"/>
        </row>
        <row r="493">
          <cell r="AC493"/>
          <cell r="AK493"/>
        </row>
        <row r="494">
          <cell r="AC494"/>
          <cell r="AK494"/>
        </row>
        <row r="495">
          <cell r="AC495"/>
          <cell r="AK495"/>
        </row>
        <row r="496">
          <cell r="AC496"/>
          <cell r="AK496"/>
        </row>
        <row r="497">
          <cell r="AC497"/>
          <cell r="AK497"/>
        </row>
        <row r="498">
          <cell r="AC498"/>
          <cell r="AK498"/>
        </row>
        <row r="499">
          <cell r="AC499"/>
          <cell r="AK499"/>
        </row>
        <row r="500">
          <cell r="AC500"/>
          <cell r="AK500"/>
        </row>
        <row r="501">
          <cell r="AC501"/>
          <cell r="AK501"/>
        </row>
        <row r="502">
          <cell r="AC502"/>
          <cell r="AK502"/>
        </row>
        <row r="503">
          <cell r="AC503"/>
          <cell r="AK503"/>
        </row>
        <row r="504">
          <cell r="AC504"/>
          <cell r="AK504"/>
        </row>
        <row r="505">
          <cell r="AC505"/>
          <cell r="AK505"/>
        </row>
        <row r="506">
          <cell r="AC506"/>
          <cell r="AK506"/>
        </row>
        <row r="507">
          <cell r="AC507"/>
          <cell r="AK507"/>
        </row>
        <row r="508">
          <cell r="AC508"/>
          <cell r="AK508"/>
        </row>
        <row r="509">
          <cell r="AC509"/>
          <cell r="AK509"/>
        </row>
        <row r="510">
          <cell r="AC510"/>
          <cell r="AK510"/>
        </row>
        <row r="511">
          <cell r="AC511"/>
          <cell r="AK511"/>
        </row>
        <row r="512">
          <cell r="AC512"/>
          <cell r="AK512"/>
        </row>
        <row r="513">
          <cell r="AC513"/>
          <cell r="AK513"/>
        </row>
        <row r="514">
          <cell r="AC514"/>
          <cell r="AK514"/>
        </row>
        <row r="515">
          <cell r="AC515"/>
          <cell r="AK515"/>
        </row>
        <row r="516">
          <cell r="AC516"/>
          <cell r="AK516"/>
        </row>
        <row r="517">
          <cell r="AC517"/>
          <cell r="AK517"/>
        </row>
        <row r="518">
          <cell r="AC518"/>
          <cell r="AK518"/>
        </row>
        <row r="519">
          <cell r="AC519"/>
          <cell r="AK519"/>
        </row>
        <row r="520">
          <cell r="AC520"/>
          <cell r="AK520"/>
        </row>
        <row r="521">
          <cell r="AC521"/>
          <cell r="AK521"/>
        </row>
        <row r="522">
          <cell r="AC522"/>
          <cell r="AK522"/>
        </row>
        <row r="523">
          <cell r="AC523"/>
          <cell r="AK523"/>
        </row>
        <row r="524">
          <cell r="AC524"/>
          <cell r="AK524"/>
        </row>
        <row r="525">
          <cell r="AC525"/>
          <cell r="AK525"/>
        </row>
        <row r="526">
          <cell r="AC526"/>
          <cell r="AK526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Xuan" id="{79EED119-BB8A-4282-B60E-7E95CAB0B317}" userId="Xua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173" dT="2021-02-02T07:17:50.22" personId="{79EED119-BB8A-4282-B60E-7E95CAB0B317}" id="{6B698890-DF0F-46A2-8052-B3E56B94F7A2}">
    <text>启航规模扩大到1mn</text>
  </threadedComment>
  <threadedComment ref="A1213" dT="2021-05-10T06:51:50.90" personId="{79EED119-BB8A-4282-B60E-7E95CAB0B317}" id="{897DF043-8C80-4A69-B434-5A867B5DA347}">
    <text>启航扩大到20mn</text>
  </threadedComment>
  <threadedComment ref="A1228" dT="2021-05-06T03:22:25.41" personId="{79EED119-BB8A-4282-B60E-7E95CAB0B317}" id="{53DABC86-ABFC-4B1A-AE59-79A91F374DB6}">
    <text>换成300ETF净值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046" dT="2021-04-06T05:10:52.96" personId="{79EED119-BB8A-4282-B60E-7E95CAB0B317}" id="{2B5AB6CA-77EE-49F4-A27B-11CC1CDF8DC6}">
    <text>实盘操作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335" dT="2021-07-05T05:29:17.54" personId="{79EED119-BB8A-4282-B60E-7E95CAB0B317}" id="{29B12584-7A53-4966-A7C2-57FAA7AA84E9}">
    <text>5.30没有净值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A41D-5E1E-45DA-ACEC-93F95B826857}">
  <sheetPr codeName="Sheet1" filterMode="1"/>
  <dimension ref="A1:AL1312"/>
  <sheetViews>
    <sheetView tabSelected="1" topLeftCell="T1" workbookViewId="0">
      <pane ySplit="927" topLeftCell="A928" activePane="bottomLeft" state="frozen"/>
      <selection pane="bottomLeft" activeCell="Z930" sqref="Z930"/>
    </sheetView>
  </sheetViews>
  <sheetFormatPr defaultRowHeight="14.25" x14ac:dyDescent="0.2"/>
  <cols>
    <col min="1" max="1" width="25.875" style="7" customWidth="1"/>
    <col min="6" max="6" width="14.625" style="9" bestFit="1" customWidth="1"/>
    <col min="7" max="7" width="16.75" style="9" bestFit="1" customWidth="1"/>
    <col min="8" max="8" width="13.5" style="9" bestFit="1" customWidth="1"/>
    <col min="9" max="9" width="9" style="9"/>
    <col min="10" max="10" width="19.75" style="9" customWidth="1"/>
    <col min="11" max="11" width="16.375" style="70" customWidth="1"/>
    <col min="12" max="12" width="9" style="70"/>
    <col min="13" max="13" width="10.375" style="70" customWidth="1"/>
    <col min="14" max="14" width="9" style="68"/>
    <col min="16" max="25" width="9" style="13"/>
    <col min="26" max="26" width="31.125" style="13" customWidth="1"/>
    <col min="27" max="27" width="12.875" style="13" customWidth="1"/>
    <col min="28" max="28" width="13.625" style="13" customWidth="1"/>
    <col min="29" max="29" width="13.875" style="13" customWidth="1"/>
    <col min="30" max="30" width="21.375" style="13" customWidth="1"/>
    <col min="31" max="31" width="9" style="13"/>
    <col min="32" max="32" width="23.625" style="13" customWidth="1"/>
    <col min="33" max="16384" width="9" style="13"/>
  </cols>
  <sheetData>
    <row r="1" spans="1:10" x14ac:dyDescent="0.2">
      <c r="A1" s="6" t="s">
        <v>0</v>
      </c>
      <c r="B1" s="4">
        <v>0.10416666666666667</v>
      </c>
      <c r="C1" s="4">
        <v>0.11805555555555557</v>
      </c>
      <c r="D1" s="2" t="s">
        <v>4</v>
      </c>
      <c r="E1" s="2" t="s">
        <v>1</v>
      </c>
      <c r="F1" s="8" t="s">
        <v>3</v>
      </c>
      <c r="G1" s="4">
        <v>0.10416666666666667</v>
      </c>
      <c r="H1" s="4">
        <v>0.11805555555555557</v>
      </c>
      <c r="I1" s="8" t="s">
        <v>4</v>
      </c>
      <c r="J1" s="8" t="s">
        <v>1</v>
      </c>
    </row>
    <row r="2" spans="1:10" customFormat="1" hidden="1" x14ac:dyDescent="0.2">
      <c r="A2" s="1">
        <v>42447</v>
      </c>
      <c r="B2">
        <v>1000000</v>
      </c>
      <c r="C2">
        <v>1000000</v>
      </c>
      <c r="D2">
        <v>1000000</v>
      </c>
    </row>
    <row r="3" spans="1:10" customFormat="1" hidden="1" x14ac:dyDescent="0.2">
      <c r="A3" s="1">
        <v>42450</v>
      </c>
      <c r="B3">
        <v>1000000</v>
      </c>
      <c r="C3">
        <v>1000000</v>
      </c>
      <c r="D3">
        <v>1000000</v>
      </c>
    </row>
    <row r="4" spans="1:10" customFormat="1" hidden="1" x14ac:dyDescent="0.2">
      <c r="A4" s="1">
        <v>42451</v>
      </c>
      <c r="B4">
        <v>993974</v>
      </c>
      <c r="C4">
        <v>993974</v>
      </c>
      <c r="D4">
        <v>993974</v>
      </c>
    </row>
    <row r="5" spans="1:10" customFormat="1" hidden="1" x14ac:dyDescent="0.2">
      <c r="A5" s="1">
        <v>42452</v>
      </c>
      <c r="B5">
        <v>984752</v>
      </c>
      <c r="C5">
        <v>984752</v>
      </c>
      <c r="D5">
        <v>983766</v>
      </c>
    </row>
    <row r="6" spans="1:10" customFormat="1" hidden="1" x14ac:dyDescent="0.2">
      <c r="A6" s="1">
        <v>42453</v>
      </c>
      <c r="B6">
        <v>997474.5</v>
      </c>
      <c r="C6">
        <v>997474.5</v>
      </c>
      <c r="D6">
        <v>998356</v>
      </c>
    </row>
    <row r="7" spans="1:10" customFormat="1" hidden="1" x14ac:dyDescent="0.2">
      <c r="A7" s="1">
        <v>42454</v>
      </c>
      <c r="B7">
        <v>1016527.5</v>
      </c>
      <c r="C7">
        <v>1016527.5</v>
      </c>
      <c r="D7">
        <v>1020610</v>
      </c>
    </row>
    <row r="8" spans="1:10" customFormat="1" hidden="1" x14ac:dyDescent="0.2">
      <c r="A8" s="1">
        <v>42457</v>
      </c>
      <c r="B8">
        <v>1027218.5</v>
      </c>
      <c r="C8">
        <v>1027218.5</v>
      </c>
      <c r="D8">
        <v>1031301</v>
      </c>
    </row>
    <row r="9" spans="1:10" customFormat="1" hidden="1" x14ac:dyDescent="0.2">
      <c r="A9" s="1">
        <v>42458</v>
      </c>
      <c r="B9">
        <v>1028108</v>
      </c>
      <c r="C9">
        <v>1028108</v>
      </c>
      <c r="D9">
        <v>1032002.5</v>
      </c>
    </row>
    <row r="10" spans="1:10" customFormat="1" hidden="1" x14ac:dyDescent="0.2">
      <c r="A10" s="1">
        <v>42459</v>
      </c>
      <c r="B10">
        <v>1030840</v>
      </c>
      <c r="C10">
        <v>1030840</v>
      </c>
      <c r="D10">
        <v>1026111</v>
      </c>
    </row>
    <row r="11" spans="1:10" customFormat="1" hidden="1" x14ac:dyDescent="0.2">
      <c r="A11" s="1">
        <v>42460</v>
      </c>
      <c r="B11">
        <v>1029104.5</v>
      </c>
      <c r="C11">
        <v>1029104.5</v>
      </c>
      <c r="D11">
        <v>1024498</v>
      </c>
    </row>
    <row r="12" spans="1:10" customFormat="1" hidden="1" x14ac:dyDescent="0.2">
      <c r="A12" s="1">
        <v>42461</v>
      </c>
      <c r="B12">
        <v>1033040.5</v>
      </c>
      <c r="C12">
        <v>1033040.5</v>
      </c>
      <c r="D12">
        <v>1030549.5</v>
      </c>
    </row>
    <row r="13" spans="1:10" customFormat="1" hidden="1" x14ac:dyDescent="0.2">
      <c r="A13" s="1">
        <v>42465</v>
      </c>
      <c r="B13">
        <v>1045781.5</v>
      </c>
      <c r="C13">
        <v>1045781.5</v>
      </c>
      <c r="D13">
        <v>1039965.5</v>
      </c>
    </row>
    <row r="14" spans="1:10" customFormat="1" hidden="1" x14ac:dyDescent="0.2">
      <c r="A14" s="1">
        <v>42466</v>
      </c>
      <c r="B14">
        <v>1046162.5</v>
      </c>
      <c r="C14">
        <v>1046162.5</v>
      </c>
      <c r="D14">
        <v>1048908</v>
      </c>
    </row>
    <row r="15" spans="1:10" customFormat="1" hidden="1" x14ac:dyDescent="0.2">
      <c r="A15" s="1">
        <v>42467</v>
      </c>
      <c r="B15">
        <v>1050540</v>
      </c>
      <c r="C15">
        <v>1050540</v>
      </c>
      <c r="D15">
        <v>1060577</v>
      </c>
    </row>
    <row r="16" spans="1:10" customFormat="1" hidden="1" x14ac:dyDescent="0.2">
      <c r="A16" s="1">
        <v>42468</v>
      </c>
      <c r="B16">
        <v>1060578</v>
      </c>
      <c r="C16">
        <v>1060578</v>
      </c>
      <c r="D16">
        <v>1077099.5</v>
      </c>
    </row>
    <row r="17" spans="1:4" customFormat="1" hidden="1" x14ac:dyDescent="0.2">
      <c r="A17" s="1">
        <v>42471</v>
      </c>
      <c r="B17">
        <v>1065114.5</v>
      </c>
      <c r="C17">
        <v>1065114.5</v>
      </c>
      <c r="D17">
        <v>1081517.5</v>
      </c>
    </row>
    <row r="18" spans="1:4" customFormat="1" hidden="1" x14ac:dyDescent="0.2">
      <c r="A18" s="1">
        <v>42472</v>
      </c>
      <c r="B18">
        <v>1068680</v>
      </c>
      <c r="C18">
        <v>1068680</v>
      </c>
      <c r="D18">
        <v>1087771.5</v>
      </c>
    </row>
    <row r="19" spans="1:4" customFormat="1" hidden="1" x14ac:dyDescent="0.2">
      <c r="A19" s="1">
        <v>42473</v>
      </c>
      <c r="B19">
        <v>1071537.5</v>
      </c>
      <c r="C19">
        <v>1071537.5</v>
      </c>
      <c r="D19">
        <v>1083032.5</v>
      </c>
    </row>
    <row r="20" spans="1:4" customFormat="1" hidden="1" x14ac:dyDescent="0.2">
      <c r="A20" s="1">
        <v>42474</v>
      </c>
      <c r="B20">
        <v>1073259.5</v>
      </c>
      <c r="C20">
        <v>1073259.5</v>
      </c>
      <c r="D20">
        <v>1084754.5</v>
      </c>
    </row>
    <row r="21" spans="1:4" customFormat="1" hidden="1" x14ac:dyDescent="0.2">
      <c r="A21" s="1">
        <v>42475</v>
      </c>
      <c r="B21">
        <v>1073484.5</v>
      </c>
      <c r="C21">
        <v>1073484.5</v>
      </c>
      <c r="D21">
        <v>1084979.5</v>
      </c>
    </row>
    <row r="22" spans="1:4" customFormat="1" hidden="1" x14ac:dyDescent="0.2">
      <c r="A22" s="1">
        <v>42478</v>
      </c>
      <c r="B22">
        <v>1075420</v>
      </c>
      <c r="C22">
        <v>1075420</v>
      </c>
      <c r="D22">
        <v>1086915</v>
      </c>
    </row>
    <row r="23" spans="1:4" customFormat="1" hidden="1" x14ac:dyDescent="0.2">
      <c r="A23" s="1">
        <v>42479</v>
      </c>
      <c r="B23">
        <v>1079775</v>
      </c>
      <c r="C23">
        <v>1079775</v>
      </c>
      <c r="D23">
        <v>1091270</v>
      </c>
    </row>
    <row r="24" spans="1:4" customFormat="1" hidden="1" x14ac:dyDescent="0.2">
      <c r="A24" s="1">
        <v>42480</v>
      </c>
      <c r="B24">
        <v>1077755</v>
      </c>
      <c r="C24">
        <v>1077755</v>
      </c>
      <c r="D24">
        <v>1089250</v>
      </c>
    </row>
    <row r="25" spans="1:4" customFormat="1" hidden="1" x14ac:dyDescent="0.2">
      <c r="A25" s="1">
        <v>42481</v>
      </c>
      <c r="B25">
        <v>1081277.5</v>
      </c>
      <c r="C25">
        <v>1081277.5</v>
      </c>
      <c r="D25">
        <v>1092772.5</v>
      </c>
    </row>
    <row r="26" spans="1:4" customFormat="1" hidden="1" x14ac:dyDescent="0.2">
      <c r="A26" s="1">
        <v>42482</v>
      </c>
      <c r="B26">
        <v>1084397</v>
      </c>
      <c r="C26">
        <v>1084397</v>
      </c>
      <c r="D26">
        <v>1095892</v>
      </c>
    </row>
    <row r="27" spans="1:4" customFormat="1" hidden="1" x14ac:dyDescent="0.2">
      <c r="A27" s="1">
        <v>42485</v>
      </c>
      <c r="B27">
        <v>1085064</v>
      </c>
      <c r="C27">
        <v>1085064</v>
      </c>
      <c r="D27">
        <v>1096559</v>
      </c>
    </row>
    <row r="28" spans="1:4" customFormat="1" hidden="1" x14ac:dyDescent="0.2">
      <c r="A28" s="1">
        <v>42486</v>
      </c>
      <c r="B28">
        <v>1086240.5</v>
      </c>
      <c r="C28">
        <v>1086240.5</v>
      </c>
      <c r="D28">
        <v>1097735.5</v>
      </c>
    </row>
    <row r="29" spans="1:4" customFormat="1" hidden="1" x14ac:dyDescent="0.2">
      <c r="A29" s="1">
        <v>42487</v>
      </c>
      <c r="B29">
        <v>1087377.5</v>
      </c>
      <c r="C29">
        <v>1087377.5</v>
      </c>
      <c r="D29">
        <v>1098872.5</v>
      </c>
    </row>
    <row r="30" spans="1:4" customFormat="1" hidden="1" x14ac:dyDescent="0.2">
      <c r="A30" s="1">
        <v>42488</v>
      </c>
      <c r="B30">
        <v>1093169</v>
      </c>
      <c r="C30">
        <v>1093169</v>
      </c>
      <c r="D30">
        <v>1104664</v>
      </c>
    </row>
    <row r="31" spans="1:4" customFormat="1" hidden="1" x14ac:dyDescent="0.2">
      <c r="A31" s="1">
        <v>42489</v>
      </c>
      <c r="B31">
        <v>1096879</v>
      </c>
      <c r="C31">
        <v>1096879</v>
      </c>
      <c r="D31">
        <v>1108374</v>
      </c>
    </row>
    <row r="32" spans="1:4" customFormat="1" hidden="1" x14ac:dyDescent="0.2">
      <c r="A32" s="1">
        <v>42493</v>
      </c>
      <c r="B32">
        <v>1102180.5</v>
      </c>
      <c r="C32">
        <v>1102180.5</v>
      </c>
      <c r="D32">
        <v>1113675.5</v>
      </c>
    </row>
    <row r="33" spans="1:4" customFormat="1" hidden="1" x14ac:dyDescent="0.2">
      <c r="A33" s="1">
        <v>42494</v>
      </c>
      <c r="B33">
        <v>1103471</v>
      </c>
      <c r="C33">
        <v>1103471</v>
      </c>
      <c r="D33">
        <v>1114966</v>
      </c>
    </row>
    <row r="34" spans="1:4" customFormat="1" hidden="1" x14ac:dyDescent="0.2">
      <c r="A34" s="1">
        <v>42495</v>
      </c>
      <c r="B34">
        <v>1107611.5</v>
      </c>
      <c r="C34">
        <v>1107611.5</v>
      </c>
      <c r="D34">
        <v>1119106.5</v>
      </c>
    </row>
    <row r="35" spans="1:4" customFormat="1" hidden="1" x14ac:dyDescent="0.2">
      <c r="A35" s="1">
        <v>42496</v>
      </c>
      <c r="B35">
        <v>1096379</v>
      </c>
      <c r="C35">
        <v>1096379</v>
      </c>
      <c r="D35">
        <v>1107874</v>
      </c>
    </row>
    <row r="36" spans="1:4" customFormat="1" hidden="1" x14ac:dyDescent="0.2">
      <c r="A36" s="1">
        <v>42499</v>
      </c>
      <c r="B36">
        <v>1091336.5</v>
      </c>
      <c r="C36">
        <v>1091336.5</v>
      </c>
      <c r="D36">
        <v>1102831.5</v>
      </c>
    </row>
    <row r="37" spans="1:4" customFormat="1" hidden="1" x14ac:dyDescent="0.2">
      <c r="A37" s="1">
        <v>42500</v>
      </c>
      <c r="B37">
        <v>1095939.5</v>
      </c>
      <c r="C37">
        <v>1095939.5</v>
      </c>
      <c r="D37">
        <v>1115865.5</v>
      </c>
    </row>
    <row r="38" spans="1:4" customFormat="1" hidden="1" x14ac:dyDescent="0.2">
      <c r="A38" s="1">
        <v>42501</v>
      </c>
      <c r="B38">
        <v>1100933</v>
      </c>
      <c r="C38">
        <v>1100933</v>
      </c>
      <c r="D38">
        <v>1132214</v>
      </c>
    </row>
    <row r="39" spans="1:4" customFormat="1" hidden="1" x14ac:dyDescent="0.2">
      <c r="A39" s="1">
        <v>42502</v>
      </c>
      <c r="B39">
        <v>1102304</v>
      </c>
      <c r="C39">
        <v>1102304</v>
      </c>
      <c r="D39">
        <v>1132641.5</v>
      </c>
    </row>
    <row r="40" spans="1:4" customFormat="1" hidden="1" x14ac:dyDescent="0.2">
      <c r="A40" s="1">
        <v>42503</v>
      </c>
      <c r="B40">
        <v>1105683.5</v>
      </c>
      <c r="C40">
        <v>1105683.5</v>
      </c>
      <c r="D40">
        <v>1136251</v>
      </c>
    </row>
    <row r="41" spans="1:4" customFormat="1" hidden="1" x14ac:dyDescent="0.2">
      <c r="A41" s="1">
        <v>42506</v>
      </c>
      <c r="B41">
        <v>1111188.5</v>
      </c>
      <c r="C41">
        <v>1111188.5</v>
      </c>
      <c r="D41">
        <v>1139120.5</v>
      </c>
    </row>
    <row r="42" spans="1:4" customFormat="1" hidden="1" x14ac:dyDescent="0.2">
      <c r="A42" s="1">
        <v>42507</v>
      </c>
      <c r="B42">
        <v>1113231.5</v>
      </c>
      <c r="C42">
        <v>1113231.5</v>
      </c>
      <c r="D42">
        <v>1141976.5</v>
      </c>
    </row>
    <row r="43" spans="1:4" customFormat="1" hidden="1" x14ac:dyDescent="0.2">
      <c r="A43" s="1">
        <v>42508</v>
      </c>
      <c r="B43">
        <v>1114606.5</v>
      </c>
      <c r="C43">
        <v>1114606.5</v>
      </c>
      <c r="D43">
        <v>1142416</v>
      </c>
    </row>
    <row r="44" spans="1:4" customFormat="1" hidden="1" x14ac:dyDescent="0.2">
      <c r="A44" s="1">
        <v>42509</v>
      </c>
      <c r="B44">
        <v>1117568</v>
      </c>
      <c r="C44">
        <v>1117568</v>
      </c>
      <c r="D44">
        <v>1144605.5</v>
      </c>
    </row>
    <row r="45" spans="1:4" customFormat="1" hidden="1" x14ac:dyDescent="0.2">
      <c r="A45" s="1">
        <v>42510</v>
      </c>
      <c r="B45">
        <v>1121213.5</v>
      </c>
      <c r="C45">
        <v>1121213.5</v>
      </c>
      <c r="D45">
        <v>1147198</v>
      </c>
    </row>
    <row r="46" spans="1:4" customFormat="1" hidden="1" x14ac:dyDescent="0.2">
      <c r="A46" s="1">
        <v>42513</v>
      </c>
      <c r="B46">
        <v>1125845.5</v>
      </c>
      <c r="C46">
        <v>1125845.5</v>
      </c>
      <c r="D46">
        <v>1151338.5</v>
      </c>
    </row>
    <row r="47" spans="1:4" customFormat="1" hidden="1" x14ac:dyDescent="0.2">
      <c r="A47" s="1">
        <v>42514</v>
      </c>
      <c r="B47">
        <v>1126572.5</v>
      </c>
      <c r="C47">
        <v>1126572.5</v>
      </c>
      <c r="D47">
        <v>1152923.5</v>
      </c>
    </row>
    <row r="48" spans="1:4" customFormat="1" hidden="1" x14ac:dyDescent="0.2">
      <c r="A48" s="1">
        <v>42515</v>
      </c>
      <c r="B48">
        <v>1125098.5</v>
      </c>
      <c r="C48">
        <v>1125098.5</v>
      </c>
      <c r="D48">
        <v>1152099</v>
      </c>
    </row>
    <row r="49" spans="1:4" customFormat="1" hidden="1" x14ac:dyDescent="0.2">
      <c r="A49" s="1">
        <v>42516</v>
      </c>
      <c r="B49">
        <v>1129444</v>
      </c>
      <c r="C49">
        <v>1129444</v>
      </c>
      <c r="D49">
        <v>1153743</v>
      </c>
    </row>
    <row r="50" spans="1:4" customFormat="1" hidden="1" x14ac:dyDescent="0.2">
      <c r="A50" s="1">
        <v>42517</v>
      </c>
      <c r="B50">
        <v>1131967.5</v>
      </c>
      <c r="C50">
        <v>1131967.5</v>
      </c>
      <c r="D50">
        <v>1155515.5</v>
      </c>
    </row>
    <row r="51" spans="1:4" customFormat="1" hidden="1" x14ac:dyDescent="0.2">
      <c r="A51" s="1">
        <v>42520</v>
      </c>
      <c r="B51">
        <v>1132506.5</v>
      </c>
      <c r="C51">
        <v>1132506.5</v>
      </c>
      <c r="D51">
        <v>1156584</v>
      </c>
    </row>
    <row r="52" spans="1:4" customFormat="1" hidden="1" x14ac:dyDescent="0.2">
      <c r="A52" s="1">
        <v>42521</v>
      </c>
      <c r="B52">
        <v>1117742</v>
      </c>
      <c r="C52">
        <v>1117742</v>
      </c>
      <c r="D52">
        <v>1132322.5</v>
      </c>
    </row>
    <row r="53" spans="1:4" customFormat="1" hidden="1" x14ac:dyDescent="0.2">
      <c r="A53" s="1">
        <v>42522</v>
      </c>
      <c r="B53">
        <v>1118942.5</v>
      </c>
      <c r="C53">
        <v>1118942.5</v>
      </c>
      <c r="D53">
        <v>1133318</v>
      </c>
    </row>
    <row r="54" spans="1:4" customFormat="1" hidden="1" x14ac:dyDescent="0.2">
      <c r="A54" s="1">
        <v>42523</v>
      </c>
      <c r="B54">
        <v>1118266.5</v>
      </c>
      <c r="C54">
        <v>1118266.5</v>
      </c>
      <c r="D54">
        <v>1135708.5</v>
      </c>
    </row>
    <row r="55" spans="1:4" customFormat="1" hidden="1" x14ac:dyDescent="0.2">
      <c r="A55" s="1">
        <v>42524</v>
      </c>
      <c r="B55">
        <v>1116464</v>
      </c>
      <c r="C55">
        <v>1116464</v>
      </c>
      <c r="D55">
        <v>1136333.5</v>
      </c>
    </row>
    <row r="56" spans="1:4" customFormat="1" hidden="1" x14ac:dyDescent="0.2">
      <c r="A56" s="1">
        <v>42527</v>
      </c>
      <c r="B56">
        <v>1116908.5</v>
      </c>
      <c r="C56">
        <v>1116908.5</v>
      </c>
      <c r="D56">
        <v>1139718.5</v>
      </c>
    </row>
    <row r="57" spans="1:4" customFormat="1" hidden="1" x14ac:dyDescent="0.2">
      <c r="A57" s="1">
        <v>42528</v>
      </c>
      <c r="B57">
        <v>1117595</v>
      </c>
      <c r="C57">
        <v>1117595</v>
      </c>
      <c r="D57">
        <v>1143737</v>
      </c>
    </row>
    <row r="58" spans="1:4" customFormat="1" hidden="1" x14ac:dyDescent="0.2">
      <c r="A58" s="1">
        <v>42529</v>
      </c>
      <c r="B58">
        <v>1114608</v>
      </c>
      <c r="C58">
        <v>1114608</v>
      </c>
      <c r="D58">
        <v>1142823</v>
      </c>
    </row>
    <row r="59" spans="1:4" customFormat="1" hidden="1" x14ac:dyDescent="0.2">
      <c r="A59" s="1">
        <v>42534</v>
      </c>
      <c r="B59">
        <v>1107999.5</v>
      </c>
      <c r="C59">
        <v>1107999.5</v>
      </c>
      <c r="D59">
        <v>1107686</v>
      </c>
    </row>
    <row r="60" spans="1:4" customFormat="1" hidden="1" x14ac:dyDescent="0.2">
      <c r="A60" s="1">
        <v>42535</v>
      </c>
      <c r="B60">
        <v>1110397.5</v>
      </c>
      <c r="C60">
        <v>1110397.5</v>
      </c>
      <c r="D60">
        <v>1111021</v>
      </c>
    </row>
    <row r="61" spans="1:4" customFormat="1" hidden="1" x14ac:dyDescent="0.2">
      <c r="A61" s="1">
        <v>42536</v>
      </c>
      <c r="B61">
        <v>1116906</v>
      </c>
      <c r="C61">
        <v>1116906</v>
      </c>
      <c r="D61">
        <v>1119209</v>
      </c>
    </row>
    <row r="62" spans="1:4" customFormat="1" hidden="1" x14ac:dyDescent="0.2">
      <c r="A62" s="1">
        <v>42537</v>
      </c>
      <c r="B62">
        <v>1117321.5</v>
      </c>
      <c r="C62">
        <v>1117321.5</v>
      </c>
      <c r="D62">
        <v>1119102</v>
      </c>
    </row>
    <row r="63" spans="1:4" customFormat="1" hidden="1" x14ac:dyDescent="0.2">
      <c r="A63" s="1">
        <v>42538</v>
      </c>
      <c r="B63">
        <v>1121452.5</v>
      </c>
      <c r="C63">
        <v>1121452.5</v>
      </c>
      <c r="D63">
        <v>1123137.5</v>
      </c>
    </row>
    <row r="64" spans="1:4" customFormat="1" hidden="1" x14ac:dyDescent="0.2">
      <c r="A64" s="1">
        <v>42541</v>
      </c>
      <c r="B64">
        <v>1122306.5</v>
      </c>
      <c r="C64">
        <v>1122306.5</v>
      </c>
      <c r="D64">
        <v>1123284</v>
      </c>
    </row>
    <row r="65" spans="1:4" customFormat="1" hidden="1" x14ac:dyDescent="0.2">
      <c r="A65" s="1">
        <v>42542</v>
      </c>
      <c r="B65">
        <v>1122885.5</v>
      </c>
      <c r="C65">
        <v>1122885.5</v>
      </c>
      <c r="D65">
        <v>1124236.5</v>
      </c>
    </row>
    <row r="66" spans="1:4" customFormat="1" hidden="1" x14ac:dyDescent="0.2">
      <c r="A66" s="1">
        <v>42543</v>
      </c>
      <c r="B66">
        <v>1122806</v>
      </c>
      <c r="C66">
        <v>1122806</v>
      </c>
      <c r="D66">
        <v>1123530.5</v>
      </c>
    </row>
    <row r="67" spans="1:4" customFormat="1" hidden="1" x14ac:dyDescent="0.2">
      <c r="A67" s="1">
        <v>42544</v>
      </c>
      <c r="B67">
        <v>1119863.5</v>
      </c>
      <c r="C67">
        <v>1119863.5</v>
      </c>
      <c r="D67">
        <v>1121441</v>
      </c>
    </row>
    <row r="68" spans="1:4" customFormat="1" hidden="1" x14ac:dyDescent="0.2">
      <c r="A68" s="1">
        <v>42545</v>
      </c>
      <c r="B68">
        <v>1117097</v>
      </c>
      <c r="C68">
        <v>1117097</v>
      </c>
      <c r="D68">
        <v>1118661.5</v>
      </c>
    </row>
    <row r="69" spans="1:4" customFormat="1" hidden="1" x14ac:dyDescent="0.2">
      <c r="A69" s="1">
        <v>42548</v>
      </c>
      <c r="B69">
        <v>1121712</v>
      </c>
      <c r="C69">
        <v>1121712</v>
      </c>
      <c r="D69">
        <v>1122764</v>
      </c>
    </row>
    <row r="70" spans="1:4" customFormat="1" hidden="1" x14ac:dyDescent="0.2">
      <c r="A70" s="1">
        <v>42549</v>
      </c>
      <c r="B70">
        <v>1125472</v>
      </c>
      <c r="C70">
        <v>1125472</v>
      </c>
      <c r="D70">
        <v>1125296.5</v>
      </c>
    </row>
    <row r="71" spans="1:4" customFormat="1" hidden="1" x14ac:dyDescent="0.2">
      <c r="A71" s="1">
        <v>42550</v>
      </c>
      <c r="B71">
        <v>1122530</v>
      </c>
      <c r="C71">
        <v>1122530</v>
      </c>
      <c r="D71">
        <v>1122354.5</v>
      </c>
    </row>
    <row r="72" spans="1:4" customFormat="1" hidden="1" x14ac:dyDescent="0.2">
      <c r="A72" s="1">
        <v>42551</v>
      </c>
      <c r="B72">
        <v>1115977</v>
      </c>
      <c r="C72">
        <v>1115977</v>
      </c>
      <c r="D72">
        <v>1115801.5</v>
      </c>
    </row>
    <row r="73" spans="1:4" customFormat="1" hidden="1" x14ac:dyDescent="0.2">
      <c r="A73" s="1">
        <v>42552</v>
      </c>
      <c r="B73">
        <v>1112581</v>
      </c>
      <c r="C73">
        <v>1112581</v>
      </c>
      <c r="D73">
        <v>1112405.5</v>
      </c>
    </row>
    <row r="74" spans="1:4" customFormat="1" hidden="1" x14ac:dyDescent="0.2">
      <c r="A74" s="1">
        <v>42555</v>
      </c>
      <c r="B74">
        <v>1100977.5</v>
      </c>
      <c r="C74">
        <v>1100977.5</v>
      </c>
      <c r="D74">
        <v>1101422</v>
      </c>
    </row>
    <row r="75" spans="1:4" customFormat="1" hidden="1" x14ac:dyDescent="0.2">
      <c r="A75" s="1">
        <v>42556</v>
      </c>
      <c r="B75">
        <v>1099960.5</v>
      </c>
      <c r="C75">
        <v>1099960.5</v>
      </c>
      <c r="D75">
        <v>1099241.5</v>
      </c>
    </row>
    <row r="76" spans="1:4" customFormat="1" hidden="1" x14ac:dyDescent="0.2">
      <c r="A76" s="1">
        <v>42557</v>
      </c>
      <c r="B76">
        <v>1099240</v>
      </c>
      <c r="C76">
        <v>1099240</v>
      </c>
      <c r="D76">
        <v>1099118</v>
      </c>
    </row>
    <row r="77" spans="1:4" customFormat="1" hidden="1" x14ac:dyDescent="0.2">
      <c r="A77" s="1">
        <v>42558</v>
      </c>
      <c r="B77">
        <v>1100965</v>
      </c>
      <c r="C77">
        <v>1100965</v>
      </c>
      <c r="D77">
        <v>1100866</v>
      </c>
    </row>
    <row r="78" spans="1:4" customFormat="1" hidden="1" x14ac:dyDescent="0.2">
      <c r="A78" s="1">
        <v>42559</v>
      </c>
      <c r="B78">
        <v>1101908.5</v>
      </c>
      <c r="C78">
        <v>1101908.5</v>
      </c>
      <c r="D78">
        <v>1102702</v>
      </c>
    </row>
    <row r="79" spans="1:4" customFormat="1" hidden="1" x14ac:dyDescent="0.2">
      <c r="A79" s="1">
        <v>42562</v>
      </c>
      <c r="B79">
        <v>1099056.5</v>
      </c>
      <c r="C79">
        <v>1099056.5</v>
      </c>
      <c r="D79">
        <v>1098162.5</v>
      </c>
    </row>
    <row r="80" spans="1:4" customFormat="1" hidden="1" x14ac:dyDescent="0.2">
      <c r="A80" s="1">
        <v>42563</v>
      </c>
      <c r="B80">
        <v>1101290.5</v>
      </c>
      <c r="C80">
        <v>1101290.5</v>
      </c>
      <c r="D80">
        <v>1096184</v>
      </c>
    </row>
    <row r="81" spans="1:4" customFormat="1" hidden="1" x14ac:dyDescent="0.2">
      <c r="A81" s="1">
        <v>42564</v>
      </c>
      <c r="B81">
        <v>1101072.5</v>
      </c>
      <c r="C81">
        <v>1101072.5</v>
      </c>
      <c r="D81">
        <v>1096976.5</v>
      </c>
    </row>
    <row r="82" spans="1:4" customFormat="1" hidden="1" x14ac:dyDescent="0.2">
      <c r="A82" s="1">
        <v>42565</v>
      </c>
      <c r="B82">
        <v>1099346.5</v>
      </c>
      <c r="C82">
        <v>1099346.5</v>
      </c>
      <c r="D82">
        <v>1094572</v>
      </c>
    </row>
    <row r="83" spans="1:4" customFormat="1" hidden="1" x14ac:dyDescent="0.2">
      <c r="A83" s="1">
        <v>42566</v>
      </c>
      <c r="B83">
        <v>1098239.5</v>
      </c>
      <c r="C83">
        <v>1098239.5</v>
      </c>
      <c r="D83">
        <v>1095040.5</v>
      </c>
    </row>
    <row r="84" spans="1:4" customFormat="1" hidden="1" x14ac:dyDescent="0.2">
      <c r="A84" s="1">
        <v>42569</v>
      </c>
      <c r="B84">
        <v>1099842</v>
      </c>
      <c r="C84">
        <v>1099842</v>
      </c>
      <c r="D84">
        <v>1094645</v>
      </c>
    </row>
    <row r="85" spans="1:4" customFormat="1" hidden="1" x14ac:dyDescent="0.2">
      <c r="A85" s="1">
        <v>42570</v>
      </c>
      <c r="B85">
        <v>1098211</v>
      </c>
      <c r="C85">
        <v>1098211</v>
      </c>
      <c r="D85">
        <v>1094085.5</v>
      </c>
    </row>
    <row r="86" spans="1:4" customFormat="1" hidden="1" x14ac:dyDescent="0.2">
      <c r="A86" s="1">
        <v>42571</v>
      </c>
      <c r="B86">
        <v>1097993.5</v>
      </c>
      <c r="C86">
        <v>1097993.5</v>
      </c>
      <c r="D86">
        <v>1092363</v>
      </c>
    </row>
    <row r="87" spans="1:4" customFormat="1" hidden="1" x14ac:dyDescent="0.2">
      <c r="A87" s="1">
        <v>42572</v>
      </c>
      <c r="B87">
        <v>1099283</v>
      </c>
      <c r="C87">
        <v>1099283</v>
      </c>
      <c r="D87">
        <v>1093652.5</v>
      </c>
    </row>
    <row r="88" spans="1:4" customFormat="1" hidden="1" x14ac:dyDescent="0.2">
      <c r="A88" s="1">
        <v>42573</v>
      </c>
      <c r="B88">
        <v>1097857.5</v>
      </c>
      <c r="C88">
        <v>1097857.5</v>
      </c>
      <c r="D88">
        <v>1092227</v>
      </c>
    </row>
    <row r="89" spans="1:4" customFormat="1" hidden="1" x14ac:dyDescent="0.2">
      <c r="A89" s="1">
        <v>42576</v>
      </c>
      <c r="B89">
        <v>1101149</v>
      </c>
      <c r="C89">
        <v>1101149</v>
      </c>
      <c r="D89">
        <v>1095518.5</v>
      </c>
    </row>
    <row r="90" spans="1:4" customFormat="1" hidden="1" x14ac:dyDescent="0.2">
      <c r="A90" s="1">
        <v>42577</v>
      </c>
      <c r="B90">
        <v>1102617.5</v>
      </c>
      <c r="C90">
        <v>1102617.5</v>
      </c>
      <c r="D90">
        <v>1096987</v>
      </c>
    </row>
    <row r="91" spans="1:4" customFormat="1" hidden="1" x14ac:dyDescent="0.2">
      <c r="A91" s="1">
        <v>42578</v>
      </c>
      <c r="B91">
        <v>1096339.5</v>
      </c>
      <c r="C91">
        <v>1096339.5</v>
      </c>
      <c r="D91">
        <v>1090709</v>
      </c>
    </row>
    <row r="92" spans="1:4" customFormat="1" hidden="1" x14ac:dyDescent="0.2">
      <c r="A92" s="1">
        <v>42579</v>
      </c>
      <c r="B92">
        <v>1101689.5</v>
      </c>
      <c r="C92">
        <v>1101689.5</v>
      </c>
      <c r="D92">
        <v>1096059</v>
      </c>
    </row>
    <row r="93" spans="1:4" customFormat="1" hidden="1" x14ac:dyDescent="0.2">
      <c r="A93" s="1">
        <v>42580</v>
      </c>
      <c r="B93">
        <v>1101722.5</v>
      </c>
      <c r="C93">
        <v>1101722.5</v>
      </c>
      <c r="D93">
        <v>1096092</v>
      </c>
    </row>
    <row r="94" spans="1:4" customFormat="1" hidden="1" x14ac:dyDescent="0.2">
      <c r="A94" s="1">
        <v>42583</v>
      </c>
      <c r="B94">
        <v>1104387</v>
      </c>
      <c r="C94">
        <v>1104387</v>
      </c>
      <c r="D94">
        <v>1098756.5</v>
      </c>
    </row>
    <row r="95" spans="1:4" customFormat="1" hidden="1" x14ac:dyDescent="0.2">
      <c r="A95" s="1">
        <v>42584</v>
      </c>
      <c r="B95">
        <v>1105501.5</v>
      </c>
      <c r="C95">
        <v>1105501.5</v>
      </c>
      <c r="D95">
        <v>1099871</v>
      </c>
    </row>
    <row r="96" spans="1:4" customFormat="1" hidden="1" x14ac:dyDescent="0.2">
      <c r="A96" s="1">
        <v>42585</v>
      </c>
      <c r="B96">
        <v>1109107.5</v>
      </c>
      <c r="C96">
        <v>1109107.5</v>
      </c>
      <c r="D96">
        <v>1103477</v>
      </c>
    </row>
    <row r="97" spans="1:4" customFormat="1" hidden="1" x14ac:dyDescent="0.2">
      <c r="A97" s="1">
        <v>42586</v>
      </c>
      <c r="B97">
        <v>1112466.5</v>
      </c>
      <c r="C97">
        <v>1112466.5</v>
      </c>
      <c r="D97">
        <v>1106836</v>
      </c>
    </row>
    <row r="98" spans="1:4" customFormat="1" hidden="1" x14ac:dyDescent="0.2">
      <c r="A98" s="1">
        <v>42587</v>
      </c>
      <c r="B98">
        <v>1114697</v>
      </c>
      <c r="C98">
        <v>1114697</v>
      </c>
      <c r="D98">
        <v>1109066.5</v>
      </c>
    </row>
    <row r="99" spans="1:4" customFormat="1" hidden="1" x14ac:dyDescent="0.2">
      <c r="A99" s="1">
        <v>42590</v>
      </c>
      <c r="B99">
        <v>1117410.5</v>
      </c>
      <c r="C99">
        <v>1117410.5</v>
      </c>
      <c r="D99">
        <v>1111780</v>
      </c>
    </row>
    <row r="100" spans="1:4" customFormat="1" hidden="1" x14ac:dyDescent="0.2">
      <c r="A100" s="1">
        <v>42591</v>
      </c>
      <c r="B100">
        <v>1118991.5</v>
      </c>
      <c r="C100">
        <v>1118991.5</v>
      </c>
      <c r="D100">
        <v>1113361</v>
      </c>
    </row>
    <row r="101" spans="1:4" customFormat="1" hidden="1" x14ac:dyDescent="0.2">
      <c r="A101" s="1">
        <v>42592</v>
      </c>
      <c r="B101">
        <v>1118973.5</v>
      </c>
      <c r="C101">
        <v>1118973.5</v>
      </c>
      <c r="D101">
        <v>1113343</v>
      </c>
    </row>
    <row r="102" spans="1:4" customFormat="1" hidden="1" x14ac:dyDescent="0.2">
      <c r="A102" s="1">
        <v>42593</v>
      </c>
      <c r="B102">
        <v>1120257.5</v>
      </c>
      <c r="C102">
        <v>1120257.5</v>
      </c>
      <c r="D102">
        <v>1114627</v>
      </c>
    </row>
    <row r="103" spans="1:4" customFormat="1" hidden="1" x14ac:dyDescent="0.2">
      <c r="A103" s="1">
        <v>42594</v>
      </c>
      <c r="B103">
        <v>1120071</v>
      </c>
      <c r="C103">
        <v>1120071</v>
      </c>
      <c r="D103">
        <v>1114440.5</v>
      </c>
    </row>
    <row r="104" spans="1:4" customFormat="1" hidden="1" x14ac:dyDescent="0.2">
      <c r="A104" s="1">
        <v>42597</v>
      </c>
      <c r="B104">
        <v>1108173.5</v>
      </c>
      <c r="C104">
        <v>1108173.5</v>
      </c>
      <c r="D104">
        <v>1102543</v>
      </c>
    </row>
    <row r="105" spans="1:4" customFormat="1" hidden="1" x14ac:dyDescent="0.2">
      <c r="A105" s="1">
        <v>42598</v>
      </c>
      <c r="B105">
        <v>1112033</v>
      </c>
      <c r="C105">
        <v>1112033</v>
      </c>
      <c r="D105">
        <v>1106402.5</v>
      </c>
    </row>
    <row r="106" spans="1:4" customFormat="1" hidden="1" x14ac:dyDescent="0.2">
      <c r="A106" s="1">
        <v>42599</v>
      </c>
      <c r="B106">
        <v>1110852</v>
      </c>
      <c r="C106">
        <v>1110852</v>
      </c>
      <c r="D106">
        <v>1105221.5</v>
      </c>
    </row>
    <row r="107" spans="1:4" customFormat="1" hidden="1" x14ac:dyDescent="0.2">
      <c r="A107" s="1">
        <v>42600</v>
      </c>
      <c r="B107">
        <v>1109941.5</v>
      </c>
      <c r="C107">
        <v>1109941.5</v>
      </c>
      <c r="D107">
        <v>1104311</v>
      </c>
    </row>
    <row r="108" spans="1:4" customFormat="1" hidden="1" x14ac:dyDescent="0.2">
      <c r="A108" s="1">
        <v>42601</v>
      </c>
      <c r="B108">
        <v>1109961.5</v>
      </c>
      <c r="C108">
        <v>1109961.5</v>
      </c>
      <c r="D108">
        <v>1104331</v>
      </c>
    </row>
    <row r="109" spans="1:4" customFormat="1" hidden="1" x14ac:dyDescent="0.2">
      <c r="A109" s="1">
        <v>42604</v>
      </c>
      <c r="B109">
        <v>1110655.5</v>
      </c>
      <c r="C109">
        <v>1110655.5</v>
      </c>
      <c r="D109">
        <v>1105025</v>
      </c>
    </row>
    <row r="110" spans="1:4" customFormat="1" hidden="1" x14ac:dyDescent="0.2">
      <c r="A110" s="1">
        <v>42605</v>
      </c>
      <c r="B110">
        <v>1112380.5</v>
      </c>
      <c r="C110">
        <v>1112380.5</v>
      </c>
      <c r="D110">
        <v>1106750</v>
      </c>
    </row>
    <row r="111" spans="1:4" customFormat="1" hidden="1" x14ac:dyDescent="0.2">
      <c r="A111" s="1">
        <v>42606</v>
      </c>
      <c r="B111">
        <v>1112456</v>
      </c>
      <c r="C111">
        <v>1112456</v>
      </c>
      <c r="D111">
        <v>1106825.5</v>
      </c>
    </row>
    <row r="112" spans="1:4" customFormat="1" hidden="1" x14ac:dyDescent="0.2">
      <c r="A112" s="1">
        <v>42607</v>
      </c>
      <c r="B112">
        <v>1111395</v>
      </c>
      <c r="C112">
        <v>1111395</v>
      </c>
      <c r="D112">
        <v>1105764.5</v>
      </c>
    </row>
    <row r="113" spans="1:4" customFormat="1" hidden="1" x14ac:dyDescent="0.2">
      <c r="A113" s="1">
        <v>42608</v>
      </c>
      <c r="B113">
        <v>1110767</v>
      </c>
      <c r="C113">
        <v>1110767</v>
      </c>
      <c r="D113">
        <v>1107439</v>
      </c>
    </row>
    <row r="114" spans="1:4" customFormat="1" hidden="1" x14ac:dyDescent="0.2">
      <c r="A114" s="1">
        <v>42611</v>
      </c>
      <c r="B114">
        <v>1110613</v>
      </c>
      <c r="C114">
        <v>1110613</v>
      </c>
      <c r="D114">
        <v>1108448</v>
      </c>
    </row>
    <row r="115" spans="1:4" customFormat="1" hidden="1" x14ac:dyDescent="0.2">
      <c r="A115" s="1">
        <v>42612</v>
      </c>
      <c r="B115">
        <v>1110245.5</v>
      </c>
      <c r="C115">
        <v>1110245.5</v>
      </c>
      <c r="D115">
        <v>1106736</v>
      </c>
    </row>
    <row r="116" spans="1:4" customFormat="1" hidden="1" x14ac:dyDescent="0.2">
      <c r="A116" s="1">
        <v>42613</v>
      </c>
      <c r="B116">
        <v>1109702</v>
      </c>
      <c r="C116">
        <v>1109702</v>
      </c>
      <c r="D116">
        <v>1104520</v>
      </c>
    </row>
    <row r="117" spans="1:4" customFormat="1" hidden="1" x14ac:dyDescent="0.2">
      <c r="A117" s="1">
        <v>42614</v>
      </c>
      <c r="B117">
        <v>1108736</v>
      </c>
      <c r="C117">
        <v>1108736</v>
      </c>
      <c r="D117">
        <v>1104443.5</v>
      </c>
    </row>
    <row r="118" spans="1:4" customFormat="1" hidden="1" x14ac:dyDescent="0.2">
      <c r="A118" s="1">
        <v>42615</v>
      </c>
      <c r="B118">
        <v>1109295.5</v>
      </c>
      <c r="C118">
        <v>1109295.5</v>
      </c>
      <c r="D118">
        <v>1105408</v>
      </c>
    </row>
    <row r="119" spans="1:4" customFormat="1" hidden="1" x14ac:dyDescent="0.2">
      <c r="A119" s="1">
        <v>42618</v>
      </c>
      <c r="B119">
        <v>1110039.5</v>
      </c>
      <c r="C119">
        <v>1110039.5</v>
      </c>
      <c r="D119">
        <v>1107094</v>
      </c>
    </row>
    <row r="120" spans="1:4" customFormat="1" hidden="1" x14ac:dyDescent="0.2">
      <c r="A120" s="1">
        <v>42619</v>
      </c>
      <c r="B120">
        <v>1110598.5</v>
      </c>
      <c r="C120">
        <v>1110598.5</v>
      </c>
      <c r="D120">
        <v>1108053.5</v>
      </c>
    </row>
    <row r="121" spans="1:4" customFormat="1" hidden="1" x14ac:dyDescent="0.2">
      <c r="A121" s="1">
        <v>42620</v>
      </c>
      <c r="B121">
        <v>1110564.5</v>
      </c>
      <c r="C121">
        <v>1110564.5</v>
      </c>
      <c r="D121">
        <v>1110928</v>
      </c>
    </row>
    <row r="122" spans="1:4" customFormat="1" hidden="1" x14ac:dyDescent="0.2">
      <c r="A122" s="1">
        <v>42621</v>
      </c>
      <c r="B122">
        <v>1111162</v>
      </c>
      <c r="C122">
        <v>1111162</v>
      </c>
      <c r="D122">
        <v>1114623</v>
      </c>
    </row>
    <row r="123" spans="1:4" customFormat="1" hidden="1" x14ac:dyDescent="0.2">
      <c r="A123" s="1">
        <v>42622</v>
      </c>
      <c r="B123">
        <v>1113990</v>
      </c>
      <c r="C123">
        <v>1113990</v>
      </c>
      <c r="D123">
        <v>1123134.5</v>
      </c>
    </row>
    <row r="124" spans="1:4" customFormat="1" hidden="1" x14ac:dyDescent="0.2">
      <c r="A124" s="1">
        <v>42625</v>
      </c>
      <c r="B124">
        <v>1111884</v>
      </c>
      <c r="C124">
        <v>1111884</v>
      </c>
      <c r="D124">
        <v>1116087.5</v>
      </c>
    </row>
    <row r="125" spans="1:4" customFormat="1" hidden="1" x14ac:dyDescent="0.2">
      <c r="A125" s="1">
        <v>42626</v>
      </c>
      <c r="B125">
        <v>1116418.5</v>
      </c>
      <c r="C125">
        <v>1116418.5</v>
      </c>
      <c r="D125">
        <v>1120622</v>
      </c>
    </row>
    <row r="126" spans="1:4" customFormat="1" hidden="1" x14ac:dyDescent="0.2">
      <c r="A126" s="1">
        <v>42627</v>
      </c>
      <c r="B126">
        <v>1115856.5</v>
      </c>
      <c r="C126">
        <v>1115856.5</v>
      </c>
      <c r="D126">
        <v>1120060</v>
      </c>
    </row>
    <row r="127" spans="1:4" customFormat="1" hidden="1" x14ac:dyDescent="0.2">
      <c r="A127" s="1">
        <v>42632</v>
      </c>
      <c r="B127">
        <v>1119261.5</v>
      </c>
      <c r="C127">
        <v>1119261.5</v>
      </c>
      <c r="D127">
        <v>1123465</v>
      </c>
    </row>
    <row r="128" spans="1:4" customFormat="1" hidden="1" x14ac:dyDescent="0.2">
      <c r="A128" s="1">
        <v>42633</v>
      </c>
      <c r="B128">
        <v>1120784.5</v>
      </c>
      <c r="C128">
        <v>1120784.5</v>
      </c>
      <c r="D128">
        <v>1124988</v>
      </c>
    </row>
    <row r="129" spans="1:4" customFormat="1" hidden="1" x14ac:dyDescent="0.2">
      <c r="A129" s="1">
        <v>42634</v>
      </c>
      <c r="B129">
        <v>1120704.5</v>
      </c>
      <c r="C129">
        <v>1120704.5</v>
      </c>
      <c r="D129">
        <v>1124908</v>
      </c>
    </row>
    <row r="130" spans="1:4" customFormat="1" hidden="1" x14ac:dyDescent="0.2">
      <c r="A130" s="1">
        <v>42635</v>
      </c>
      <c r="B130">
        <v>1125481</v>
      </c>
      <c r="C130">
        <v>1125481</v>
      </c>
      <c r="D130">
        <v>1129684.5</v>
      </c>
    </row>
    <row r="131" spans="1:4" customFormat="1" hidden="1" x14ac:dyDescent="0.2">
      <c r="A131" s="1">
        <v>42636</v>
      </c>
      <c r="B131">
        <v>1127210.5</v>
      </c>
      <c r="C131">
        <v>1127210.5</v>
      </c>
      <c r="D131">
        <v>1131414</v>
      </c>
    </row>
    <row r="132" spans="1:4" customFormat="1" hidden="1" x14ac:dyDescent="0.2">
      <c r="A132" s="1">
        <v>42639</v>
      </c>
      <c r="B132">
        <v>1124024.5</v>
      </c>
      <c r="C132">
        <v>1124024.5</v>
      </c>
      <c r="D132">
        <v>1128228</v>
      </c>
    </row>
    <row r="133" spans="1:4" customFormat="1" hidden="1" x14ac:dyDescent="0.2">
      <c r="A133" s="1">
        <v>42640</v>
      </c>
      <c r="B133">
        <v>1125344.5</v>
      </c>
      <c r="C133">
        <v>1125344.5</v>
      </c>
      <c r="D133">
        <v>1129548</v>
      </c>
    </row>
    <row r="134" spans="1:4" customFormat="1" hidden="1" x14ac:dyDescent="0.2">
      <c r="A134" s="1">
        <v>42641</v>
      </c>
      <c r="B134">
        <v>1125378.5</v>
      </c>
      <c r="C134">
        <v>1125378.5</v>
      </c>
      <c r="D134">
        <v>1129582</v>
      </c>
    </row>
    <row r="135" spans="1:4" customFormat="1" hidden="1" x14ac:dyDescent="0.2">
      <c r="A135" s="1">
        <v>42642</v>
      </c>
      <c r="B135">
        <v>1128581</v>
      </c>
      <c r="C135">
        <v>1128581</v>
      </c>
      <c r="D135">
        <v>1132784.5</v>
      </c>
    </row>
    <row r="136" spans="1:4" customFormat="1" hidden="1" x14ac:dyDescent="0.2">
      <c r="A136" s="1">
        <v>42643</v>
      </c>
      <c r="B136">
        <v>1124747.5</v>
      </c>
      <c r="C136">
        <v>1124747.5</v>
      </c>
      <c r="D136">
        <v>1128951</v>
      </c>
    </row>
    <row r="137" spans="1:4" customFormat="1" hidden="1" x14ac:dyDescent="0.2">
      <c r="A137" s="1">
        <v>42653</v>
      </c>
      <c r="B137">
        <v>1130795.5</v>
      </c>
      <c r="C137">
        <v>1130795.5</v>
      </c>
      <c r="D137">
        <v>1134999</v>
      </c>
    </row>
    <row r="138" spans="1:4" customFormat="1" hidden="1" x14ac:dyDescent="0.2">
      <c r="A138" s="1">
        <v>42654</v>
      </c>
      <c r="B138">
        <v>1133838.5</v>
      </c>
      <c r="C138">
        <v>1133838.5</v>
      </c>
      <c r="D138">
        <v>1138042</v>
      </c>
    </row>
    <row r="139" spans="1:4" customFormat="1" hidden="1" x14ac:dyDescent="0.2">
      <c r="A139" s="1">
        <v>42655</v>
      </c>
      <c r="B139">
        <v>1135281.5</v>
      </c>
      <c r="C139">
        <v>1135281.5</v>
      </c>
      <c r="D139">
        <v>1139485</v>
      </c>
    </row>
    <row r="140" spans="1:4" customFormat="1" hidden="1" x14ac:dyDescent="0.2">
      <c r="A140" s="1">
        <v>42656</v>
      </c>
      <c r="B140">
        <v>1137286.5</v>
      </c>
      <c r="C140">
        <v>1137286.5</v>
      </c>
      <c r="D140">
        <v>1141490</v>
      </c>
    </row>
    <row r="141" spans="1:4" customFormat="1" hidden="1" x14ac:dyDescent="0.2">
      <c r="A141" s="1">
        <v>42657</v>
      </c>
      <c r="B141">
        <v>1140086</v>
      </c>
      <c r="C141">
        <v>1140086</v>
      </c>
      <c r="D141">
        <v>1144289.5</v>
      </c>
    </row>
    <row r="142" spans="1:4" customFormat="1" hidden="1" x14ac:dyDescent="0.2">
      <c r="A142" s="1">
        <v>42660</v>
      </c>
      <c r="B142">
        <v>1139638.5</v>
      </c>
      <c r="C142">
        <v>1139638.5</v>
      </c>
      <c r="D142">
        <v>1143842</v>
      </c>
    </row>
    <row r="143" spans="1:4" customFormat="1" hidden="1" x14ac:dyDescent="0.2">
      <c r="A143" s="1">
        <v>42661</v>
      </c>
      <c r="B143">
        <v>1138939.5</v>
      </c>
      <c r="C143">
        <v>1138939.5</v>
      </c>
      <c r="D143">
        <v>1143143</v>
      </c>
    </row>
    <row r="144" spans="1:4" customFormat="1" hidden="1" x14ac:dyDescent="0.2">
      <c r="A144" s="1">
        <v>42662</v>
      </c>
      <c r="B144">
        <v>1137901</v>
      </c>
      <c r="C144">
        <v>1137901</v>
      </c>
      <c r="D144">
        <v>1142104.5</v>
      </c>
    </row>
    <row r="145" spans="1:4" customFormat="1" hidden="1" x14ac:dyDescent="0.2">
      <c r="A145" s="1">
        <v>42663</v>
      </c>
      <c r="B145">
        <v>1140708.5</v>
      </c>
      <c r="C145">
        <v>1140708.5</v>
      </c>
      <c r="D145">
        <v>1144912</v>
      </c>
    </row>
    <row r="146" spans="1:4" customFormat="1" hidden="1" x14ac:dyDescent="0.2">
      <c r="A146" s="1">
        <v>42664</v>
      </c>
      <c r="B146">
        <v>1140836.5</v>
      </c>
      <c r="C146">
        <v>1140836.5</v>
      </c>
      <c r="D146">
        <v>1145040</v>
      </c>
    </row>
    <row r="147" spans="1:4" customFormat="1" hidden="1" x14ac:dyDescent="0.2">
      <c r="A147" s="1">
        <v>42667</v>
      </c>
      <c r="B147">
        <v>1139989</v>
      </c>
      <c r="C147">
        <v>1139989</v>
      </c>
      <c r="D147">
        <v>1144192.5</v>
      </c>
    </row>
    <row r="148" spans="1:4" customFormat="1" hidden="1" x14ac:dyDescent="0.2">
      <c r="A148" s="1">
        <v>42668</v>
      </c>
      <c r="B148">
        <v>1140565.5</v>
      </c>
      <c r="C148">
        <v>1140565.5</v>
      </c>
      <c r="D148">
        <v>1144769</v>
      </c>
    </row>
    <row r="149" spans="1:4" customFormat="1" hidden="1" x14ac:dyDescent="0.2">
      <c r="A149" s="1">
        <v>42669</v>
      </c>
      <c r="B149">
        <v>1139472.5</v>
      </c>
      <c r="C149">
        <v>1139472.5</v>
      </c>
      <c r="D149">
        <v>1143676</v>
      </c>
    </row>
    <row r="150" spans="1:4" customFormat="1" hidden="1" x14ac:dyDescent="0.2">
      <c r="A150" s="1">
        <v>42670</v>
      </c>
      <c r="B150">
        <v>1142003.5</v>
      </c>
      <c r="C150">
        <v>1142003.5</v>
      </c>
      <c r="D150">
        <v>1146207</v>
      </c>
    </row>
    <row r="151" spans="1:4" customFormat="1" hidden="1" x14ac:dyDescent="0.2">
      <c r="A151" s="1">
        <v>42671</v>
      </c>
      <c r="B151">
        <v>1141757.5</v>
      </c>
      <c r="C151">
        <v>1141757.5</v>
      </c>
      <c r="D151">
        <v>1145961</v>
      </c>
    </row>
    <row r="152" spans="1:4" customFormat="1" hidden="1" x14ac:dyDescent="0.2">
      <c r="A152" s="1">
        <v>42674</v>
      </c>
      <c r="B152">
        <v>1144231.5</v>
      </c>
      <c r="C152">
        <v>1144231.5</v>
      </c>
      <c r="D152">
        <v>1148435</v>
      </c>
    </row>
    <row r="153" spans="1:4" customFormat="1" hidden="1" x14ac:dyDescent="0.2">
      <c r="A153" s="1">
        <v>42675</v>
      </c>
      <c r="B153">
        <v>1144175.5</v>
      </c>
      <c r="C153">
        <v>1144175.5</v>
      </c>
      <c r="D153">
        <v>1148379</v>
      </c>
    </row>
    <row r="154" spans="1:4" customFormat="1" hidden="1" x14ac:dyDescent="0.2">
      <c r="A154" s="1">
        <v>42676</v>
      </c>
      <c r="B154">
        <v>1135663</v>
      </c>
      <c r="C154">
        <v>1135663</v>
      </c>
      <c r="D154">
        <v>1139866.5</v>
      </c>
    </row>
    <row r="155" spans="1:4" customFormat="1" hidden="1" x14ac:dyDescent="0.2">
      <c r="A155" s="1">
        <v>42677</v>
      </c>
      <c r="B155">
        <v>1132392</v>
      </c>
      <c r="C155">
        <v>1132392</v>
      </c>
      <c r="D155">
        <v>1136595.5</v>
      </c>
    </row>
    <row r="156" spans="1:4" customFormat="1" hidden="1" x14ac:dyDescent="0.2">
      <c r="A156" s="1">
        <v>42678</v>
      </c>
      <c r="B156">
        <v>1133527</v>
      </c>
      <c r="C156">
        <v>1133527</v>
      </c>
      <c r="D156">
        <v>1137765.5</v>
      </c>
    </row>
    <row r="157" spans="1:4" customFormat="1" hidden="1" x14ac:dyDescent="0.2">
      <c r="A157" s="1">
        <v>42681</v>
      </c>
      <c r="B157">
        <v>1131399.5</v>
      </c>
      <c r="C157">
        <v>1131399.5</v>
      </c>
      <c r="D157">
        <v>1135638</v>
      </c>
    </row>
    <row r="158" spans="1:4" customFormat="1" hidden="1" x14ac:dyDescent="0.2">
      <c r="A158" s="1">
        <v>42682</v>
      </c>
      <c r="B158">
        <v>1135094</v>
      </c>
      <c r="C158">
        <v>1135094</v>
      </c>
      <c r="D158">
        <v>1139332.5</v>
      </c>
    </row>
    <row r="159" spans="1:4" customFormat="1" hidden="1" x14ac:dyDescent="0.2">
      <c r="A159" s="1">
        <v>42683</v>
      </c>
      <c r="B159">
        <v>1125982.5</v>
      </c>
      <c r="C159">
        <v>1125982.5</v>
      </c>
      <c r="D159">
        <v>1130221</v>
      </c>
    </row>
    <row r="160" spans="1:4" customFormat="1" hidden="1" x14ac:dyDescent="0.2">
      <c r="A160" s="1">
        <v>42684</v>
      </c>
      <c r="B160">
        <v>1150527</v>
      </c>
      <c r="C160">
        <v>1150527</v>
      </c>
      <c r="D160">
        <v>1154765.5</v>
      </c>
    </row>
    <row r="161" spans="1:4" customFormat="1" hidden="1" x14ac:dyDescent="0.2">
      <c r="A161" s="1">
        <v>42685</v>
      </c>
      <c r="B161">
        <v>1160869.5</v>
      </c>
      <c r="C161">
        <v>1160869.5</v>
      </c>
      <c r="D161">
        <v>1165108</v>
      </c>
    </row>
    <row r="162" spans="1:4" customFormat="1" hidden="1" x14ac:dyDescent="0.2">
      <c r="A162" s="1">
        <v>42688</v>
      </c>
      <c r="B162">
        <v>1161834.5</v>
      </c>
      <c r="C162">
        <v>1161834.5</v>
      </c>
      <c r="D162">
        <v>1166073</v>
      </c>
    </row>
    <row r="163" spans="1:4" customFormat="1" hidden="1" x14ac:dyDescent="0.2">
      <c r="A163" s="1">
        <v>42689</v>
      </c>
      <c r="B163">
        <v>1161557.5</v>
      </c>
      <c r="C163">
        <v>1161557.5</v>
      </c>
      <c r="D163">
        <v>1165796</v>
      </c>
    </row>
    <row r="164" spans="1:4" customFormat="1" hidden="1" x14ac:dyDescent="0.2">
      <c r="A164" s="1">
        <v>42690</v>
      </c>
      <c r="B164">
        <v>1162546.5</v>
      </c>
      <c r="C164">
        <v>1162546.5</v>
      </c>
      <c r="D164">
        <v>1166785</v>
      </c>
    </row>
    <row r="165" spans="1:4" customFormat="1" hidden="1" x14ac:dyDescent="0.2">
      <c r="A165" s="1">
        <v>42691</v>
      </c>
      <c r="B165">
        <v>1167462.5</v>
      </c>
      <c r="C165">
        <v>1167462.5</v>
      </c>
      <c r="D165">
        <v>1171701</v>
      </c>
    </row>
    <row r="166" spans="1:4" customFormat="1" hidden="1" x14ac:dyDescent="0.2">
      <c r="A166" s="1">
        <v>42692</v>
      </c>
      <c r="B166">
        <v>1166153.5</v>
      </c>
      <c r="C166">
        <v>1166153.5</v>
      </c>
      <c r="D166">
        <v>1170392</v>
      </c>
    </row>
    <row r="167" spans="1:4" customFormat="1" hidden="1" x14ac:dyDescent="0.2">
      <c r="A167" s="1">
        <v>42695</v>
      </c>
      <c r="B167">
        <v>1195409.5</v>
      </c>
      <c r="C167">
        <v>1195409.5</v>
      </c>
      <c r="D167">
        <v>1199648</v>
      </c>
    </row>
    <row r="168" spans="1:4" customFormat="1" hidden="1" x14ac:dyDescent="0.2">
      <c r="A168" s="1">
        <v>42696</v>
      </c>
      <c r="B168">
        <v>1203757</v>
      </c>
      <c r="C168">
        <v>1203757</v>
      </c>
      <c r="D168">
        <v>1207995.5</v>
      </c>
    </row>
    <row r="169" spans="1:4" customFormat="1" hidden="1" x14ac:dyDescent="0.2">
      <c r="A169" s="1">
        <v>42697</v>
      </c>
      <c r="B169">
        <v>1209691.5</v>
      </c>
      <c r="C169">
        <v>1209691.5</v>
      </c>
      <c r="D169">
        <v>1213930</v>
      </c>
    </row>
    <row r="170" spans="1:4" customFormat="1" hidden="1" x14ac:dyDescent="0.2">
      <c r="A170" s="1">
        <v>42698</v>
      </c>
      <c r="B170">
        <v>1221175</v>
      </c>
      <c r="C170">
        <v>1221175</v>
      </c>
      <c r="D170">
        <v>1226481</v>
      </c>
    </row>
    <row r="171" spans="1:4" customFormat="1" hidden="1" x14ac:dyDescent="0.2">
      <c r="A171" s="1">
        <v>42699</v>
      </c>
      <c r="B171">
        <v>1244646.5</v>
      </c>
      <c r="C171">
        <v>1244646.5</v>
      </c>
      <c r="D171">
        <v>1249952.5</v>
      </c>
    </row>
    <row r="172" spans="1:4" customFormat="1" hidden="1" x14ac:dyDescent="0.2">
      <c r="A172" s="1">
        <v>42702</v>
      </c>
      <c r="B172">
        <v>1241877.5</v>
      </c>
      <c r="C172">
        <v>1241877.5</v>
      </c>
      <c r="D172">
        <v>1249042</v>
      </c>
    </row>
    <row r="173" spans="1:4" customFormat="1" hidden="1" x14ac:dyDescent="0.2">
      <c r="A173" s="1">
        <v>42703</v>
      </c>
      <c r="B173">
        <v>1261915</v>
      </c>
      <c r="C173">
        <v>1261915</v>
      </c>
      <c r="D173">
        <v>1252758.5</v>
      </c>
    </row>
    <row r="174" spans="1:4" customFormat="1" hidden="1" x14ac:dyDescent="0.2">
      <c r="A174" s="1">
        <v>42704</v>
      </c>
      <c r="B174">
        <v>1264870.5</v>
      </c>
      <c r="C174">
        <v>1264870.5</v>
      </c>
      <c r="D174">
        <v>1248455</v>
      </c>
    </row>
    <row r="175" spans="1:4" customFormat="1" hidden="1" x14ac:dyDescent="0.2">
      <c r="A175" s="1">
        <v>42705</v>
      </c>
      <c r="B175">
        <v>1268610</v>
      </c>
      <c r="C175">
        <v>1268610</v>
      </c>
      <c r="D175">
        <v>1248365.5</v>
      </c>
    </row>
    <row r="176" spans="1:4" customFormat="1" hidden="1" x14ac:dyDescent="0.2">
      <c r="A176" s="1">
        <v>42706</v>
      </c>
      <c r="B176">
        <v>1261290</v>
      </c>
      <c r="C176">
        <v>1261290</v>
      </c>
      <c r="D176">
        <v>1248835.5</v>
      </c>
    </row>
    <row r="177" spans="1:4" customFormat="1" hidden="1" x14ac:dyDescent="0.2">
      <c r="A177" s="1">
        <v>42709</v>
      </c>
      <c r="B177">
        <v>1248669</v>
      </c>
      <c r="C177">
        <v>1248669</v>
      </c>
      <c r="D177">
        <v>1248355.5</v>
      </c>
    </row>
    <row r="178" spans="1:4" customFormat="1" hidden="1" x14ac:dyDescent="0.2">
      <c r="A178" s="1">
        <v>42710</v>
      </c>
      <c r="B178">
        <v>1251367.5</v>
      </c>
      <c r="C178">
        <v>1251367.5</v>
      </c>
      <c r="D178">
        <v>1250967</v>
      </c>
    </row>
    <row r="179" spans="1:4" customFormat="1" hidden="1" x14ac:dyDescent="0.2">
      <c r="A179" s="1">
        <v>42711</v>
      </c>
      <c r="B179">
        <v>1253719</v>
      </c>
      <c r="C179">
        <v>1253719</v>
      </c>
      <c r="D179">
        <v>1251731</v>
      </c>
    </row>
    <row r="180" spans="1:4" customFormat="1" hidden="1" x14ac:dyDescent="0.2">
      <c r="A180" s="1">
        <v>42712</v>
      </c>
      <c r="B180">
        <v>1258666</v>
      </c>
      <c r="C180">
        <v>1258666</v>
      </c>
      <c r="D180">
        <v>1254395</v>
      </c>
    </row>
    <row r="181" spans="1:4" customFormat="1" hidden="1" x14ac:dyDescent="0.2">
      <c r="A181" s="1">
        <v>42713</v>
      </c>
      <c r="B181">
        <v>1260354.5</v>
      </c>
      <c r="C181">
        <v>1260354.5</v>
      </c>
      <c r="D181">
        <v>1256083.5</v>
      </c>
    </row>
    <row r="182" spans="1:4" customFormat="1" hidden="1" x14ac:dyDescent="0.2">
      <c r="A182" s="1">
        <v>42716</v>
      </c>
      <c r="B182">
        <v>1255557</v>
      </c>
      <c r="C182">
        <v>1255557</v>
      </c>
      <c r="D182">
        <v>1251286</v>
      </c>
    </row>
    <row r="183" spans="1:4" customFormat="1" hidden="1" x14ac:dyDescent="0.2">
      <c r="A183" s="1">
        <v>42717</v>
      </c>
      <c r="B183">
        <v>1255200.5</v>
      </c>
      <c r="C183">
        <v>1255200.5</v>
      </c>
      <c r="D183">
        <v>1250929.5</v>
      </c>
    </row>
    <row r="184" spans="1:4" customFormat="1" hidden="1" x14ac:dyDescent="0.2">
      <c r="A184" s="1">
        <v>42718</v>
      </c>
      <c r="B184">
        <v>1253997</v>
      </c>
      <c r="C184">
        <v>1253997</v>
      </c>
      <c r="D184">
        <v>1249726</v>
      </c>
    </row>
    <row r="185" spans="1:4" customFormat="1" hidden="1" x14ac:dyDescent="0.2">
      <c r="A185" s="1">
        <v>42719</v>
      </c>
      <c r="B185">
        <v>1244004</v>
      </c>
      <c r="C185">
        <v>1244004</v>
      </c>
      <c r="D185">
        <v>1239733</v>
      </c>
    </row>
    <row r="186" spans="1:4" customFormat="1" hidden="1" x14ac:dyDescent="0.2">
      <c r="A186" s="1">
        <v>42720</v>
      </c>
      <c r="B186">
        <v>1248403.5</v>
      </c>
      <c r="C186">
        <v>1248403.5</v>
      </c>
      <c r="D186">
        <v>1244132.5</v>
      </c>
    </row>
    <row r="187" spans="1:4" customFormat="1" hidden="1" x14ac:dyDescent="0.2">
      <c r="A187" s="1">
        <v>42723</v>
      </c>
      <c r="B187">
        <v>1249747.5</v>
      </c>
      <c r="C187">
        <v>1249747.5</v>
      </c>
      <c r="D187">
        <v>1245476.5</v>
      </c>
    </row>
    <row r="188" spans="1:4" customFormat="1" hidden="1" x14ac:dyDescent="0.2">
      <c r="A188" s="1">
        <v>42724</v>
      </c>
      <c r="B188">
        <v>1244938.5</v>
      </c>
      <c r="C188">
        <v>1244938.5</v>
      </c>
      <c r="D188">
        <v>1239661</v>
      </c>
    </row>
    <row r="189" spans="1:4" customFormat="1" hidden="1" x14ac:dyDescent="0.2">
      <c r="A189" s="1">
        <v>42725</v>
      </c>
      <c r="B189">
        <v>1247694.5</v>
      </c>
      <c r="C189">
        <v>1247694.5</v>
      </c>
      <c r="D189">
        <v>1244435.5</v>
      </c>
    </row>
    <row r="190" spans="1:4" customFormat="1" hidden="1" x14ac:dyDescent="0.2">
      <c r="A190" s="1">
        <v>42726</v>
      </c>
      <c r="B190">
        <v>1247023.5</v>
      </c>
      <c r="C190">
        <v>1247023.5</v>
      </c>
      <c r="D190">
        <v>1242893</v>
      </c>
    </row>
    <row r="191" spans="1:4" customFormat="1" hidden="1" x14ac:dyDescent="0.2">
      <c r="A191" s="1">
        <v>42727</v>
      </c>
      <c r="B191">
        <v>1248941</v>
      </c>
      <c r="C191">
        <v>1248941</v>
      </c>
      <c r="D191">
        <v>1242258.5</v>
      </c>
    </row>
    <row r="192" spans="1:4" customFormat="1" hidden="1" x14ac:dyDescent="0.2">
      <c r="A192" s="1">
        <v>42730</v>
      </c>
      <c r="B192">
        <v>1248996</v>
      </c>
      <c r="C192">
        <v>1248996</v>
      </c>
      <c r="D192">
        <v>1246030</v>
      </c>
    </row>
    <row r="193" spans="1:4" customFormat="1" hidden="1" x14ac:dyDescent="0.2">
      <c r="A193" s="1">
        <v>42731</v>
      </c>
      <c r="B193">
        <v>1247373.5</v>
      </c>
      <c r="C193">
        <v>1247373.5</v>
      </c>
      <c r="D193">
        <v>1242659.5</v>
      </c>
    </row>
    <row r="194" spans="1:4" customFormat="1" hidden="1" x14ac:dyDescent="0.2">
      <c r="A194" s="1">
        <v>42732</v>
      </c>
      <c r="B194">
        <v>1247795</v>
      </c>
      <c r="C194">
        <v>1247795</v>
      </c>
      <c r="D194">
        <v>1243306.5</v>
      </c>
    </row>
    <row r="195" spans="1:4" customFormat="1" hidden="1" x14ac:dyDescent="0.2">
      <c r="A195" s="1">
        <v>42733</v>
      </c>
      <c r="B195">
        <v>1251126.5</v>
      </c>
      <c r="C195">
        <v>1251126.5</v>
      </c>
      <c r="D195">
        <v>1244183.5</v>
      </c>
    </row>
    <row r="196" spans="1:4" customFormat="1" hidden="1" x14ac:dyDescent="0.2">
      <c r="A196" s="1">
        <v>42734</v>
      </c>
      <c r="B196">
        <v>1251874</v>
      </c>
      <c r="C196">
        <v>1251874</v>
      </c>
      <c r="D196">
        <v>1245699.5</v>
      </c>
    </row>
    <row r="197" spans="1:4" customFormat="1" hidden="1" x14ac:dyDescent="0.2">
      <c r="A197" s="1">
        <v>42738</v>
      </c>
      <c r="B197">
        <v>1260523</v>
      </c>
      <c r="C197">
        <v>1260523</v>
      </c>
      <c r="D197">
        <v>1251463</v>
      </c>
    </row>
    <row r="198" spans="1:4" customFormat="1" hidden="1" x14ac:dyDescent="0.2">
      <c r="A198" s="1">
        <v>42739</v>
      </c>
      <c r="B198">
        <v>1266190</v>
      </c>
      <c r="C198">
        <v>1266190</v>
      </c>
      <c r="D198">
        <v>1256823</v>
      </c>
    </row>
    <row r="199" spans="1:4" customFormat="1" hidden="1" x14ac:dyDescent="0.2">
      <c r="A199" s="1">
        <v>42740</v>
      </c>
      <c r="B199">
        <v>1267378.5</v>
      </c>
      <c r="C199">
        <v>1267378.5</v>
      </c>
      <c r="D199">
        <v>1257950.5</v>
      </c>
    </row>
    <row r="200" spans="1:4" customFormat="1" hidden="1" x14ac:dyDescent="0.2">
      <c r="A200" s="1">
        <v>42741</v>
      </c>
      <c r="B200">
        <v>1270436</v>
      </c>
      <c r="C200">
        <v>1270436</v>
      </c>
      <c r="D200">
        <v>1260041.5</v>
      </c>
    </row>
    <row r="201" spans="1:4" customFormat="1" hidden="1" x14ac:dyDescent="0.2">
      <c r="A201" s="1">
        <v>42744</v>
      </c>
      <c r="B201">
        <v>1273523</v>
      </c>
      <c r="C201">
        <v>1273523</v>
      </c>
      <c r="D201">
        <v>1265241</v>
      </c>
    </row>
    <row r="202" spans="1:4" customFormat="1" hidden="1" x14ac:dyDescent="0.2">
      <c r="A202" s="1">
        <v>42745</v>
      </c>
      <c r="B202">
        <v>1275209.5</v>
      </c>
      <c r="C202">
        <v>1275209.5</v>
      </c>
      <c r="D202">
        <v>1266870</v>
      </c>
    </row>
    <row r="203" spans="1:4" customFormat="1" hidden="1" x14ac:dyDescent="0.2">
      <c r="A203" s="1">
        <v>42746</v>
      </c>
      <c r="B203">
        <v>1276032.5</v>
      </c>
      <c r="C203">
        <v>1276032.5</v>
      </c>
      <c r="D203">
        <v>1267396</v>
      </c>
    </row>
    <row r="204" spans="1:4" customFormat="1" hidden="1" x14ac:dyDescent="0.2">
      <c r="A204" s="1">
        <v>42747</v>
      </c>
      <c r="B204">
        <v>1276278.5</v>
      </c>
      <c r="C204">
        <v>1276278.5</v>
      </c>
      <c r="D204">
        <v>1268559.5</v>
      </c>
    </row>
    <row r="205" spans="1:4" customFormat="1" hidden="1" x14ac:dyDescent="0.2">
      <c r="A205" s="1">
        <v>42748</v>
      </c>
      <c r="B205">
        <v>1277387</v>
      </c>
      <c r="C205">
        <v>1277387</v>
      </c>
      <c r="D205">
        <v>1270714</v>
      </c>
    </row>
    <row r="206" spans="1:4" customFormat="1" hidden="1" x14ac:dyDescent="0.2">
      <c r="A206" s="1">
        <v>42751</v>
      </c>
      <c r="B206">
        <v>1274327</v>
      </c>
      <c r="C206">
        <v>1274327</v>
      </c>
      <c r="D206">
        <v>1270450</v>
      </c>
    </row>
    <row r="207" spans="1:4" customFormat="1" hidden="1" x14ac:dyDescent="0.2">
      <c r="A207" s="1">
        <v>42752</v>
      </c>
      <c r="B207">
        <v>1278400.5</v>
      </c>
      <c r="C207">
        <v>1278400.5</v>
      </c>
      <c r="D207">
        <v>1274523.5</v>
      </c>
    </row>
    <row r="208" spans="1:4" customFormat="1" hidden="1" x14ac:dyDescent="0.2">
      <c r="A208" s="1">
        <v>42753</v>
      </c>
      <c r="B208">
        <v>1279360</v>
      </c>
      <c r="C208">
        <v>1279360</v>
      </c>
      <c r="D208">
        <v>1275483</v>
      </c>
    </row>
    <row r="209" spans="1:4" customFormat="1" hidden="1" x14ac:dyDescent="0.2">
      <c r="A209" s="1">
        <v>42754</v>
      </c>
      <c r="B209">
        <v>1280429.5</v>
      </c>
      <c r="C209">
        <v>1280429.5</v>
      </c>
      <c r="D209">
        <v>1276552.5</v>
      </c>
    </row>
    <row r="210" spans="1:4" customFormat="1" hidden="1" x14ac:dyDescent="0.2">
      <c r="A210" s="1">
        <v>42755</v>
      </c>
      <c r="B210">
        <v>1281270.5</v>
      </c>
      <c r="C210">
        <v>1281270.5</v>
      </c>
      <c r="D210">
        <v>1277393.5</v>
      </c>
    </row>
    <row r="211" spans="1:4" customFormat="1" hidden="1" x14ac:dyDescent="0.2">
      <c r="A211" s="1">
        <v>42758</v>
      </c>
      <c r="B211">
        <v>1283318.5</v>
      </c>
      <c r="C211">
        <v>1283318.5</v>
      </c>
      <c r="D211">
        <v>1279441.5</v>
      </c>
    </row>
    <row r="212" spans="1:4" customFormat="1" hidden="1" x14ac:dyDescent="0.2">
      <c r="A212" s="1">
        <v>42759</v>
      </c>
      <c r="B212">
        <v>1283812.5</v>
      </c>
      <c r="C212">
        <v>1283812.5</v>
      </c>
      <c r="D212">
        <v>1279935.5</v>
      </c>
    </row>
    <row r="213" spans="1:4" customFormat="1" hidden="1" x14ac:dyDescent="0.2">
      <c r="A213" s="1">
        <v>42760</v>
      </c>
      <c r="B213">
        <v>1285771</v>
      </c>
      <c r="C213">
        <v>1285771</v>
      </c>
      <c r="D213">
        <v>1281894</v>
      </c>
    </row>
    <row r="214" spans="1:4" customFormat="1" hidden="1" x14ac:dyDescent="0.2">
      <c r="A214" s="1">
        <v>42761</v>
      </c>
      <c r="B214">
        <v>1286527</v>
      </c>
      <c r="C214">
        <v>1286527</v>
      </c>
      <c r="D214">
        <v>1282650</v>
      </c>
    </row>
    <row r="215" spans="1:4" customFormat="1" hidden="1" x14ac:dyDescent="0.2">
      <c r="A215" s="1">
        <v>42769</v>
      </c>
      <c r="B215">
        <v>1286582.5</v>
      </c>
      <c r="C215">
        <v>1286582.5</v>
      </c>
      <c r="D215">
        <v>1282705.5</v>
      </c>
    </row>
    <row r="216" spans="1:4" customFormat="1" hidden="1" x14ac:dyDescent="0.2">
      <c r="A216" s="1">
        <v>42772</v>
      </c>
      <c r="B216">
        <v>1287668</v>
      </c>
      <c r="C216">
        <v>1287668</v>
      </c>
      <c r="D216">
        <v>1283791</v>
      </c>
    </row>
    <row r="217" spans="1:4" customFormat="1" hidden="1" x14ac:dyDescent="0.2">
      <c r="A217" s="1">
        <v>42773</v>
      </c>
      <c r="B217">
        <v>1288350.5</v>
      </c>
      <c r="C217">
        <v>1288350.5</v>
      </c>
      <c r="D217">
        <v>1284473.5</v>
      </c>
    </row>
    <row r="218" spans="1:4" customFormat="1" hidden="1" x14ac:dyDescent="0.2">
      <c r="A218" s="1">
        <v>42774</v>
      </c>
      <c r="B218">
        <v>1289014</v>
      </c>
      <c r="C218">
        <v>1289014</v>
      </c>
      <c r="D218">
        <v>1285137</v>
      </c>
    </row>
    <row r="219" spans="1:4" customFormat="1" hidden="1" x14ac:dyDescent="0.2">
      <c r="A219" s="1">
        <v>42775</v>
      </c>
      <c r="B219">
        <v>1288939.5</v>
      </c>
      <c r="C219">
        <v>1288939.5</v>
      </c>
      <c r="D219">
        <v>1285062.5</v>
      </c>
    </row>
    <row r="220" spans="1:4" customFormat="1" hidden="1" x14ac:dyDescent="0.2">
      <c r="A220" s="1">
        <v>42776</v>
      </c>
      <c r="B220">
        <v>1290769</v>
      </c>
      <c r="C220">
        <v>1290769</v>
      </c>
      <c r="D220">
        <v>1286892</v>
      </c>
    </row>
    <row r="221" spans="1:4" customFormat="1" hidden="1" x14ac:dyDescent="0.2">
      <c r="A221" s="1">
        <v>42779</v>
      </c>
      <c r="B221">
        <v>1292723.5</v>
      </c>
      <c r="C221">
        <v>1292723.5</v>
      </c>
      <c r="D221">
        <v>1288846.5</v>
      </c>
    </row>
    <row r="222" spans="1:4" customFormat="1" hidden="1" x14ac:dyDescent="0.2">
      <c r="A222" s="1">
        <v>42780</v>
      </c>
      <c r="B222">
        <v>1295611.5</v>
      </c>
      <c r="C222">
        <v>1295611.5</v>
      </c>
      <c r="D222">
        <v>1291734.5</v>
      </c>
    </row>
    <row r="223" spans="1:4" customFormat="1" hidden="1" x14ac:dyDescent="0.2">
      <c r="A223" s="1">
        <v>42781</v>
      </c>
      <c r="B223">
        <v>1296704.5</v>
      </c>
      <c r="C223">
        <v>1296704.5</v>
      </c>
      <c r="D223">
        <v>1292827.5</v>
      </c>
    </row>
    <row r="224" spans="1:4" customFormat="1" hidden="1" x14ac:dyDescent="0.2">
      <c r="A224" s="1">
        <v>42782</v>
      </c>
      <c r="B224">
        <v>1296228.5</v>
      </c>
      <c r="C224">
        <v>1296228.5</v>
      </c>
      <c r="D224">
        <v>1292351.5</v>
      </c>
    </row>
    <row r="225" spans="1:4" customFormat="1" hidden="1" x14ac:dyDescent="0.2">
      <c r="A225" s="1">
        <v>42783</v>
      </c>
      <c r="B225">
        <v>1295038</v>
      </c>
      <c r="C225">
        <v>1295038</v>
      </c>
      <c r="D225">
        <v>1291161</v>
      </c>
    </row>
    <row r="226" spans="1:4" customFormat="1" hidden="1" x14ac:dyDescent="0.2">
      <c r="A226" s="1">
        <v>42786</v>
      </c>
      <c r="B226">
        <v>1289480.5</v>
      </c>
      <c r="C226">
        <v>1289480.5</v>
      </c>
      <c r="D226">
        <v>1285603.5</v>
      </c>
    </row>
    <row r="227" spans="1:4" customFormat="1" hidden="1" x14ac:dyDescent="0.2">
      <c r="A227" s="1">
        <v>42787</v>
      </c>
      <c r="B227">
        <v>1289737.5</v>
      </c>
      <c r="C227">
        <v>1289737.5</v>
      </c>
      <c r="D227">
        <v>1285860.5</v>
      </c>
    </row>
    <row r="228" spans="1:4" customFormat="1" hidden="1" x14ac:dyDescent="0.2">
      <c r="A228" s="1">
        <v>42788</v>
      </c>
      <c r="B228">
        <v>1291283.5</v>
      </c>
      <c r="C228">
        <v>1291283.5</v>
      </c>
      <c r="D228">
        <v>1287406.5</v>
      </c>
    </row>
    <row r="229" spans="1:4" customFormat="1" hidden="1" x14ac:dyDescent="0.2">
      <c r="A229" s="1">
        <v>42789</v>
      </c>
      <c r="B229">
        <v>1294058.5</v>
      </c>
      <c r="C229">
        <v>1294058.5</v>
      </c>
      <c r="D229">
        <v>1290181.5</v>
      </c>
    </row>
    <row r="230" spans="1:4" customFormat="1" hidden="1" x14ac:dyDescent="0.2">
      <c r="A230" s="1">
        <v>42790</v>
      </c>
      <c r="B230">
        <v>1293229</v>
      </c>
      <c r="C230">
        <v>1293229</v>
      </c>
      <c r="D230">
        <v>1289352</v>
      </c>
    </row>
    <row r="231" spans="1:4" customFormat="1" hidden="1" x14ac:dyDescent="0.2">
      <c r="A231" s="1">
        <v>42793</v>
      </c>
      <c r="B231">
        <v>1290811</v>
      </c>
      <c r="C231">
        <v>1290811</v>
      </c>
      <c r="D231">
        <v>1286934</v>
      </c>
    </row>
    <row r="232" spans="1:4" customFormat="1" hidden="1" x14ac:dyDescent="0.2">
      <c r="A232" s="1">
        <v>42794</v>
      </c>
      <c r="B232">
        <v>1291528.5</v>
      </c>
      <c r="C232">
        <v>1291528.5</v>
      </c>
      <c r="D232">
        <v>1287651.5</v>
      </c>
    </row>
    <row r="233" spans="1:4" customFormat="1" hidden="1" x14ac:dyDescent="0.2">
      <c r="A233" s="1">
        <v>42795</v>
      </c>
      <c r="B233">
        <v>1293656.5</v>
      </c>
      <c r="C233">
        <v>1293656.5</v>
      </c>
      <c r="D233">
        <v>1289779.5</v>
      </c>
    </row>
    <row r="234" spans="1:4" customFormat="1" hidden="1" x14ac:dyDescent="0.2">
      <c r="A234" s="1">
        <v>42796</v>
      </c>
      <c r="B234">
        <v>1292858</v>
      </c>
      <c r="C234">
        <v>1292858</v>
      </c>
      <c r="D234">
        <v>1288981</v>
      </c>
    </row>
    <row r="235" spans="1:4" customFormat="1" hidden="1" x14ac:dyDescent="0.2">
      <c r="A235" s="1">
        <v>42797</v>
      </c>
      <c r="B235">
        <v>1292836.5</v>
      </c>
      <c r="C235">
        <v>1292836.5</v>
      </c>
      <c r="D235">
        <v>1288959.5</v>
      </c>
    </row>
    <row r="236" spans="1:4" customFormat="1" hidden="1" x14ac:dyDescent="0.2">
      <c r="A236" s="1">
        <v>42800</v>
      </c>
      <c r="B236">
        <v>1296493.5</v>
      </c>
      <c r="C236">
        <v>1296493.5</v>
      </c>
      <c r="D236">
        <v>1292616.5</v>
      </c>
    </row>
    <row r="237" spans="1:4" customFormat="1" hidden="1" x14ac:dyDescent="0.2">
      <c r="A237" s="1">
        <v>42801</v>
      </c>
      <c r="B237">
        <v>1296722</v>
      </c>
      <c r="C237">
        <v>1296722</v>
      </c>
      <c r="D237">
        <v>1292845</v>
      </c>
    </row>
    <row r="238" spans="1:4" customFormat="1" hidden="1" x14ac:dyDescent="0.2">
      <c r="A238" s="1">
        <v>42802</v>
      </c>
      <c r="B238">
        <v>1301109.5</v>
      </c>
      <c r="C238">
        <v>1301109.5</v>
      </c>
      <c r="D238">
        <v>1297232.5</v>
      </c>
    </row>
    <row r="239" spans="1:4" customFormat="1" hidden="1" x14ac:dyDescent="0.2">
      <c r="A239" s="1">
        <v>42803</v>
      </c>
      <c r="B239">
        <v>1300554.5</v>
      </c>
      <c r="C239">
        <v>1300554.5</v>
      </c>
      <c r="D239">
        <v>1296677.5</v>
      </c>
    </row>
    <row r="240" spans="1:4" customFormat="1" hidden="1" x14ac:dyDescent="0.2">
      <c r="A240" s="1">
        <v>42804</v>
      </c>
      <c r="B240">
        <v>1302802</v>
      </c>
      <c r="C240">
        <v>1302802</v>
      </c>
      <c r="D240">
        <v>1298925</v>
      </c>
    </row>
    <row r="241" spans="1:4" customFormat="1" hidden="1" x14ac:dyDescent="0.2">
      <c r="A241" s="1">
        <v>42807</v>
      </c>
      <c r="B241">
        <v>1297402.5</v>
      </c>
      <c r="C241">
        <v>1297402.5</v>
      </c>
      <c r="D241">
        <v>1293525.5</v>
      </c>
    </row>
    <row r="242" spans="1:4" customFormat="1" hidden="1" x14ac:dyDescent="0.2">
      <c r="A242" s="1">
        <v>42808</v>
      </c>
      <c r="B242">
        <v>1297020</v>
      </c>
      <c r="C242">
        <v>1297020</v>
      </c>
      <c r="D242">
        <v>1293143</v>
      </c>
    </row>
    <row r="243" spans="1:4" customFormat="1" hidden="1" x14ac:dyDescent="0.2">
      <c r="A243" s="1">
        <v>42809</v>
      </c>
      <c r="B243">
        <v>1295700.5</v>
      </c>
      <c r="C243">
        <v>1295700.5</v>
      </c>
      <c r="D243">
        <v>1291823.5</v>
      </c>
    </row>
    <row r="244" spans="1:4" customFormat="1" hidden="1" x14ac:dyDescent="0.2">
      <c r="A244" s="1">
        <v>42810</v>
      </c>
      <c r="B244">
        <v>1303399.5</v>
      </c>
      <c r="C244">
        <v>1303399.5</v>
      </c>
      <c r="D244">
        <v>1299522.5</v>
      </c>
    </row>
    <row r="245" spans="1:4" customFormat="1" hidden="1" x14ac:dyDescent="0.2">
      <c r="A245" s="1">
        <v>42811</v>
      </c>
      <c r="B245">
        <v>1297859.5</v>
      </c>
      <c r="C245">
        <v>1297859.5</v>
      </c>
      <c r="D245">
        <v>1293982.5</v>
      </c>
    </row>
    <row r="246" spans="1:4" customFormat="1" hidden="1" x14ac:dyDescent="0.2">
      <c r="A246" s="1">
        <v>42814</v>
      </c>
      <c r="B246">
        <v>1298833.5</v>
      </c>
      <c r="C246">
        <v>1298833.5</v>
      </c>
      <c r="D246">
        <v>1294956.5</v>
      </c>
    </row>
    <row r="247" spans="1:4" customFormat="1" hidden="1" x14ac:dyDescent="0.2">
      <c r="A247" s="1">
        <v>42815</v>
      </c>
      <c r="B247">
        <v>1299357.5</v>
      </c>
      <c r="C247">
        <v>1299357.5</v>
      </c>
      <c r="D247">
        <v>1295480.5</v>
      </c>
    </row>
    <row r="248" spans="1:4" customFormat="1" hidden="1" x14ac:dyDescent="0.2">
      <c r="A248" s="1">
        <v>42816</v>
      </c>
      <c r="B248">
        <v>1298057</v>
      </c>
      <c r="C248">
        <v>1298057</v>
      </c>
      <c r="D248">
        <v>1294180</v>
      </c>
    </row>
    <row r="249" spans="1:4" customFormat="1" hidden="1" x14ac:dyDescent="0.2">
      <c r="A249" s="1">
        <v>42817</v>
      </c>
      <c r="B249">
        <v>1300399</v>
      </c>
      <c r="C249">
        <v>1300399</v>
      </c>
      <c r="D249">
        <v>1296522</v>
      </c>
    </row>
    <row r="250" spans="1:4" customFormat="1" hidden="1" x14ac:dyDescent="0.2">
      <c r="A250" s="1">
        <v>42818</v>
      </c>
      <c r="B250">
        <v>1300406.5</v>
      </c>
      <c r="C250">
        <v>1300406.5</v>
      </c>
      <c r="D250">
        <v>1296529.5</v>
      </c>
    </row>
    <row r="251" spans="1:4" customFormat="1" hidden="1" x14ac:dyDescent="0.2">
      <c r="A251" s="1">
        <v>42821</v>
      </c>
      <c r="B251">
        <v>1298209</v>
      </c>
      <c r="C251">
        <v>1298209</v>
      </c>
      <c r="D251">
        <v>1294332</v>
      </c>
    </row>
    <row r="252" spans="1:4" customFormat="1" hidden="1" x14ac:dyDescent="0.2">
      <c r="A252" s="1">
        <v>42822</v>
      </c>
      <c r="B252">
        <v>1297469.5</v>
      </c>
      <c r="C252">
        <v>1297469.5</v>
      </c>
      <c r="D252">
        <v>1293592.5</v>
      </c>
    </row>
    <row r="253" spans="1:4" customFormat="1" hidden="1" x14ac:dyDescent="0.2">
      <c r="A253" s="1">
        <v>42823</v>
      </c>
      <c r="B253">
        <v>1298207</v>
      </c>
      <c r="C253">
        <v>1298207</v>
      </c>
      <c r="D253">
        <v>1294330</v>
      </c>
    </row>
    <row r="254" spans="1:4" customFormat="1" hidden="1" x14ac:dyDescent="0.2">
      <c r="A254" s="1">
        <v>42824</v>
      </c>
      <c r="B254">
        <v>1298712.5</v>
      </c>
      <c r="C254">
        <v>1298712.5</v>
      </c>
      <c r="D254">
        <v>1294835.5</v>
      </c>
    </row>
    <row r="255" spans="1:4" customFormat="1" hidden="1" x14ac:dyDescent="0.2">
      <c r="A255" s="1">
        <v>42825</v>
      </c>
      <c r="B255">
        <v>1300145</v>
      </c>
      <c r="C255">
        <v>1300145</v>
      </c>
      <c r="D255">
        <v>1296268</v>
      </c>
    </row>
    <row r="256" spans="1:4" customFormat="1" hidden="1" x14ac:dyDescent="0.2">
      <c r="A256" s="1">
        <v>42830</v>
      </c>
      <c r="B256">
        <v>1298093</v>
      </c>
      <c r="C256">
        <v>1298093</v>
      </c>
      <c r="D256">
        <v>1294216</v>
      </c>
    </row>
    <row r="257" spans="1:4" customFormat="1" hidden="1" x14ac:dyDescent="0.2">
      <c r="A257" s="1">
        <v>42831</v>
      </c>
      <c r="B257">
        <v>1298201</v>
      </c>
      <c r="C257">
        <v>1298201</v>
      </c>
      <c r="D257">
        <v>1294324</v>
      </c>
    </row>
    <row r="258" spans="1:4" customFormat="1" hidden="1" x14ac:dyDescent="0.2">
      <c r="A258" s="1">
        <v>42832</v>
      </c>
      <c r="B258">
        <v>1298876</v>
      </c>
      <c r="C258">
        <v>1298876</v>
      </c>
      <c r="D258">
        <v>1294999</v>
      </c>
    </row>
    <row r="259" spans="1:4" customFormat="1" hidden="1" x14ac:dyDescent="0.2">
      <c r="A259" s="1">
        <v>42835</v>
      </c>
      <c r="B259">
        <v>1299875</v>
      </c>
      <c r="C259">
        <v>1299875</v>
      </c>
      <c r="D259">
        <v>1295998</v>
      </c>
    </row>
    <row r="260" spans="1:4" customFormat="1" hidden="1" x14ac:dyDescent="0.2">
      <c r="A260" s="1">
        <v>42836</v>
      </c>
      <c r="B260">
        <v>1299843</v>
      </c>
      <c r="C260">
        <v>1299843</v>
      </c>
      <c r="D260">
        <v>1295966</v>
      </c>
    </row>
    <row r="261" spans="1:4" customFormat="1" hidden="1" x14ac:dyDescent="0.2">
      <c r="A261" s="1">
        <v>42837</v>
      </c>
      <c r="B261">
        <v>1297776.5</v>
      </c>
      <c r="C261">
        <v>1297776.5</v>
      </c>
      <c r="D261">
        <v>1293899.5</v>
      </c>
    </row>
    <row r="262" spans="1:4" customFormat="1" hidden="1" x14ac:dyDescent="0.2">
      <c r="A262" s="1">
        <v>42838</v>
      </c>
      <c r="B262">
        <v>1300186</v>
      </c>
      <c r="C262">
        <v>1300186</v>
      </c>
      <c r="D262">
        <v>1296309</v>
      </c>
    </row>
    <row r="263" spans="1:4" customFormat="1" hidden="1" x14ac:dyDescent="0.2">
      <c r="A263" s="1">
        <v>42839</v>
      </c>
      <c r="B263">
        <v>1297276</v>
      </c>
      <c r="C263">
        <v>1297276</v>
      </c>
      <c r="D263">
        <v>1293399</v>
      </c>
    </row>
    <row r="264" spans="1:4" customFormat="1" hidden="1" x14ac:dyDescent="0.2">
      <c r="A264" s="1">
        <v>42842</v>
      </c>
      <c r="B264">
        <v>1301271.5</v>
      </c>
      <c r="C264">
        <v>1301271.5</v>
      </c>
      <c r="D264">
        <v>1297394.5</v>
      </c>
    </row>
    <row r="265" spans="1:4" customFormat="1" hidden="1" x14ac:dyDescent="0.2">
      <c r="A265" s="1">
        <v>42843</v>
      </c>
      <c r="B265">
        <v>1300255.5</v>
      </c>
      <c r="C265">
        <v>1300255.5</v>
      </c>
      <c r="D265">
        <v>1296378.5</v>
      </c>
    </row>
    <row r="266" spans="1:4" customFormat="1" hidden="1" x14ac:dyDescent="0.2">
      <c r="A266" s="1">
        <v>42844</v>
      </c>
      <c r="B266">
        <v>1297420.5</v>
      </c>
      <c r="C266">
        <v>1297420.5</v>
      </c>
      <c r="D266">
        <v>1293543.5</v>
      </c>
    </row>
    <row r="267" spans="1:4" customFormat="1" hidden="1" x14ac:dyDescent="0.2">
      <c r="A267" s="1">
        <v>42845</v>
      </c>
      <c r="B267">
        <v>1300626.5</v>
      </c>
      <c r="C267">
        <v>1300626.5</v>
      </c>
      <c r="D267">
        <v>1296749.5</v>
      </c>
    </row>
    <row r="268" spans="1:4" customFormat="1" hidden="1" x14ac:dyDescent="0.2">
      <c r="A268" s="1">
        <v>42846</v>
      </c>
      <c r="B268">
        <v>1306046.5</v>
      </c>
      <c r="C268">
        <v>1306046.5</v>
      </c>
      <c r="D268">
        <v>1302169.5</v>
      </c>
    </row>
    <row r="269" spans="1:4" customFormat="1" hidden="1" x14ac:dyDescent="0.2">
      <c r="A269" s="1">
        <v>42849</v>
      </c>
      <c r="B269">
        <v>1305409</v>
      </c>
      <c r="C269">
        <v>1305409</v>
      </c>
      <c r="D269">
        <v>1301532</v>
      </c>
    </row>
    <row r="270" spans="1:4" customFormat="1" hidden="1" x14ac:dyDescent="0.2">
      <c r="A270" s="1">
        <v>42850</v>
      </c>
      <c r="B270">
        <v>1307670</v>
      </c>
      <c r="C270">
        <v>1307670</v>
      </c>
      <c r="D270">
        <v>1303793</v>
      </c>
    </row>
    <row r="271" spans="1:4" customFormat="1" hidden="1" x14ac:dyDescent="0.2">
      <c r="A271" s="1">
        <v>42851</v>
      </c>
      <c r="B271">
        <v>1309502.5</v>
      </c>
      <c r="C271">
        <v>1309502.5</v>
      </c>
      <c r="D271">
        <v>1305625.5</v>
      </c>
    </row>
    <row r="272" spans="1:4" customFormat="1" hidden="1" x14ac:dyDescent="0.2">
      <c r="A272" s="1">
        <v>42852</v>
      </c>
      <c r="B272">
        <v>1310225.5</v>
      </c>
      <c r="C272">
        <v>1310225.5</v>
      </c>
      <c r="D272">
        <v>1306348.5</v>
      </c>
    </row>
    <row r="273" spans="1:4" customFormat="1" hidden="1" x14ac:dyDescent="0.2">
      <c r="A273" s="1">
        <v>42853</v>
      </c>
      <c r="B273">
        <v>1309718</v>
      </c>
      <c r="C273">
        <v>1309718</v>
      </c>
      <c r="D273">
        <v>1305841</v>
      </c>
    </row>
    <row r="274" spans="1:4" customFormat="1" hidden="1" x14ac:dyDescent="0.2">
      <c r="A274" s="1">
        <v>42857</v>
      </c>
      <c r="B274">
        <v>1310352.5</v>
      </c>
      <c r="C274">
        <v>1310352.5</v>
      </c>
      <c r="D274">
        <v>1306475.5</v>
      </c>
    </row>
    <row r="275" spans="1:4" customFormat="1" hidden="1" x14ac:dyDescent="0.2">
      <c r="A275" s="1">
        <v>42858</v>
      </c>
      <c r="B275">
        <v>1310138.5</v>
      </c>
      <c r="C275">
        <v>1310138.5</v>
      </c>
      <c r="D275">
        <v>1306261.5</v>
      </c>
    </row>
    <row r="276" spans="1:4" customFormat="1" hidden="1" x14ac:dyDescent="0.2">
      <c r="A276" s="1">
        <v>42859</v>
      </c>
      <c r="B276">
        <v>1309776</v>
      </c>
      <c r="C276">
        <v>1309776</v>
      </c>
      <c r="D276">
        <v>1305899</v>
      </c>
    </row>
    <row r="277" spans="1:4" customFormat="1" hidden="1" x14ac:dyDescent="0.2">
      <c r="A277" s="1">
        <v>42860</v>
      </c>
      <c r="B277">
        <v>1308592</v>
      </c>
      <c r="C277">
        <v>1308592</v>
      </c>
      <c r="D277">
        <v>1304715</v>
      </c>
    </row>
    <row r="278" spans="1:4" customFormat="1" hidden="1" x14ac:dyDescent="0.2">
      <c r="A278" s="1">
        <v>42863</v>
      </c>
      <c r="B278">
        <v>1308764.5</v>
      </c>
      <c r="C278">
        <v>1308764.5</v>
      </c>
      <c r="D278">
        <v>1304887.5</v>
      </c>
    </row>
    <row r="279" spans="1:4" customFormat="1" hidden="1" x14ac:dyDescent="0.2">
      <c r="A279" s="1">
        <v>42864</v>
      </c>
      <c r="B279">
        <v>1309915</v>
      </c>
      <c r="C279">
        <v>1309915</v>
      </c>
      <c r="D279">
        <v>1306038</v>
      </c>
    </row>
    <row r="280" spans="1:4" customFormat="1" hidden="1" x14ac:dyDescent="0.2">
      <c r="A280" s="1">
        <v>42865</v>
      </c>
      <c r="B280">
        <v>1311207.5</v>
      </c>
      <c r="C280">
        <v>1311207.5</v>
      </c>
      <c r="D280">
        <v>1307330.5</v>
      </c>
    </row>
    <row r="281" spans="1:4" customFormat="1" hidden="1" x14ac:dyDescent="0.2">
      <c r="A281" s="1">
        <v>42866</v>
      </c>
      <c r="B281">
        <v>1310807.5</v>
      </c>
      <c r="C281">
        <v>1310807.5</v>
      </c>
      <c r="D281">
        <v>1306930.5</v>
      </c>
    </row>
    <row r="282" spans="1:4" customFormat="1" hidden="1" x14ac:dyDescent="0.2">
      <c r="A282" s="1">
        <v>42867</v>
      </c>
      <c r="B282">
        <v>1311135</v>
      </c>
      <c r="C282">
        <v>1311135</v>
      </c>
      <c r="D282">
        <v>1307258</v>
      </c>
    </row>
    <row r="283" spans="1:4" customFormat="1" hidden="1" x14ac:dyDescent="0.2">
      <c r="A283" s="1">
        <v>42870</v>
      </c>
      <c r="B283">
        <v>1311316.5</v>
      </c>
      <c r="C283">
        <v>1311316.5</v>
      </c>
      <c r="D283">
        <v>1307439.5</v>
      </c>
    </row>
    <row r="284" spans="1:4" customFormat="1" hidden="1" x14ac:dyDescent="0.2">
      <c r="A284" s="1">
        <v>42871</v>
      </c>
      <c r="B284">
        <v>1311631.5</v>
      </c>
      <c r="C284">
        <v>1311631.5</v>
      </c>
      <c r="D284">
        <v>1307754.5</v>
      </c>
    </row>
    <row r="285" spans="1:4" customFormat="1" hidden="1" x14ac:dyDescent="0.2">
      <c r="A285" s="1">
        <v>42872</v>
      </c>
      <c r="B285">
        <v>1310767.5</v>
      </c>
      <c r="C285">
        <v>1310767.5</v>
      </c>
      <c r="D285">
        <v>1306890.5</v>
      </c>
    </row>
    <row r="286" spans="1:4" customFormat="1" hidden="1" x14ac:dyDescent="0.2">
      <c r="A286" s="1">
        <v>42873</v>
      </c>
      <c r="B286">
        <v>1310282.5</v>
      </c>
      <c r="C286">
        <v>1310282.5</v>
      </c>
      <c r="D286">
        <v>1306405.5</v>
      </c>
    </row>
    <row r="287" spans="1:4" customFormat="1" hidden="1" x14ac:dyDescent="0.2">
      <c r="A287" s="1">
        <v>42874</v>
      </c>
      <c r="B287">
        <v>1309998.5</v>
      </c>
      <c r="C287">
        <v>1309998.5</v>
      </c>
      <c r="D287">
        <v>1306121.5</v>
      </c>
    </row>
    <row r="288" spans="1:4" customFormat="1" hidden="1" x14ac:dyDescent="0.2">
      <c r="A288" s="1">
        <v>42877</v>
      </c>
      <c r="B288">
        <v>1310476</v>
      </c>
      <c r="C288">
        <v>1310476</v>
      </c>
      <c r="D288">
        <v>1306599</v>
      </c>
    </row>
    <row r="289" spans="1:4" customFormat="1" hidden="1" x14ac:dyDescent="0.2">
      <c r="A289" s="1">
        <v>42878</v>
      </c>
      <c r="B289">
        <v>1308085</v>
      </c>
      <c r="C289">
        <v>1308085</v>
      </c>
      <c r="D289">
        <v>1304208</v>
      </c>
    </row>
    <row r="290" spans="1:4" customFormat="1" hidden="1" x14ac:dyDescent="0.2">
      <c r="A290" s="1">
        <v>42879</v>
      </c>
      <c r="B290">
        <v>1307294.5</v>
      </c>
      <c r="C290">
        <v>1307294.5</v>
      </c>
      <c r="D290">
        <v>1303417.5</v>
      </c>
    </row>
    <row r="291" spans="1:4" customFormat="1" hidden="1" x14ac:dyDescent="0.2">
      <c r="A291" s="1">
        <v>42880</v>
      </c>
      <c r="B291">
        <v>1293020.5</v>
      </c>
      <c r="C291">
        <v>1293020.5</v>
      </c>
      <c r="D291">
        <v>1289143.5</v>
      </c>
    </row>
    <row r="292" spans="1:4" customFormat="1" hidden="1" x14ac:dyDescent="0.2">
      <c r="A292" s="1">
        <v>42881</v>
      </c>
      <c r="B292">
        <v>1296940.5</v>
      </c>
      <c r="C292">
        <v>1296940.5</v>
      </c>
      <c r="D292">
        <v>1293063.5</v>
      </c>
    </row>
    <row r="293" spans="1:4" customFormat="1" hidden="1" x14ac:dyDescent="0.2">
      <c r="A293" s="1">
        <v>42886</v>
      </c>
      <c r="B293">
        <v>1297571.5</v>
      </c>
      <c r="C293">
        <v>1297571.5</v>
      </c>
      <c r="D293">
        <v>1293694.5</v>
      </c>
    </row>
    <row r="294" spans="1:4" customFormat="1" hidden="1" x14ac:dyDescent="0.2">
      <c r="A294" s="1">
        <v>42887</v>
      </c>
      <c r="B294">
        <v>1298395.5</v>
      </c>
      <c r="C294">
        <v>1298395.5</v>
      </c>
      <c r="D294">
        <v>1294518.5</v>
      </c>
    </row>
    <row r="295" spans="1:4" customFormat="1" hidden="1" x14ac:dyDescent="0.2">
      <c r="A295" s="1">
        <v>42888</v>
      </c>
      <c r="B295">
        <v>1301271</v>
      </c>
      <c r="C295">
        <v>1301271</v>
      </c>
      <c r="D295">
        <v>1297394</v>
      </c>
    </row>
    <row r="296" spans="1:4" customFormat="1" hidden="1" x14ac:dyDescent="0.2">
      <c r="A296" s="1">
        <v>42891</v>
      </c>
      <c r="B296">
        <v>1299455</v>
      </c>
      <c r="C296">
        <v>1299455</v>
      </c>
      <c r="D296">
        <v>1295578</v>
      </c>
    </row>
    <row r="297" spans="1:4" customFormat="1" hidden="1" x14ac:dyDescent="0.2">
      <c r="A297" s="1">
        <v>42892</v>
      </c>
      <c r="B297">
        <v>1298636.5</v>
      </c>
      <c r="C297">
        <v>1298636.5</v>
      </c>
      <c r="D297">
        <v>1294759.5</v>
      </c>
    </row>
    <row r="298" spans="1:4" customFormat="1" hidden="1" x14ac:dyDescent="0.2">
      <c r="A298" s="1">
        <v>42893</v>
      </c>
      <c r="B298">
        <v>1304638.5</v>
      </c>
      <c r="C298">
        <v>1304638.5</v>
      </c>
      <c r="D298">
        <v>1300761.5</v>
      </c>
    </row>
    <row r="299" spans="1:4" customFormat="1" hidden="1" x14ac:dyDescent="0.2">
      <c r="A299" s="1">
        <v>42894</v>
      </c>
      <c r="B299">
        <v>1306353.5</v>
      </c>
      <c r="C299">
        <v>1306353.5</v>
      </c>
      <c r="D299">
        <v>1302476.5</v>
      </c>
    </row>
    <row r="300" spans="1:4" customFormat="1" hidden="1" x14ac:dyDescent="0.2">
      <c r="A300" s="1">
        <v>42895</v>
      </c>
      <c r="B300">
        <v>1310188</v>
      </c>
      <c r="C300">
        <v>1310188</v>
      </c>
      <c r="D300">
        <v>1306311</v>
      </c>
    </row>
    <row r="301" spans="1:4" customFormat="1" hidden="1" x14ac:dyDescent="0.2">
      <c r="A301" s="1">
        <v>42898</v>
      </c>
      <c r="B301">
        <v>1311204.5</v>
      </c>
      <c r="C301">
        <v>1311204.5</v>
      </c>
      <c r="D301">
        <v>1307327.5</v>
      </c>
    </row>
    <row r="302" spans="1:4" customFormat="1" hidden="1" x14ac:dyDescent="0.2">
      <c r="A302" s="1">
        <v>42899</v>
      </c>
      <c r="B302">
        <v>1312493.5</v>
      </c>
      <c r="C302">
        <v>1312493.5</v>
      </c>
      <c r="D302">
        <v>1308616.5</v>
      </c>
    </row>
    <row r="303" spans="1:4" customFormat="1" hidden="1" x14ac:dyDescent="0.2">
      <c r="A303" s="1">
        <v>42900</v>
      </c>
      <c r="B303">
        <v>1313785.5</v>
      </c>
      <c r="C303">
        <v>1313785.5</v>
      </c>
      <c r="D303">
        <v>1309908.5</v>
      </c>
    </row>
    <row r="304" spans="1:4" customFormat="1" hidden="1" x14ac:dyDescent="0.2">
      <c r="A304" s="1">
        <v>42901</v>
      </c>
      <c r="B304">
        <v>1311673.5</v>
      </c>
      <c r="C304">
        <v>1311673.5</v>
      </c>
      <c r="D304">
        <v>1307796.5</v>
      </c>
    </row>
    <row r="305" spans="1:4" customFormat="1" hidden="1" x14ac:dyDescent="0.2">
      <c r="A305" s="1">
        <v>42902</v>
      </c>
      <c r="B305">
        <v>1309618.5</v>
      </c>
      <c r="C305">
        <v>1309618.5</v>
      </c>
      <c r="D305">
        <v>1305741.5</v>
      </c>
    </row>
    <row r="306" spans="1:4" customFormat="1" hidden="1" x14ac:dyDescent="0.2">
      <c r="A306" s="1">
        <v>42905</v>
      </c>
      <c r="B306">
        <v>1310159</v>
      </c>
      <c r="C306">
        <v>1310159</v>
      </c>
      <c r="D306">
        <v>1306282</v>
      </c>
    </row>
    <row r="307" spans="1:4" customFormat="1" hidden="1" x14ac:dyDescent="0.2">
      <c r="A307" s="1">
        <v>42906</v>
      </c>
      <c r="B307">
        <v>1311432</v>
      </c>
      <c r="C307">
        <v>1311432</v>
      </c>
      <c r="D307">
        <v>1307555</v>
      </c>
    </row>
    <row r="308" spans="1:4" customFormat="1" hidden="1" x14ac:dyDescent="0.2">
      <c r="A308" s="1">
        <v>42907</v>
      </c>
      <c r="B308">
        <v>1309260.5</v>
      </c>
      <c r="C308">
        <v>1309260.5</v>
      </c>
      <c r="D308">
        <v>1305383.5</v>
      </c>
    </row>
    <row r="309" spans="1:4" customFormat="1" hidden="1" x14ac:dyDescent="0.2">
      <c r="A309" s="1">
        <v>42908</v>
      </c>
      <c r="B309">
        <v>1310698</v>
      </c>
      <c r="C309">
        <v>1310698</v>
      </c>
      <c r="D309">
        <v>1306821</v>
      </c>
    </row>
    <row r="310" spans="1:4" customFormat="1" hidden="1" x14ac:dyDescent="0.2">
      <c r="A310" s="1">
        <v>42909</v>
      </c>
      <c r="B310">
        <v>1312713</v>
      </c>
      <c r="C310">
        <v>1312713</v>
      </c>
      <c r="D310">
        <v>1308836</v>
      </c>
    </row>
    <row r="311" spans="1:4" customFormat="1" hidden="1" x14ac:dyDescent="0.2">
      <c r="A311" s="1">
        <v>42912</v>
      </c>
      <c r="B311">
        <v>1313179</v>
      </c>
      <c r="C311">
        <v>1313179</v>
      </c>
      <c r="D311">
        <v>1309302</v>
      </c>
    </row>
    <row r="312" spans="1:4" customFormat="1" hidden="1" x14ac:dyDescent="0.2">
      <c r="A312" s="1">
        <v>42913</v>
      </c>
      <c r="B312">
        <v>1314648.5</v>
      </c>
      <c r="C312">
        <v>1314648.5</v>
      </c>
      <c r="D312">
        <v>1310771.5</v>
      </c>
    </row>
    <row r="313" spans="1:4" customFormat="1" hidden="1" x14ac:dyDescent="0.2">
      <c r="A313" s="1">
        <v>42914</v>
      </c>
      <c r="B313">
        <v>1311902</v>
      </c>
      <c r="C313">
        <v>1311902</v>
      </c>
      <c r="D313">
        <v>1308025</v>
      </c>
    </row>
    <row r="314" spans="1:4" customFormat="1" hidden="1" x14ac:dyDescent="0.2">
      <c r="A314" s="1">
        <v>42915</v>
      </c>
      <c r="B314">
        <v>1316124</v>
      </c>
      <c r="C314">
        <v>1316124</v>
      </c>
      <c r="D314">
        <v>1312247</v>
      </c>
    </row>
    <row r="315" spans="1:4" customFormat="1" hidden="1" x14ac:dyDescent="0.2">
      <c r="A315" s="1">
        <v>42916</v>
      </c>
      <c r="B315">
        <v>1318181.5</v>
      </c>
      <c r="C315">
        <v>1318181.5</v>
      </c>
      <c r="D315">
        <v>1314304.5</v>
      </c>
    </row>
    <row r="316" spans="1:4" customFormat="1" hidden="1" x14ac:dyDescent="0.2">
      <c r="A316" s="1">
        <v>42919</v>
      </c>
      <c r="B316">
        <v>1320804</v>
      </c>
      <c r="C316">
        <v>1320804</v>
      </c>
      <c r="D316">
        <v>1316927</v>
      </c>
    </row>
    <row r="317" spans="1:4" customFormat="1" hidden="1" x14ac:dyDescent="0.2">
      <c r="A317" s="1">
        <v>42920</v>
      </c>
      <c r="B317">
        <v>1321825.5</v>
      </c>
      <c r="C317">
        <v>1321825.5</v>
      </c>
      <c r="D317">
        <v>1317948.5</v>
      </c>
    </row>
    <row r="318" spans="1:4" customFormat="1" hidden="1" x14ac:dyDescent="0.2">
      <c r="A318" s="1">
        <v>42921</v>
      </c>
      <c r="B318">
        <v>1312969.5</v>
      </c>
      <c r="C318">
        <v>1312969.5</v>
      </c>
      <c r="D318">
        <v>1309092.5</v>
      </c>
    </row>
    <row r="319" spans="1:4" customFormat="1" hidden="1" x14ac:dyDescent="0.2">
      <c r="A319" s="1">
        <v>42922</v>
      </c>
      <c r="B319">
        <v>1315055.5</v>
      </c>
      <c r="C319">
        <v>1315055.5</v>
      </c>
      <c r="D319">
        <v>1311178.5</v>
      </c>
    </row>
    <row r="320" spans="1:4" customFormat="1" hidden="1" x14ac:dyDescent="0.2">
      <c r="A320" s="1">
        <v>42923</v>
      </c>
      <c r="B320">
        <v>1314703</v>
      </c>
      <c r="C320">
        <v>1314703</v>
      </c>
      <c r="D320">
        <v>1310826</v>
      </c>
    </row>
    <row r="321" spans="1:4" customFormat="1" hidden="1" x14ac:dyDescent="0.2">
      <c r="A321" s="1">
        <v>42926</v>
      </c>
      <c r="B321">
        <v>1318616.5</v>
      </c>
      <c r="C321">
        <v>1318616.5</v>
      </c>
      <c r="D321">
        <v>1314739.5</v>
      </c>
    </row>
    <row r="322" spans="1:4" customFormat="1" hidden="1" x14ac:dyDescent="0.2">
      <c r="A322" s="1">
        <v>42927</v>
      </c>
      <c r="B322">
        <v>1318202.5</v>
      </c>
      <c r="C322">
        <v>1318202.5</v>
      </c>
      <c r="D322">
        <v>1314325.5</v>
      </c>
    </row>
    <row r="323" spans="1:4" customFormat="1" hidden="1" x14ac:dyDescent="0.2">
      <c r="A323" s="1">
        <v>42928</v>
      </c>
      <c r="B323">
        <v>1315817</v>
      </c>
      <c r="C323">
        <v>1315817</v>
      </c>
      <c r="D323">
        <v>1311940</v>
      </c>
    </row>
    <row r="324" spans="1:4" customFormat="1" hidden="1" x14ac:dyDescent="0.2">
      <c r="A324" s="1">
        <v>42929</v>
      </c>
      <c r="B324">
        <v>1312140.5</v>
      </c>
      <c r="C324">
        <v>1312140.5</v>
      </c>
      <c r="D324">
        <v>1308263.5</v>
      </c>
    </row>
    <row r="325" spans="1:4" customFormat="1" hidden="1" x14ac:dyDescent="0.2">
      <c r="A325" s="1">
        <v>42930</v>
      </c>
      <c r="B325">
        <v>1309837.5</v>
      </c>
      <c r="C325">
        <v>1309837.5</v>
      </c>
      <c r="D325">
        <v>1310879</v>
      </c>
    </row>
    <row r="326" spans="1:4" customFormat="1" hidden="1" x14ac:dyDescent="0.2">
      <c r="A326" s="1">
        <v>42933</v>
      </c>
      <c r="B326">
        <v>1302096</v>
      </c>
      <c r="C326">
        <v>1302096</v>
      </c>
      <c r="D326">
        <v>1303137.5</v>
      </c>
    </row>
    <row r="327" spans="1:4" customFormat="1" hidden="1" x14ac:dyDescent="0.2">
      <c r="A327" s="1">
        <v>42934</v>
      </c>
      <c r="B327">
        <v>1307647</v>
      </c>
      <c r="C327">
        <v>1307647</v>
      </c>
      <c r="D327">
        <v>1308688.5</v>
      </c>
    </row>
    <row r="328" spans="1:4" customFormat="1" hidden="1" x14ac:dyDescent="0.2">
      <c r="A328" s="1">
        <v>42935</v>
      </c>
      <c r="B328">
        <v>1310200</v>
      </c>
      <c r="C328">
        <v>1310200</v>
      </c>
      <c r="D328">
        <v>1311241.5</v>
      </c>
    </row>
    <row r="329" spans="1:4" customFormat="1" hidden="1" x14ac:dyDescent="0.2">
      <c r="A329" s="1">
        <v>42936</v>
      </c>
      <c r="B329">
        <v>1313411.5</v>
      </c>
      <c r="C329">
        <v>1313411.5</v>
      </c>
      <c r="D329">
        <v>1314744</v>
      </c>
    </row>
    <row r="330" spans="1:4" customFormat="1" hidden="1" x14ac:dyDescent="0.2">
      <c r="A330" s="1">
        <v>42937</v>
      </c>
      <c r="B330">
        <v>1320181.5</v>
      </c>
      <c r="C330">
        <v>1320181.5</v>
      </c>
      <c r="D330">
        <v>1322749</v>
      </c>
    </row>
    <row r="331" spans="1:4" customFormat="1" hidden="1" x14ac:dyDescent="0.2">
      <c r="A331" s="1">
        <v>42940</v>
      </c>
      <c r="B331">
        <v>1324918</v>
      </c>
      <c r="C331">
        <v>1324918</v>
      </c>
      <c r="D331">
        <v>1327485.5</v>
      </c>
    </row>
    <row r="332" spans="1:4" customFormat="1" hidden="1" x14ac:dyDescent="0.2">
      <c r="A332" s="1">
        <v>42941</v>
      </c>
      <c r="B332">
        <v>1329147</v>
      </c>
      <c r="C332">
        <v>1329147</v>
      </c>
      <c r="D332">
        <v>1331714.5</v>
      </c>
    </row>
    <row r="333" spans="1:4" customFormat="1" hidden="1" x14ac:dyDescent="0.2">
      <c r="A333" s="1">
        <v>42942</v>
      </c>
      <c r="B333">
        <v>1327768.5</v>
      </c>
      <c r="C333">
        <v>1327768.5</v>
      </c>
      <c r="D333">
        <v>1330336</v>
      </c>
    </row>
    <row r="334" spans="1:4" customFormat="1" hidden="1" x14ac:dyDescent="0.2">
      <c r="A334" s="1">
        <v>42943</v>
      </c>
      <c r="B334">
        <v>1328908.5</v>
      </c>
      <c r="C334">
        <v>1328908.5</v>
      </c>
      <c r="D334">
        <v>1331476</v>
      </c>
    </row>
    <row r="335" spans="1:4" customFormat="1" hidden="1" x14ac:dyDescent="0.2">
      <c r="A335" s="1">
        <v>42944</v>
      </c>
      <c r="B335">
        <v>1329819</v>
      </c>
      <c r="C335">
        <v>1329819</v>
      </c>
      <c r="D335">
        <v>1332386.5</v>
      </c>
    </row>
    <row r="336" spans="1:4" customFormat="1" hidden="1" x14ac:dyDescent="0.2">
      <c r="A336" s="1">
        <v>42947</v>
      </c>
      <c r="B336">
        <v>1330870.5</v>
      </c>
      <c r="C336">
        <v>1330870.5</v>
      </c>
      <c r="D336">
        <v>1333438</v>
      </c>
    </row>
    <row r="337" spans="1:4" customFormat="1" hidden="1" x14ac:dyDescent="0.2">
      <c r="A337" s="1">
        <v>42948</v>
      </c>
      <c r="B337">
        <v>1330024.5</v>
      </c>
      <c r="C337">
        <v>1330024.5</v>
      </c>
      <c r="D337">
        <v>1332592</v>
      </c>
    </row>
    <row r="338" spans="1:4" customFormat="1" hidden="1" x14ac:dyDescent="0.2">
      <c r="A338" s="1">
        <v>42949</v>
      </c>
      <c r="B338">
        <v>1331019.5</v>
      </c>
      <c r="C338">
        <v>1331019.5</v>
      </c>
      <c r="D338">
        <v>1333587</v>
      </c>
    </row>
    <row r="339" spans="1:4" customFormat="1" hidden="1" x14ac:dyDescent="0.2">
      <c r="A339" s="1">
        <v>42950</v>
      </c>
      <c r="B339">
        <v>1332582.5</v>
      </c>
      <c r="C339">
        <v>1332582.5</v>
      </c>
      <c r="D339">
        <v>1329859.5</v>
      </c>
    </row>
    <row r="340" spans="1:4" customFormat="1" hidden="1" x14ac:dyDescent="0.2">
      <c r="A340" s="1">
        <v>42951</v>
      </c>
      <c r="B340">
        <v>1334414</v>
      </c>
      <c r="C340">
        <v>1334414</v>
      </c>
      <c r="D340">
        <v>1332582.5</v>
      </c>
    </row>
    <row r="341" spans="1:4" customFormat="1" hidden="1" x14ac:dyDescent="0.2">
      <c r="A341" s="1">
        <v>42954</v>
      </c>
      <c r="B341">
        <v>1334660</v>
      </c>
      <c r="C341">
        <v>1334660</v>
      </c>
      <c r="D341">
        <v>1332828.5</v>
      </c>
    </row>
    <row r="342" spans="1:4" customFormat="1" hidden="1" x14ac:dyDescent="0.2">
      <c r="A342" s="1">
        <v>42955</v>
      </c>
      <c r="B342">
        <v>1336084.5</v>
      </c>
      <c r="C342">
        <v>1336084.5</v>
      </c>
      <c r="D342">
        <v>1334253</v>
      </c>
    </row>
    <row r="343" spans="1:4" customFormat="1" hidden="1" x14ac:dyDescent="0.2">
      <c r="A343" s="1">
        <v>42956</v>
      </c>
      <c r="B343">
        <v>1338022</v>
      </c>
      <c r="C343">
        <v>1338022</v>
      </c>
      <c r="D343">
        <v>1336190.5</v>
      </c>
    </row>
    <row r="344" spans="1:4" customFormat="1" hidden="1" x14ac:dyDescent="0.2">
      <c r="A344" s="1">
        <v>42957</v>
      </c>
      <c r="B344">
        <v>1341110</v>
      </c>
      <c r="C344">
        <v>1341110</v>
      </c>
      <c r="D344">
        <v>1339278.5</v>
      </c>
    </row>
    <row r="345" spans="1:4" customFormat="1" hidden="1" x14ac:dyDescent="0.2">
      <c r="A345" s="1">
        <v>42958</v>
      </c>
      <c r="B345">
        <v>1336027</v>
      </c>
      <c r="C345">
        <v>1336027</v>
      </c>
      <c r="D345">
        <v>1334195.5</v>
      </c>
    </row>
    <row r="346" spans="1:4" customFormat="1" hidden="1" x14ac:dyDescent="0.2">
      <c r="A346" s="1">
        <v>42961</v>
      </c>
      <c r="B346">
        <v>1337853.5</v>
      </c>
      <c r="C346">
        <v>1337853.5</v>
      </c>
      <c r="D346">
        <v>1336022</v>
      </c>
    </row>
    <row r="347" spans="1:4" customFormat="1" hidden="1" x14ac:dyDescent="0.2">
      <c r="A347" s="1">
        <v>42962</v>
      </c>
      <c r="B347">
        <v>1339134</v>
      </c>
      <c r="C347">
        <v>1339134</v>
      </c>
      <c r="D347">
        <v>1337302.5</v>
      </c>
    </row>
    <row r="348" spans="1:4" customFormat="1" hidden="1" x14ac:dyDescent="0.2">
      <c r="A348" s="1">
        <v>42963</v>
      </c>
      <c r="B348">
        <v>1339194</v>
      </c>
      <c r="C348">
        <v>1339194</v>
      </c>
      <c r="D348">
        <v>1337362.5</v>
      </c>
    </row>
    <row r="349" spans="1:4" customFormat="1" hidden="1" x14ac:dyDescent="0.2">
      <c r="A349" s="1">
        <v>42964</v>
      </c>
      <c r="B349">
        <v>1339671</v>
      </c>
      <c r="C349">
        <v>1339671</v>
      </c>
      <c r="D349">
        <v>1337839.5</v>
      </c>
    </row>
    <row r="350" spans="1:4" customFormat="1" hidden="1" x14ac:dyDescent="0.2">
      <c r="A350" s="1">
        <v>42965</v>
      </c>
      <c r="B350">
        <v>1340721.5</v>
      </c>
      <c r="C350">
        <v>1340721.5</v>
      </c>
      <c r="D350">
        <v>1338890</v>
      </c>
    </row>
    <row r="351" spans="1:4" customFormat="1" hidden="1" x14ac:dyDescent="0.2">
      <c r="A351" s="1">
        <v>42968</v>
      </c>
      <c r="B351">
        <v>1343770.5</v>
      </c>
      <c r="C351">
        <v>1343770.5</v>
      </c>
      <c r="D351">
        <v>1341939</v>
      </c>
    </row>
    <row r="352" spans="1:4" customFormat="1" hidden="1" x14ac:dyDescent="0.2">
      <c r="A352" s="1">
        <v>42969</v>
      </c>
      <c r="B352">
        <v>1345851</v>
      </c>
      <c r="C352">
        <v>1345851</v>
      </c>
      <c r="D352">
        <v>1344019.5</v>
      </c>
    </row>
    <row r="353" spans="1:4" customFormat="1" hidden="1" x14ac:dyDescent="0.2">
      <c r="A353" s="1">
        <v>42970</v>
      </c>
      <c r="B353">
        <v>1342875.5</v>
      </c>
      <c r="C353">
        <v>1342875.5</v>
      </c>
      <c r="D353">
        <v>1341044</v>
      </c>
    </row>
    <row r="354" spans="1:4" customFormat="1" hidden="1" x14ac:dyDescent="0.2">
      <c r="A354" s="1">
        <v>42971</v>
      </c>
      <c r="B354">
        <v>1344089</v>
      </c>
      <c r="C354">
        <v>1344089</v>
      </c>
      <c r="D354">
        <v>1342257.5</v>
      </c>
    </row>
    <row r="355" spans="1:4" customFormat="1" hidden="1" x14ac:dyDescent="0.2">
      <c r="A355" s="1">
        <v>42972</v>
      </c>
      <c r="B355">
        <v>1333130</v>
      </c>
      <c r="C355">
        <v>1333130</v>
      </c>
      <c r="D355">
        <v>1331298.5</v>
      </c>
    </row>
    <row r="356" spans="1:4" customFormat="1" hidden="1" x14ac:dyDescent="0.2">
      <c r="A356" s="1">
        <v>42975</v>
      </c>
      <c r="B356">
        <v>1329197</v>
      </c>
      <c r="C356">
        <v>1329197</v>
      </c>
      <c r="D356">
        <v>1327365.5</v>
      </c>
    </row>
    <row r="357" spans="1:4" customFormat="1" hidden="1" x14ac:dyDescent="0.2">
      <c r="A357" s="1">
        <v>42976</v>
      </c>
      <c r="B357">
        <v>1328204</v>
      </c>
      <c r="C357">
        <v>1328204</v>
      </c>
      <c r="D357">
        <v>1326372.5</v>
      </c>
    </row>
    <row r="358" spans="1:4" customFormat="1" hidden="1" x14ac:dyDescent="0.2">
      <c r="A358" s="1">
        <v>42977</v>
      </c>
      <c r="B358">
        <v>1328333</v>
      </c>
      <c r="C358">
        <v>1328333</v>
      </c>
      <c r="D358">
        <v>1326501.5</v>
      </c>
    </row>
    <row r="359" spans="1:4" customFormat="1" hidden="1" x14ac:dyDescent="0.2">
      <c r="A359" s="1">
        <v>42978</v>
      </c>
      <c r="B359">
        <v>1327569.5</v>
      </c>
      <c r="C359">
        <v>1327569.5</v>
      </c>
      <c r="D359">
        <v>1325738</v>
      </c>
    </row>
    <row r="360" spans="1:4" customFormat="1" hidden="1" x14ac:dyDescent="0.2">
      <c r="A360" s="1">
        <v>42979</v>
      </c>
      <c r="B360">
        <v>1326947.5</v>
      </c>
      <c r="C360">
        <v>1326947.5</v>
      </c>
      <c r="D360">
        <v>1325116</v>
      </c>
    </row>
    <row r="361" spans="1:4" customFormat="1" hidden="1" x14ac:dyDescent="0.2">
      <c r="A361" s="1">
        <v>42982</v>
      </c>
      <c r="B361">
        <v>1327402.5</v>
      </c>
      <c r="C361">
        <v>1327402.5</v>
      </c>
      <c r="D361">
        <v>1325571</v>
      </c>
    </row>
    <row r="362" spans="1:4" customFormat="1" hidden="1" x14ac:dyDescent="0.2">
      <c r="A362" s="1">
        <v>42983</v>
      </c>
      <c r="B362">
        <v>1326939</v>
      </c>
      <c r="C362">
        <v>1326939</v>
      </c>
      <c r="D362">
        <v>1325107.5</v>
      </c>
    </row>
    <row r="363" spans="1:4" customFormat="1" hidden="1" x14ac:dyDescent="0.2">
      <c r="A363" s="1">
        <v>42984</v>
      </c>
      <c r="B363">
        <v>1326263.5</v>
      </c>
      <c r="C363">
        <v>1326263.5</v>
      </c>
      <c r="D363">
        <v>1324432</v>
      </c>
    </row>
    <row r="364" spans="1:4" customFormat="1" hidden="1" x14ac:dyDescent="0.2">
      <c r="A364" s="1">
        <v>42985</v>
      </c>
      <c r="B364">
        <v>1326616</v>
      </c>
      <c r="C364">
        <v>1326616</v>
      </c>
      <c r="D364">
        <v>1324784.5</v>
      </c>
    </row>
    <row r="365" spans="1:4" customFormat="1" hidden="1" x14ac:dyDescent="0.2">
      <c r="A365" s="1">
        <v>42986</v>
      </c>
      <c r="B365">
        <v>1327826</v>
      </c>
      <c r="C365">
        <v>1327826</v>
      </c>
      <c r="D365">
        <v>1325994.5</v>
      </c>
    </row>
    <row r="366" spans="1:4" customFormat="1" hidden="1" x14ac:dyDescent="0.2">
      <c r="A366" s="1">
        <v>42989</v>
      </c>
      <c r="B366">
        <v>1327754.5</v>
      </c>
      <c r="C366">
        <v>1327754.5</v>
      </c>
      <c r="D366">
        <v>1325923</v>
      </c>
    </row>
    <row r="367" spans="1:4" customFormat="1" hidden="1" x14ac:dyDescent="0.2">
      <c r="A367" s="1">
        <v>42990</v>
      </c>
      <c r="B367">
        <v>1327586.5</v>
      </c>
      <c r="C367">
        <v>1327586.5</v>
      </c>
      <c r="D367">
        <v>1325755</v>
      </c>
    </row>
    <row r="368" spans="1:4" customFormat="1" hidden="1" x14ac:dyDescent="0.2">
      <c r="A368" s="1">
        <v>42991</v>
      </c>
      <c r="B368">
        <v>1326238</v>
      </c>
      <c r="C368">
        <v>1326238</v>
      </c>
      <c r="D368">
        <v>1324406.5</v>
      </c>
    </row>
    <row r="369" spans="1:4" customFormat="1" hidden="1" x14ac:dyDescent="0.2">
      <c r="A369" s="1">
        <v>42992</v>
      </c>
      <c r="B369">
        <v>1336188</v>
      </c>
      <c r="C369">
        <v>1336188</v>
      </c>
      <c r="D369">
        <v>1334356.5</v>
      </c>
    </row>
    <row r="370" spans="1:4" customFormat="1" hidden="1" x14ac:dyDescent="0.2">
      <c r="A370" s="1">
        <v>42993</v>
      </c>
      <c r="B370">
        <v>1338283.5</v>
      </c>
      <c r="C370">
        <v>1338283.5</v>
      </c>
      <c r="D370">
        <v>1336452</v>
      </c>
    </row>
    <row r="371" spans="1:4" customFormat="1" hidden="1" x14ac:dyDescent="0.2">
      <c r="A371" s="1">
        <v>42996</v>
      </c>
      <c r="B371">
        <v>1339323.5</v>
      </c>
      <c r="C371">
        <v>1339323.5</v>
      </c>
      <c r="D371">
        <v>1337492</v>
      </c>
    </row>
    <row r="372" spans="1:4" customFormat="1" hidden="1" x14ac:dyDescent="0.2">
      <c r="A372" s="1">
        <v>42997</v>
      </c>
      <c r="B372">
        <v>1342163.5</v>
      </c>
      <c r="C372">
        <v>1342163.5</v>
      </c>
      <c r="D372">
        <v>1340332</v>
      </c>
    </row>
    <row r="373" spans="1:4" customFormat="1" hidden="1" x14ac:dyDescent="0.2">
      <c r="A373" s="1">
        <v>42998</v>
      </c>
      <c r="B373">
        <v>1343195</v>
      </c>
      <c r="C373">
        <v>1343195</v>
      </c>
      <c r="D373">
        <v>1341363.5</v>
      </c>
    </row>
    <row r="374" spans="1:4" customFormat="1" hidden="1" x14ac:dyDescent="0.2">
      <c r="A374" s="1">
        <v>42999</v>
      </c>
      <c r="B374">
        <v>1343231</v>
      </c>
      <c r="C374">
        <v>1343231</v>
      </c>
      <c r="D374">
        <v>1341399.5</v>
      </c>
    </row>
    <row r="375" spans="1:4" customFormat="1" hidden="1" x14ac:dyDescent="0.2">
      <c r="A375" s="1">
        <v>43000</v>
      </c>
      <c r="B375">
        <v>1343955</v>
      </c>
      <c r="C375">
        <v>1343955</v>
      </c>
      <c r="D375">
        <v>1342123.5</v>
      </c>
    </row>
    <row r="376" spans="1:4" customFormat="1" hidden="1" x14ac:dyDescent="0.2">
      <c r="A376" s="1">
        <v>43003</v>
      </c>
      <c r="B376">
        <v>1344667.5</v>
      </c>
      <c r="C376">
        <v>1344667.5</v>
      </c>
      <c r="D376">
        <v>1342836</v>
      </c>
    </row>
    <row r="377" spans="1:4" customFormat="1" hidden="1" x14ac:dyDescent="0.2">
      <c r="A377" s="1">
        <v>43004</v>
      </c>
      <c r="B377">
        <v>1347321.5</v>
      </c>
      <c r="C377">
        <v>1347321.5</v>
      </c>
      <c r="D377">
        <v>1345490</v>
      </c>
    </row>
    <row r="378" spans="1:4" customFormat="1" hidden="1" x14ac:dyDescent="0.2">
      <c r="A378" s="1">
        <v>43005</v>
      </c>
      <c r="B378">
        <v>1344581</v>
      </c>
      <c r="C378">
        <v>1344581</v>
      </c>
      <c r="D378">
        <v>1342749.5</v>
      </c>
    </row>
    <row r="379" spans="1:4" customFormat="1" hidden="1" x14ac:dyDescent="0.2">
      <c r="A379" s="1">
        <v>43006</v>
      </c>
      <c r="B379">
        <v>1351931</v>
      </c>
      <c r="C379">
        <v>1351931</v>
      </c>
      <c r="D379">
        <v>1350099.5</v>
      </c>
    </row>
    <row r="380" spans="1:4" customFormat="1" hidden="1" x14ac:dyDescent="0.2">
      <c r="A380" s="1">
        <v>43007</v>
      </c>
      <c r="B380">
        <v>1350155.5</v>
      </c>
      <c r="C380">
        <v>1350155.5</v>
      </c>
      <c r="D380">
        <v>1348324</v>
      </c>
    </row>
    <row r="381" spans="1:4" customFormat="1" hidden="1" x14ac:dyDescent="0.2">
      <c r="A381" s="1">
        <v>43017</v>
      </c>
      <c r="B381">
        <v>1352299</v>
      </c>
      <c r="C381">
        <v>1352299</v>
      </c>
      <c r="D381">
        <v>1350467.5</v>
      </c>
    </row>
    <row r="382" spans="1:4" customFormat="1" hidden="1" x14ac:dyDescent="0.2">
      <c r="A382" s="1">
        <v>43018</v>
      </c>
      <c r="B382">
        <v>1354951.5</v>
      </c>
      <c r="C382">
        <v>1354951.5</v>
      </c>
      <c r="D382">
        <v>1353120</v>
      </c>
    </row>
    <row r="383" spans="1:4" customFormat="1" hidden="1" x14ac:dyDescent="0.2">
      <c r="A383" s="1">
        <v>43019</v>
      </c>
      <c r="B383">
        <v>1357864.5</v>
      </c>
      <c r="C383">
        <v>1357864.5</v>
      </c>
      <c r="D383">
        <v>1356033</v>
      </c>
    </row>
    <row r="384" spans="1:4" customFormat="1" hidden="1" x14ac:dyDescent="0.2">
      <c r="A384" s="1">
        <v>43020</v>
      </c>
      <c r="B384">
        <v>1357975</v>
      </c>
      <c r="C384">
        <v>1357975</v>
      </c>
      <c r="D384">
        <v>1356143.5</v>
      </c>
    </row>
    <row r="385" spans="1:4" customFormat="1" hidden="1" x14ac:dyDescent="0.2">
      <c r="A385" s="1">
        <v>43021</v>
      </c>
      <c r="B385">
        <v>1357801</v>
      </c>
      <c r="C385">
        <v>1357801</v>
      </c>
      <c r="D385">
        <v>1355969.5</v>
      </c>
    </row>
    <row r="386" spans="1:4" customFormat="1" hidden="1" x14ac:dyDescent="0.2">
      <c r="A386" s="1">
        <v>43024</v>
      </c>
      <c r="B386">
        <v>1358102.5</v>
      </c>
      <c r="C386">
        <v>1358102.5</v>
      </c>
      <c r="D386">
        <v>1356271</v>
      </c>
    </row>
    <row r="387" spans="1:4" customFormat="1" hidden="1" x14ac:dyDescent="0.2">
      <c r="A387" s="1">
        <v>43025</v>
      </c>
      <c r="B387">
        <v>1359608.5</v>
      </c>
      <c r="C387">
        <v>1359608.5</v>
      </c>
      <c r="D387">
        <v>1357777</v>
      </c>
    </row>
    <row r="388" spans="1:4" customFormat="1" hidden="1" x14ac:dyDescent="0.2">
      <c r="A388" s="1">
        <v>43026</v>
      </c>
      <c r="B388">
        <v>1360312.5</v>
      </c>
      <c r="C388">
        <v>1360312.5</v>
      </c>
      <c r="D388">
        <v>1358481</v>
      </c>
    </row>
    <row r="389" spans="1:4" customFormat="1" hidden="1" x14ac:dyDescent="0.2">
      <c r="A389" s="1">
        <v>43027</v>
      </c>
      <c r="B389">
        <v>1359028.5</v>
      </c>
      <c r="C389">
        <v>1359028.5</v>
      </c>
      <c r="D389">
        <v>1357197</v>
      </c>
    </row>
    <row r="390" spans="1:4" customFormat="1" hidden="1" x14ac:dyDescent="0.2">
      <c r="A390" s="1">
        <v>43028</v>
      </c>
      <c r="B390">
        <v>1359387.5</v>
      </c>
      <c r="C390">
        <v>1359387.5</v>
      </c>
      <c r="D390">
        <v>1357556</v>
      </c>
    </row>
    <row r="391" spans="1:4" customFormat="1" hidden="1" x14ac:dyDescent="0.2">
      <c r="A391" s="1">
        <v>43031</v>
      </c>
      <c r="B391">
        <v>1361221</v>
      </c>
      <c r="C391">
        <v>1361221</v>
      </c>
      <c r="D391">
        <v>1359389.5</v>
      </c>
    </row>
    <row r="392" spans="1:4" customFormat="1" hidden="1" x14ac:dyDescent="0.2">
      <c r="A392" s="1">
        <v>43032</v>
      </c>
      <c r="B392">
        <v>1357249.5</v>
      </c>
      <c r="C392">
        <v>1357249.5</v>
      </c>
      <c r="D392">
        <v>1355418</v>
      </c>
    </row>
    <row r="393" spans="1:4" customFormat="1" hidden="1" x14ac:dyDescent="0.2">
      <c r="A393" s="1">
        <v>43033</v>
      </c>
      <c r="B393">
        <v>1358404.5</v>
      </c>
      <c r="C393">
        <v>1358404.5</v>
      </c>
      <c r="D393">
        <v>1356573</v>
      </c>
    </row>
    <row r="394" spans="1:4" customFormat="1" hidden="1" x14ac:dyDescent="0.2">
      <c r="A394" s="1">
        <v>43034</v>
      </c>
      <c r="B394">
        <v>1358531.5</v>
      </c>
      <c r="C394">
        <v>1358531.5</v>
      </c>
      <c r="D394">
        <v>1356700</v>
      </c>
    </row>
    <row r="395" spans="1:4" customFormat="1" hidden="1" x14ac:dyDescent="0.2">
      <c r="A395" s="1">
        <v>43035</v>
      </c>
      <c r="B395">
        <v>1359658</v>
      </c>
      <c r="C395">
        <v>1359658</v>
      </c>
      <c r="D395">
        <v>1357826.5</v>
      </c>
    </row>
    <row r="396" spans="1:4" customFormat="1" hidden="1" x14ac:dyDescent="0.2">
      <c r="A396" s="1">
        <v>43038</v>
      </c>
      <c r="B396">
        <v>1356242</v>
      </c>
      <c r="C396">
        <v>1356242</v>
      </c>
      <c r="D396">
        <v>1354410.5</v>
      </c>
    </row>
    <row r="397" spans="1:4" customFormat="1" hidden="1" x14ac:dyDescent="0.2">
      <c r="A397" s="1">
        <v>43039</v>
      </c>
      <c r="B397">
        <v>1360181.5</v>
      </c>
      <c r="C397">
        <v>1360181.5</v>
      </c>
      <c r="D397">
        <v>1358350</v>
      </c>
    </row>
    <row r="398" spans="1:4" customFormat="1" hidden="1" x14ac:dyDescent="0.2">
      <c r="A398" s="1">
        <v>43040</v>
      </c>
      <c r="B398">
        <v>1361249.5</v>
      </c>
      <c r="C398">
        <v>1361249.5</v>
      </c>
      <c r="D398">
        <v>1359418</v>
      </c>
    </row>
    <row r="399" spans="1:4" customFormat="1" hidden="1" x14ac:dyDescent="0.2">
      <c r="A399" s="1">
        <v>43041</v>
      </c>
      <c r="B399">
        <v>1361478</v>
      </c>
      <c r="C399">
        <v>1361478</v>
      </c>
      <c r="D399">
        <v>1359646.5</v>
      </c>
    </row>
    <row r="400" spans="1:4" customFormat="1" hidden="1" x14ac:dyDescent="0.2">
      <c r="A400" s="1">
        <v>43042</v>
      </c>
      <c r="B400">
        <v>1362599</v>
      </c>
      <c r="C400">
        <v>1362599</v>
      </c>
      <c r="D400">
        <v>1360767.5</v>
      </c>
    </row>
    <row r="401" spans="1:4" customFormat="1" hidden="1" x14ac:dyDescent="0.2">
      <c r="A401" s="1">
        <v>43045</v>
      </c>
      <c r="B401">
        <v>1363943</v>
      </c>
      <c r="C401">
        <v>1363943</v>
      </c>
      <c r="D401">
        <v>1362111.5</v>
      </c>
    </row>
    <row r="402" spans="1:4" customFormat="1" hidden="1" x14ac:dyDescent="0.2">
      <c r="A402" s="1">
        <v>43046</v>
      </c>
      <c r="B402">
        <v>1360746.5</v>
      </c>
      <c r="C402">
        <v>1360746.5</v>
      </c>
      <c r="D402">
        <v>1358915</v>
      </c>
    </row>
    <row r="403" spans="1:4" customFormat="1" hidden="1" x14ac:dyDescent="0.2">
      <c r="A403" s="1">
        <v>43047</v>
      </c>
      <c r="B403">
        <v>1360955.5</v>
      </c>
      <c r="C403">
        <v>1360955.5</v>
      </c>
      <c r="D403">
        <v>1359124</v>
      </c>
    </row>
    <row r="404" spans="1:4" customFormat="1" hidden="1" x14ac:dyDescent="0.2">
      <c r="A404" s="1">
        <v>43048</v>
      </c>
      <c r="B404">
        <v>1361867</v>
      </c>
      <c r="C404">
        <v>1361867</v>
      </c>
      <c r="D404">
        <v>1360035.5</v>
      </c>
    </row>
    <row r="405" spans="1:4" customFormat="1" hidden="1" x14ac:dyDescent="0.2">
      <c r="A405" s="1">
        <v>43049</v>
      </c>
      <c r="B405">
        <v>1357716</v>
      </c>
      <c r="C405">
        <v>1357716</v>
      </c>
      <c r="D405">
        <v>1355884.5</v>
      </c>
    </row>
    <row r="406" spans="1:4" customFormat="1" hidden="1" x14ac:dyDescent="0.2">
      <c r="A406" s="1">
        <v>43052</v>
      </c>
      <c r="B406">
        <v>1358147.5</v>
      </c>
      <c r="C406">
        <v>1358147.5</v>
      </c>
      <c r="D406">
        <v>1358209.5</v>
      </c>
    </row>
    <row r="407" spans="1:4" customFormat="1" hidden="1" x14ac:dyDescent="0.2">
      <c r="A407" s="1">
        <v>43053</v>
      </c>
      <c r="B407">
        <v>1357272</v>
      </c>
      <c r="C407">
        <v>1357272</v>
      </c>
      <c r="D407">
        <v>1357209</v>
      </c>
    </row>
    <row r="408" spans="1:4" customFormat="1" hidden="1" x14ac:dyDescent="0.2">
      <c r="A408" s="1">
        <v>43054</v>
      </c>
      <c r="B408">
        <v>1354870.5</v>
      </c>
      <c r="C408">
        <v>1354870.5</v>
      </c>
      <c r="D408">
        <v>1353810</v>
      </c>
    </row>
    <row r="409" spans="1:4" customFormat="1" hidden="1" x14ac:dyDescent="0.2">
      <c r="A409" s="1">
        <v>43055</v>
      </c>
      <c r="B409">
        <v>1363758</v>
      </c>
      <c r="C409">
        <v>1363758</v>
      </c>
      <c r="D409">
        <v>1367328.5</v>
      </c>
    </row>
    <row r="410" spans="1:4" customFormat="1" hidden="1" x14ac:dyDescent="0.2">
      <c r="A410" s="1">
        <v>43056</v>
      </c>
      <c r="B410">
        <v>1367169.5</v>
      </c>
      <c r="C410">
        <v>1367169.5</v>
      </c>
      <c r="D410">
        <v>1368084</v>
      </c>
    </row>
    <row r="411" spans="1:4" customFormat="1" hidden="1" x14ac:dyDescent="0.2">
      <c r="A411" s="1">
        <v>43059</v>
      </c>
      <c r="B411">
        <v>1365791</v>
      </c>
      <c r="C411">
        <v>1365791</v>
      </c>
      <c r="D411">
        <v>1366394</v>
      </c>
    </row>
    <row r="412" spans="1:4" customFormat="1" hidden="1" x14ac:dyDescent="0.2">
      <c r="A412" s="1">
        <v>43060</v>
      </c>
      <c r="B412">
        <v>1374177</v>
      </c>
      <c r="C412">
        <v>1374177</v>
      </c>
      <c r="D412">
        <v>1375074.5</v>
      </c>
    </row>
    <row r="413" spans="1:4" customFormat="1" hidden="1" x14ac:dyDescent="0.2">
      <c r="A413" s="1">
        <v>43061</v>
      </c>
      <c r="B413">
        <v>1372289.5</v>
      </c>
      <c r="C413">
        <v>1372289.5</v>
      </c>
      <c r="D413">
        <v>1375047</v>
      </c>
    </row>
    <row r="414" spans="1:4" customFormat="1" hidden="1" x14ac:dyDescent="0.2">
      <c r="A414" s="1">
        <v>43062</v>
      </c>
      <c r="B414">
        <v>1340449</v>
      </c>
      <c r="C414">
        <v>1340449</v>
      </c>
      <c r="D414">
        <v>1351784</v>
      </c>
    </row>
    <row r="415" spans="1:4" customFormat="1" hidden="1" x14ac:dyDescent="0.2">
      <c r="A415" s="1">
        <v>43063</v>
      </c>
      <c r="B415">
        <v>1338989</v>
      </c>
      <c r="C415">
        <v>1338989</v>
      </c>
      <c r="D415">
        <v>1349391.5</v>
      </c>
    </row>
    <row r="416" spans="1:4" customFormat="1" hidden="1" x14ac:dyDescent="0.2">
      <c r="A416" s="1">
        <v>43066</v>
      </c>
      <c r="B416">
        <v>1328947</v>
      </c>
      <c r="C416">
        <v>1328947</v>
      </c>
      <c r="D416">
        <v>1344685.5</v>
      </c>
    </row>
    <row r="417" spans="1:4" customFormat="1" hidden="1" x14ac:dyDescent="0.2">
      <c r="A417" s="1">
        <v>43067</v>
      </c>
      <c r="B417">
        <v>1328924.5</v>
      </c>
      <c r="C417">
        <v>1328924.5</v>
      </c>
      <c r="D417">
        <v>1342736</v>
      </c>
    </row>
    <row r="418" spans="1:4" customFormat="1" hidden="1" x14ac:dyDescent="0.2">
      <c r="A418" s="1">
        <v>43068</v>
      </c>
      <c r="B418">
        <v>1327991.5</v>
      </c>
      <c r="C418">
        <v>1327991.5</v>
      </c>
      <c r="D418">
        <v>1342220.5</v>
      </c>
    </row>
    <row r="419" spans="1:4" customFormat="1" hidden="1" x14ac:dyDescent="0.2">
      <c r="A419" s="1">
        <v>43069</v>
      </c>
      <c r="B419">
        <v>1323400</v>
      </c>
      <c r="C419">
        <v>1323400</v>
      </c>
      <c r="D419">
        <v>1339288</v>
      </c>
    </row>
    <row r="420" spans="1:4" customFormat="1" hidden="1" x14ac:dyDescent="0.2">
      <c r="A420" s="1">
        <v>43070</v>
      </c>
      <c r="B420">
        <v>1319068.5</v>
      </c>
      <c r="C420">
        <v>1319068.5</v>
      </c>
      <c r="D420">
        <v>1335755.5</v>
      </c>
    </row>
    <row r="421" spans="1:4" customFormat="1" hidden="1" x14ac:dyDescent="0.2">
      <c r="A421" s="1">
        <v>43073</v>
      </c>
      <c r="B421">
        <v>1328820.5</v>
      </c>
      <c r="C421">
        <v>1328820.5</v>
      </c>
      <c r="D421">
        <v>1343934</v>
      </c>
    </row>
    <row r="422" spans="1:4" customFormat="1" hidden="1" x14ac:dyDescent="0.2">
      <c r="A422" s="1">
        <v>43074</v>
      </c>
      <c r="B422">
        <v>1330579.5</v>
      </c>
      <c r="C422">
        <v>1330579.5</v>
      </c>
      <c r="D422">
        <v>1343230.5</v>
      </c>
    </row>
    <row r="423" spans="1:4" customFormat="1" hidden="1" x14ac:dyDescent="0.2">
      <c r="A423" s="1">
        <v>43075</v>
      </c>
      <c r="B423">
        <v>1325779.5</v>
      </c>
      <c r="C423">
        <v>1325779.5</v>
      </c>
      <c r="D423">
        <v>1339801.5</v>
      </c>
    </row>
    <row r="424" spans="1:4" customFormat="1" hidden="1" x14ac:dyDescent="0.2">
      <c r="A424" s="1">
        <v>43076</v>
      </c>
      <c r="B424">
        <v>1323131</v>
      </c>
      <c r="C424">
        <v>1323131</v>
      </c>
      <c r="D424">
        <v>1341036</v>
      </c>
    </row>
    <row r="425" spans="1:4" customFormat="1" hidden="1" x14ac:dyDescent="0.2">
      <c r="A425" s="1">
        <v>43077</v>
      </c>
      <c r="B425">
        <v>1329985.5</v>
      </c>
      <c r="C425">
        <v>1329985.5</v>
      </c>
      <c r="D425">
        <v>1342267</v>
      </c>
    </row>
    <row r="426" spans="1:4" customFormat="1" hidden="1" x14ac:dyDescent="0.2">
      <c r="A426" s="1">
        <v>43080</v>
      </c>
      <c r="B426">
        <v>1336479</v>
      </c>
      <c r="C426">
        <v>1336479</v>
      </c>
      <c r="D426">
        <v>1344977.5</v>
      </c>
    </row>
    <row r="427" spans="1:4" customFormat="1" hidden="1" x14ac:dyDescent="0.2">
      <c r="A427" s="1">
        <v>43081</v>
      </c>
      <c r="B427">
        <v>1326362</v>
      </c>
      <c r="C427">
        <v>1326362</v>
      </c>
      <c r="D427">
        <v>1341373</v>
      </c>
    </row>
    <row r="428" spans="1:4" customFormat="1" hidden="1" x14ac:dyDescent="0.2">
      <c r="A428" s="1">
        <v>43082</v>
      </c>
      <c r="B428">
        <v>1328631.5</v>
      </c>
      <c r="C428">
        <v>1328631.5</v>
      </c>
      <c r="D428">
        <v>1342182.5</v>
      </c>
    </row>
    <row r="429" spans="1:4" customFormat="1" hidden="1" x14ac:dyDescent="0.2">
      <c r="A429" s="1">
        <v>43083</v>
      </c>
      <c r="B429">
        <v>1326449</v>
      </c>
      <c r="C429">
        <v>1326449</v>
      </c>
      <c r="D429">
        <v>1340000</v>
      </c>
    </row>
    <row r="430" spans="1:4" customFormat="1" hidden="1" x14ac:dyDescent="0.2">
      <c r="A430" s="1">
        <v>43084</v>
      </c>
      <c r="B430">
        <v>1325983</v>
      </c>
      <c r="C430">
        <v>1325983</v>
      </c>
      <c r="D430">
        <v>1339534</v>
      </c>
    </row>
    <row r="431" spans="1:4" customFormat="1" hidden="1" x14ac:dyDescent="0.2">
      <c r="A431" s="1">
        <v>43087</v>
      </c>
      <c r="B431">
        <v>1323959.5</v>
      </c>
      <c r="C431">
        <v>1323959.5</v>
      </c>
      <c r="D431">
        <v>1337510.5</v>
      </c>
    </row>
    <row r="432" spans="1:4" customFormat="1" hidden="1" x14ac:dyDescent="0.2">
      <c r="A432" s="1">
        <v>43088</v>
      </c>
      <c r="B432">
        <v>1324940.5</v>
      </c>
      <c r="C432">
        <v>1324940.5</v>
      </c>
      <c r="D432">
        <v>1338491.5</v>
      </c>
    </row>
    <row r="433" spans="1:4" customFormat="1" hidden="1" x14ac:dyDescent="0.2">
      <c r="A433" s="1">
        <v>43089</v>
      </c>
      <c r="B433">
        <v>1325800.5</v>
      </c>
      <c r="C433">
        <v>1325800.5</v>
      </c>
      <c r="D433">
        <v>1339351.5</v>
      </c>
    </row>
    <row r="434" spans="1:4" customFormat="1" hidden="1" x14ac:dyDescent="0.2">
      <c r="A434" s="1">
        <v>43090</v>
      </c>
      <c r="B434">
        <v>1324170.5</v>
      </c>
      <c r="C434">
        <v>1324170.5</v>
      </c>
      <c r="D434">
        <v>1337721.5</v>
      </c>
    </row>
    <row r="435" spans="1:4" customFormat="1" hidden="1" x14ac:dyDescent="0.2">
      <c r="A435" s="1">
        <v>43091</v>
      </c>
      <c r="B435">
        <v>1321014</v>
      </c>
      <c r="C435">
        <v>1321014</v>
      </c>
      <c r="D435">
        <v>1334565</v>
      </c>
    </row>
    <row r="436" spans="1:4" customFormat="1" hidden="1" x14ac:dyDescent="0.2">
      <c r="A436" s="1">
        <v>43094</v>
      </c>
      <c r="B436">
        <v>1320687.5</v>
      </c>
      <c r="C436">
        <v>1320687.5</v>
      </c>
      <c r="D436">
        <v>1334238.5</v>
      </c>
    </row>
    <row r="437" spans="1:4" customFormat="1" hidden="1" x14ac:dyDescent="0.2">
      <c r="A437" s="1">
        <v>43095</v>
      </c>
      <c r="B437">
        <v>1321018.5</v>
      </c>
      <c r="C437">
        <v>1321018.5</v>
      </c>
      <c r="D437">
        <v>1334569.5</v>
      </c>
    </row>
    <row r="438" spans="1:4" customFormat="1" hidden="1" x14ac:dyDescent="0.2">
      <c r="A438" s="1">
        <v>43096</v>
      </c>
      <c r="B438">
        <v>1328772</v>
      </c>
      <c r="C438">
        <v>1328772</v>
      </c>
      <c r="D438">
        <v>1342323</v>
      </c>
    </row>
    <row r="439" spans="1:4" customFormat="1" hidden="1" x14ac:dyDescent="0.2">
      <c r="A439" s="1">
        <v>43097</v>
      </c>
      <c r="B439">
        <v>1331859.5</v>
      </c>
      <c r="C439">
        <v>1331859.5</v>
      </c>
      <c r="D439">
        <v>1345410.5</v>
      </c>
    </row>
    <row r="440" spans="1:4" customFormat="1" hidden="1" x14ac:dyDescent="0.2">
      <c r="A440" s="1">
        <v>43098</v>
      </c>
      <c r="B440">
        <v>1327854.5</v>
      </c>
      <c r="C440">
        <v>1327854.5</v>
      </c>
      <c r="D440">
        <v>1341405.5</v>
      </c>
    </row>
    <row r="441" spans="1:4" customFormat="1" hidden="1" x14ac:dyDescent="0.2">
      <c r="A441" s="1">
        <v>43102</v>
      </c>
      <c r="B441">
        <v>1326866</v>
      </c>
      <c r="C441">
        <v>1326866</v>
      </c>
      <c r="D441">
        <v>1340417</v>
      </c>
    </row>
    <row r="442" spans="1:4" customFormat="1" hidden="1" x14ac:dyDescent="0.2">
      <c r="A442" s="1">
        <v>43103</v>
      </c>
      <c r="B442">
        <v>1325685</v>
      </c>
      <c r="C442">
        <v>1325685</v>
      </c>
      <c r="D442">
        <v>1339236</v>
      </c>
    </row>
    <row r="443" spans="1:4" customFormat="1" hidden="1" x14ac:dyDescent="0.2">
      <c r="A443" s="1">
        <v>43104</v>
      </c>
      <c r="B443">
        <v>1325405</v>
      </c>
      <c r="C443">
        <v>1325405</v>
      </c>
      <c r="D443">
        <v>1338956</v>
      </c>
    </row>
    <row r="444" spans="1:4" customFormat="1" hidden="1" x14ac:dyDescent="0.2">
      <c r="A444" s="1">
        <v>43105</v>
      </c>
      <c r="B444">
        <v>1324910.5</v>
      </c>
      <c r="C444">
        <v>1324910.5</v>
      </c>
      <c r="D444">
        <v>1338836.5</v>
      </c>
    </row>
    <row r="445" spans="1:4" customFormat="1" hidden="1" x14ac:dyDescent="0.2">
      <c r="A445" s="1">
        <v>43108</v>
      </c>
      <c r="B445">
        <v>1323719.5</v>
      </c>
      <c r="C445">
        <v>1323719.5</v>
      </c>
      <c r="D445">
        <v>1338887.5</v>
      </c>
    </row>
    <row r="446" spans="1:4" customFormat="1" hidden="1" x14ac:dyDescent="0.2">
      <c r="A446" s="1">
        <v>43109</v>
      </c>
      <c r="B446">
        <v>1322710.5</v>
      </c>
      <c r="C446">
        <v>1322710.5</v>
      </c>
      <c r="D446">
        <v>1338812.5</v>
      </c>
    </row>
    <row r="447" spans="1:4" customFormat="1" hidden="1" x14ac:dyDescent="0.2">
      <c r="A447" s="1">
        <v>43110</v>
      </c>
      <c r="B447">
        <v>1323311.5</v>
      </c>
      <c r="C447">
        <v>1323311.5</v>
      </c>
      <c r="D447">
        <v>1339413.5</v>
      </c>
    </row>
    <row r="448" spans="1:4" customFormat="1" hidden="1" x14ac:dyDescent="0.2">
      <c r="A448" s="1">
        <v>43111</v>
      </c>
      <c r="B448">
        <v>1323493.5</v>
      </c>
      <c r="C448">
        <v>1323493.5</v>
      </c>
      <c r="D448">
        <v>1339595.5</v>
      </c>
    </row>
    <row r="449" spans="1:4" customFormat="1" hidden="1" x14ac:dyDescent="0.2">
      <c r="A449" s="1">
        <v>43112</v>
      </c>
      <c r="B449">
        <v>1323738</v>
      </c>
      <c r="C449">
        <v>1323738</v>
      </c>
      <c r="D449">
        <v>1339840</v>
      </c>
    </row>
    <row r="450" spans="1:4" customFormat="1" hidden="1" x14ac:dyDescent="0.2">
      <c r="A450" s="1">
        <v>43115</v>
      </c>
      <c r="B450">
        <v>1319796.5</v>
      </c>
      <c r="C450">
        <v>1319796.5</v>
      </c>
      <c r="D450">
        <v>1335898.5</v>
      </c>
    </row>
    <row r="451" spans="1:4" customFormat="1" hidden="1" x14ac:dyDescent="0.2">
      <c r="A451" s="1">
        <v>43116</v>
      </c>
      <c r="B451">
        <v>1317636</v>
      </c>
      <c r="C451">
        <v>1317636</v>
      </c>
      <c r="D451">
        <v>1333738</v>
      </c>
    </row>
    <row r="452" spans="1:4" customFormat="1" hidden="1" x14ac:dyDescent="0.2">
      <c r="A452" s="1">
        <v>43117</v>
      </c>
      <c r="B452">
        <v>1316311</v>
      </c>
      <c r="C452">
        <v>1316311</v>
      </c>
      <c r="D452">
        <v>1331736.5</v>
      </c>
    </row>
    <row r="453" spans="1:4" customFormat="1" hidden="1" x14ac:dyDescent="0.2">
      <c r="A453" s="1">
        <v>43118</v>
      </c>
      <c r="B453">
        <v>1301708</v>
      </c>
      <c r="C453">
        <v>1301708</v>
      </c>
      <c r="D453">
        <v>1323618.5</v>
      </c>
    </row>
    <row r="454" spans="1:4" customFormat="1" hidden="1" x14ac:dyDescent="0.2">
      <c r="A454" s="1">
        <v>43119</v>
      </c>
      <c r="B454">
        <v>1305543.5</v>
      </c>
      <c r="C454">
        <v>1305543.5</v>
      </c>
      <c r="D454">
        <v>1327454</v>
      </c>
    </row>
    <row r="455" spans="1:4" customFormat="1" hidden="1" x14ac:dyDescent="0.2">
      <c r="A455" s="1">
        <v>43122</v>
      </c>
      <c r="B455">
        <v>1314065</v>
      </c>
      <c r="C455">
        <v>1314065</v>
      </c>
      <c r="D455">
        <v>1335975.5</v>
      </c>
    </row>
    <row r="456" spans="1:4" customFormat="1" hidden="1" x14ac:dyDescent="0.2">
      <c r="A456" s="1">
        <v>43123</v>
      </c>
      <c r="B456">
        <v>1311771</v>
      </c>
      <c r="C456">
        <v>1311771</v>
      </c>
      <c r="D456">
        <v>1333681.5</v>
      </c>
    </row>
    <row r="457" spans="1:4" customFormat="1" hidden="1" x14ac:dyDescent="0.2">
      <c r="A457" s="1">
        <v>43124</v>
      </c>
      <c r="B457">
        <v>1294430</v>
      </c>
      <c r="C457">
        <v>1294430</v>
      </c>
      <c r="D457">
        <v>1315659</v>
      </c>
    </row>
    <row r="458" spans="1:4" customFormat="1" hidden="1" x14ac:dyDescent="0.2">
      <c r="A458" s="1">
        <v>43125</v>
      </c>
      <c r="B458">
        <v>1314098.5</v>
      </c>
      <c r="C458">
        <v>1314098.5</v>
      </c>
      <c r="D458">
        <v>1330877</v>
      </c>
    </row>
    <row r="459" spans="1:4" customFormat="1" hidden="1" x14ac:dyDescent="0.2">
      <c r="A459" s="1">
        <v>43126</v>
      </c>
      <c r="B459">
        <v>1323337</v>
      </c>
      <c r="C459">
        <v>1323337</v>
      </c>
      <c r="D459">
        <v>1345017</v>
      </c>
    </row>
    <row r="460" spans="1:4" customFormat="1" hidden="1" x14ac:dyDescent="0.2">
      <c r="A460" s="1">
        <v>43129</v>
      </c>
      <c r="B460">
        <v>1315492.5</v>
      </c>
      <c r="C460">
        <v>1315492.5</v>
      </c>
      <c r="D460">
        <v>1307478.5</v>
      </c>
    </row>
    <row r="461" spans="1:4" customFormat="1" hidden="1" x14ac:dyDescent="0.2">
      <c r="A461" s="1">
        <v>43130</v>
      </c>
      <c r="B461">
        <v>1316957.5</v>
      </c>
      <c r="C461">
        <v>1316957.5</v>
      </c>
      <c r="D461">
        <v>1312752.5</v>
      </c>
    </row>
    <row r="462" spans="1:4" customFormat="1" hidden="1" x14ac:dyDescent="0.2">
      <c r="A462" s="1">
        <v>43131</v>
      </c>
      <c r="B462">
        <v>1315646</v>
      </c>
      <c r="C462">
        <v>1315646</v>
      </c>
      <c r="D462">
        <v>1310467</v>
      </c>
    </row>
    <row r="463" spans="1:4" customFormat="1" hidden="1" x14ac:dyDescent="0.2">
      <c r="A463" s="1">
        <v>43132</v>
      </c>
      <c r="B463">
        <v>1315914</v>
      </c>
      <c r="C463">
        <v>1315914</v>
      </c>
      <c r="D463">
        <v>1312917.5</v>
      </c>
    </row>
    <row r="464" spans="1:4" customFormat="1" hidden="1" x14ac:dyDescent="0.2">
      <c r="A464" s="1">
        <v>43133</v>
      </c>
      <c r="B464">
        <v>1316119.5</v>
      </c>
      <c r="C464">
        <v>1316119.5</v>
      </c>
      <c r="D464">
        <v>1312082.5</v>
      </c>
    </row>
    <row r="465" spans="1:4" customFormat="1" hidden="1" x14ac:dyDescent="0.2">
      <c r="A465" s="1">
        <v>43136</v>
      </c>
      <c r="B465">
        <v>1313757</v>
      </c>
      <c r="C465">
        <v>1313757</v>
      </c>
      <c r="D465">
        <v>1309798</v>
      </c>
    </row>
    <row r="466" spans="1:4" customFormat="1" hidden="1" x14ac:dyDescent="0.2">
      <c r="A466" s="1">
        <v>43137</v>
      </c>
      <c r="B466">
        <v>1300387</v>
      </c>
      <c r="C466">
        <v>1300387</v>
      </c>
      <c r="D466">
        <v>1270652.5</v>
      </c>
    </row>
    <row r="467" spans="1:4" customFormat="1" hidden="1" x14ac:dyDescent="0.2">
      <c r="A467" s="1">
        <v>43138</v>
      </c>
      <c r="B467">
        <v>1289038</v>
      </c>
      <c r="C467">
        <v>1289038</v>
      </c>
      <c r="D467">
        <v>1255462</v>
      </c>
    </row>
    <row r="468" spans="1:4" customFormat="1" hidden="1" x14ac:dyDescent="0.2">
      <c r="A468" s="1">
        <v>43139</v>
      </c>
      <c r="B468">
        <v>1282875</v>
      </c>
      <c r="C468">
        <v>1282875</v>
      </c>
      <c r="D468">
        <v>1245333</v>
      </c>
    </row>
    <row r="469" spans="1:4" customFormat="1" hidden="1" x14ac:dyDescent="0.2">
      <c r="A469" s="1">
        <v>43140</v>
      </c>
      <c r="B469">
        <v>1189725</v>
      </c>
      <c r="C469">
        <v>1189725</v>
      </c>
      <c r="D469">
        <v>1152183</v>
      </c>
    </row>
    <row r="470" spans="1:4" customFormat="1" hidden="1" x14ac:dyDescent="0.2">
      <c r="A470" s="1">
        <v>43143</v>
      </c>
      <c r="B470">
        <v>1274482</v>
      </c>
      <c r="C470">
        <v>1274482</v>
      </c>
      <c r="D470">
        <v>1241564.5</v>
      </c>
    </row>
    <row r="471" spans="1:4" customFormat="1" hidden="1" x14ac:dyDescent="0.2">
      <c r="A471" s="1">
        <v>43144</v>
      </c>
      <c r="B471">
        <v>1275248</v>
      </c>
      <c r="C471">
        <v>1275248</v>
      </c>
      <c r="D471">
        <v>1242330.5</v>
      </c>
    </row>
    <row r="472" spans="1:4" customFormat="1" hidden="1" x14ac:dyDescent="0.2">
      <c r="A472" s="1">
        <v>43145</v>
      </c>
      <c r="B472">
        <v>1278921</v>
      </c>
      <c r="C472">
        <v>1278921</v>
      </c>
      <c r="D472">
        <v>1246003.5</v>
      </c>
    </row>
    <row r="473" spans="1:4" customFormat="1" hidden="1" x14ac:dyDescent="0.2">
      <c r="A473" s="1">
        <v>43153</v>
      </c>
      <c r="B473">
        <v>1305533.5</v>
      </c>
      <c r="C473">
        <v>1305533.5</v>
      </c>
      <c r="D473">
        <v>1272616</v>
      </c>
    </row>
    <row r="474" spans="1:4" customFormat="1" hidden="1" x14ac:dyDescent="0.2">
      <c r="A474" s="1">
        <v>43154</v>
      </c>
      <c r="B474">
        <v>1323993</v>
      </c>
      <c r="C474">
        <v>1323993</v>
      </c>
      <c r="D474">
        <v>1291075.5</v>
      </c>
    </row>
    <row r="475" spans="1:4" customFormat="1" hidden="1" x14ac:dyDescent="0.2">
      <c r="A475" s="1">
        <v>43157</v>
      </c>
      <c r="B475">
        <v>1323400</v>
      </c>
      <c r="C475">
        <v>1323400</v>
      </c>
      <c r="D475">
        <v>1290482.5</v>
      </c>
    </row>
    <row r="476" spans="1:4" customFormat="1" hidden="1" x14ac:dyDescent="0.2">
      <c r="A476" s="1">
        <v>43158</v>
      </c>
      <c r="B476">
        <v>1319470</v>
      </c>
      <c r="C476">
        <v>1319470</v>
      </c>
      <c r="D476">
        <v>1286552.5</v>
      </c>
    </row>
    <row r="477" spans="1:4" customFormat="1" hidden="1" x14ac:dyDescent="0.2">
      <c r="A477" s="1">
        <v>43159</v>
      </c>
      <c r="B477">
        <v>1304037</v>
      </c>
      <c r="C477">
        <v>1304037</v>
      </c>
      <c r="D477">
        <v>1271119.5</v>
      </c>
    </row>
    <row r="478" spans="1:4" customFormat="1" hidden="1" x14ac:dyDescent="0.2">
      <c r="A478" s="1">
        <v>43160</v>
      </c>
      <c r="B478">
        <v>1316185</v>
      </c>
      <c r="C478">
        <v>1316185</v>
      </c>
      <c r="D478">
        <v>1283267.5</v>
      </c>
    </row>
    <row r="479" spans="1:4" customFormat="1" hidden="1" x14ac:dyDescent="0.2">
      <c r="A479" s="1">
        <v>43161</v>
      </c>
      <c r="B479">
        <v>1317780</v>
      </c>
      <c r="C479">
        <v>1317780</v>
      </c>
      <c r="D479">
        <v>1284862.5</v>
      </c>
    </row>
    <row r="480" spans="1:4" customFormat="1" hidden="1" x14ac:dyDescent="0.2">
      <c r="A480" s="1">
        <v>43164</v>
      </c>
      <c r="B480">
        <v>1324623.5</v>
      </c>
      <c r="C480">
        <v>1324623.5</v>
      </c>
      <c r="D480">
        <v>1291706</v>
      </c>
    </row>
    <row r="481" spans="1:4" customFormat="1" hidden="1" x14ac:dyDescent="0.2">
      <c r="A481" s="1">
        <v>43165</v>
      </c>
      <c r="B481">
        <v>1329095</v>
      </c>
      <c r="C481">
        <v>1329095</v>
      </c>
      <c r="D481">
        <v>1296177.5</v>
      </c>
    </row>
    <row r="482" spans="1:4" customFormat="1" hidden="1" x14ac:dyDescent="0.2">
      <c r="A482" s="1">
        <v>43166</v>
      </c>
      <c r="B482">
        <v>1332662.5</v>
      </c>
      <c r="C482">
        <v>1332662.5</v>
      </c>
      <c r="D482">
        <v>1299745</v>
      </c>
    </row>
    <row r="483" spans="1:4" customFormat="1" hidden="1" x14ac:dyDescent="0.2">
      <c r="A483" s="1">
        <v>43167</v>
      </c>
      <c r="B483">
        <v>1328927.5</v>
      </c>
      <c r="C483">
        <v>1328927.5</v>
      </c>
      <c r="D483">
        <v>1296010</v>
      </c>
    </row>
    <row r="484" spans="1:4" customFormat="1" hidden="1" x14ac:dyDescent="0.2">
      <c r="A484" s="1">
        <v>43168</v>
      </c>
      <c r="B484">
        <v>1326915</v>
      </c>
      <c r="C484">
        <v>1326915</v>
      </c>
      <c r="D484">
        <v>1293997.5</v>
      </c>
    </row>
    <row r="485" spans="1:4" customFormat="1" hidden="1" x14ac:dyDescent="0.2">
      <c r="A485" s="1">
        <v>43171</v>
      </c>
      <c r="B485">
        <v>1327555</v>
      </c>
      <c r="C485">
        <v>1327555</v>
      </c>
      <c r="D485">
        <v>1294637.5</v>
      </c>
    </row>
    <row r="486" spans="1:4" customFormat="1" hidden="1" x14ac:dyDescent="0.2">
      <c r="A486" s="1">
        <v>43172</v>
      </c>
      <c r="B486">
        <v>1329404</v>
      </c>
      <c r="C486">
        <v>1329404</v>
      </c>
      <c r="D486">
        <v>1296486.5</v>
      </c>
    </row>
    <row r="487" spans="1:4" customFormat="1" hidden="1" x14ac:dyDescent="0.2">
      <c r="A487" s="1">
        <v>43173</v>
      </c>
      <c r="B487">
        <v>1326237.5</v>
      </c>
      <c r="C487">
        <v>1326237.5</v>
      </c>
      <c r="D487">
        <v>1293320</v>
      </c>
    </row>
    <row r="488" spans="1:4" customFormat="1" hidden="1" x14ac:dyDescent="0.2">
      <c r="A488" s="1">
        <v>43174</v>
      </c>
      <c r="B488">
        <v>1323531.5</v>
      </c>
      <c r="C488">
        <v>1323531.5</v>
      </c>
      <c r="D488">
        <v>1290614</v>
      </c>
    </row>
    <row r="489" spans="1:4" customFormat="1" hidden="1" x14ac:dyDescent="0.2">
      <c r="A489" s="1">
        <v>43175</v>
      </c>
      <c r="B489">
        <v>1326275</v>
      </c>
      <c r="C489">
        <v>1326275</v>
      </c>
      <c r="D489">
        <v>1293357.5</v>
      </c>
    </row>
    <row r="490" spans="1:4" customFormat="1" hidden="1" x14ac:dyDescent="0.2">
      <c r="A490" s="1">
        <v>43178</v>
      </c>
      <c r="B490">
        <v>1323874</v>
      </c>
      <c r="C490">
        <v>1323874</v>
      </c>
      <c r="D490">
        <v>1290956.5</v>
      </c>
    </row>
    <row r="491" spans="1:4" customFormat="1" hidden="1" x14ac:dyDescent="0.2">
      <c r="A491" s="1">
        <v>43179</v>
      </c>
      <c r="B491">
        <v>1323369.5</v>
      </c>
      <c r="C491">
        <v>1323369.5</v>
      </c>
      <c r="D491">
        <v>1290452</v>
      </c>
    </row>
    <row r="492" spans="1:4" customFormat="1" hidden="1" x14ac:dyDescent="0.2">
      <c r="A492" s="1">
        <v>43180</v>
      </c>
      <c r="B492">
        <v>1324123.5</v>
      </c>
      <c r="C492">
        <v>1324123.5</v>
      </c>
      <c r="D492">
        <v>1291206</v>
      </c>
    </row>
    <row r="493" spans="1:4" customFormat="1" hidden="1" x14ac:dyDescent="0.2">
      <c r="A493" s="1">
        <v>43181</v>
      </c>
      <c r="B493">
        <v>1323996.5</v>
      </c>
      <c r="C493">
        <v>1323996.5</v>
      </c>
      <c r="D493">
        <v>1291079</v>
      </c>
    </row>
    <row r="494" spans="1:4" customFormat="1" hidden="1" x14ac:dyDescent="0.2">
      <c r="A494" s="1">
        <v>43182</v>
      </c>
      <c r="B494">
        <v>1296879.5</v>
      </c>
      <c r="C494">
        <v>1296879.5</v>
      </c>
      <c r="D494">
        <v>1263962</v>
      </c>
    </row>
    <row r="495" spans="1:4" customFormat="1" hidden="1" x14ac:dyDescent="0.2">
      <c r="A495" s="1">
        <v>43185</v>
      </c>
      <c r="B495">
        <v>1315699.5</v>
      </c>
      <c r="C495">
        <v>1315699.5</v>
      </c>
      <c r="D495">
        <v>1282782</v>
      </c>
    </row>
    <row r="496" spans="1:4" customFormat="1" hidden="1" x14ac:dyDescent="0.2">
      <c r="A496" s="1">
        <v>43186</v>
      </c>
      <c r="B496">
        <v>1324884</v>
      </c>
      <c r="C496">
        <v>1324884</v>
      </c>
      <c r="D496">
        <v>1291966.5</v>
      </c>
    </row>
    <row r="497" spans="1:4" customFormat="1" hidden="1" x14ac:dyDescent="0.2">
      <c r="A497" s="1">
        <v>43187</v>
      </c>
      <c r="B497">
        <v>1316212.5</v>
      </c>
      <c r="C497">
        <v>1316212.5</v>
      </c>
      <c r="D497">
        <v>1283295</v>
      </c>
    </row>
    <row r="498" spans="1:4" customFormat="1" hidden="1" x14ac:dyDescent="0.2">
      <c r="A498" s="1">
        <v>43188</v>
      </c>
      <c r="B498">
        <v>1312905</v>
      </c>
      <c r="C498">
        <v>1312905</v>
      </c>
      <c r="D498">
        <v>1283671</v>
      </c>
    </row>
    <row r="499" spans="1:4" customFormat="1" hidden="1" x14ac:dyDescent="0.2">
      <c r="A499" s="1">
        <v>43189</v>
      </c>
      <c r="B499">
        <v>1314258</v>
      </c>
      <c r="C499">
        <v>1314258</v>
      </c>
      <c r="D499">
        <v>1281800</v>
      </c>
    </row>
    <row r="500" spans="1:4" customFormat="1" hidden="1" x14ac:dyDescent="0.2">
      <c r="A500" s="1">
        <v>43192</v>
      </c>
      <c r="B500">
        <v>1324341</v>
      </c>
      <c r="C500">
        <v>1324341</v>
      </c>
      <c r="D500">
        <v>1291501.5</v>
      </c>
    </row>
    <row r="501" spans="1:4" customFormat="1" hidden="1" x14ac:dyDescent="0.2">
      <c r="A501" s="1">
        <v>43193</v>
      </c>
      <c r="B501">
        <v>1325042</v>
      </c>
      <c r="C501">
        <v>1325042</v>
      </c>
      <c r="D501">
        <v>1292365.5</v>
      </c>
    </row>
    <row r="502" spans="1:4" customFormat="1" hidden="1" x14ac:dyDescent="0.2">
      <c r="A502" s="1">
        <v>43194</v>
      </c>
      <c r="B502">
        <v>1327527</v>
      </c>
      <c r="C502">
        <v>1327527</v>
      </c>
      <c r="D502">
        <v>1294948.5</v>
      </c>
    </row>
    <row r="503" spans="1:4" customFormat="1" hidden="1" x14ac:dyDescent="0.2">
      <c r="A503" s="1">
        <v>43199</v>
      </c>
      <c r="B503">
        <v>1328229.5</v>
      </c>
      <c r="C503">
        <v>1328229.5</v>
      </c>
      <c r="D503">
        <v>1297491</v>
      </c>
    </row>
    <row r="504" spans="1:4" customFormat="1" hidden="1" x14ac:dyDescent="0.2">
      <c r="A504" s="1">
        <v>43200</v>
      </c>
      <c r="B504">
        <v>1329594.5</v>
      </c>
      <c r="C504">
        <v>1329594.5</v>
      </c>
      <c r="D504">
        <v>1298856</v>
      </c>
    </row>
    <row r="505" spans="1:4" customFormat="1" hidden="1" x14ac:dyDescent="0.2">
      <c r="A505" s="1">
        <v>43201</v>
      </c>
      <c r="B505">
        <v>1329874.5</v>
      </c>
      <c r="C505">
        <v>1329874.5</v>
      </c>
      <c r="D505">
        <v>1299136</v>
      </c>
    </row>
    <row r="506" spans="1:4" customFormat="1" hidden="1" x14ac:dyDescent="0.2">
      <c r="A506" s="1">
        <v>43202</v>
      </c>
      <c r="B506">
        <v>1327844.5</v>
      </c>
      <c r="C506">
        <v>1327844.5</v>
      </c>
      <c r="D506">
        <v>1297106</v>
      </c>
    </row>
    <row r="507" spans="1:4" customFormat="1" hidden="1" x14ac:dyDescent="0.2">
      <c r="A507" s="1">
        <v>43203</v>
      </c>
      <c r="B507">
        <v>1326092.5</v>
      </c>
      <c r="C507">
        <v>1326092.5</v>
      </c>
      <c r="D507">
        <v>1295354</v>
      </c>
    </row>
    <row r="508" spans="1:4" customFormat="1" hidden="1" x14ac:dyDescent="0.2">
      <c r="A508" s="1">
        <v>43206</v>
      </c>
      <c r="B508">
        <v>1321209.5</v>
      </c>
      <c r="C508">
        <v>1321209.5</v>
      </c>
      <c r="D508">
        <v>1290471</v>
      </c>
    </row>
    <row r="509" spans="1:4" customFormat="1" hidden="1" x14ac:dyDescent="0.2">
      <c r="A509" s="1">
        <v>43207</v>
      </c>
      <c r="B509">
        <v>1324770</v>
      </c>
      <c r="C509">
        <v>1324770</v>
      </c>
      <c r="D509">
        <v>1294031.5</v>
      </c>
    </row>
    <row r="510" spans="1:4" customFormat="1" hidden="1" x14ac:dyDescent="0.2">
      <c r="A510" s="1">
        <v>43208</v>
      </c>
      <c r="B510">
        <v>1329036.5</v>
      </c>
      <c r="C510">
        <v>1329036.5</v>
      </c>
      <c r="D510">
        <v>1298298</v>
      </c>
    </row>
    <row r="511" spans="1:4" customFormat="1" hidden="1" x14ac:dyDescent="0.2">
      <c r="A511" s="1">
        <v>43209</v>
      </c>
      <c r="B511">
        <v>1339365</v>
      </c>
      <c r="C511">
        <v>1339365</v>
      </c>
      <c r="D511">
        <v>1308626.5</v>
      </c>
    </row>
    <row r="512" spans="1:4" customFormat="1" hidden="1" x14ac:dyDescent="0.2">
      <c r="A512" s="1">
        <v>43210</v>
      </c>
      <c r="B512">
        <v>1341523.5</v>
      </c>
      <c r="C512">
        <v>1341523.5</v>
      </c>
      <c r="D512">
        <v>1310785</v>
      </c>
    </row>
    <row r="513" spans="1:4" customFormat="1" hidden="1" x14ac:dyDescent="0.2">
      <c r="A513" s="1">
        <v>43213</v>
      </c>
      <c r="B513">
        <v>1344240</v>
      </c>
      <c r="C513">
        <v>1344240</v>
      </c>
      <c r="D513">
        <v>1313501.5</v>
      </c>
    </row>
    <row r="514" spans="1:4" customFormat="1" hidden="1" x14ac:dyDescent="0.2">
      <c r="A514" s="1">
        <v>43214</v>
      </c>
      <c r="B514">
        <v>1339141.5</v>
      </c>
      <c r="C514">
        <v>1339141.5</v>
      </c>
      <c r="D514">
        <v>1308403</v>
      </c>
    </row>
    <row r="515" spans="1:4" customFormat="1" hidden="1" x14ac:dyDescent="0.2">
      <c r="A515" s="1">
        <v>43215</v>
      </c>
      <c r="B515">
        <v>1341413.5</v>
      </c>
      <c r="C515">
        <v>1341413.5</v>
      </c>
      <c r="D515">
        <v>1310675</v>
      </c>
    </row>
    <row r="516" spans="1:4" customFormat="1" hidden="1" x14ac:dyDescent="0.2">
      <c r="A516" s="1">
        <v>43216</v>
      </c>
      <c r="B516">
        <v>1338966</v>
      </c>
      <c r="C516">
        <v>1338966</v>
      </c>
      <c r="D516">
        <v>1308227.5</v>
      </c>
    </row>
    <row r="517" spans="1:4" customFormat="1" hidden="1" x14ac:dyDescent="0.2">
      <c r="A517" s="1">
        <v>43217</v>
      </c>
      <c r="B517">
        <v>1339052</v>
      </c>
      <c r="C517">
        <v>1339052</v>
      </c>
      <c r="D517">
        <v>1308313.5</v>
      </c>
    </row>
    <row r="518" spans="1:4" customFormat="1" hidden="1" x14ac:dyDescent="0.2">
      <c r="A518" s="1">
        <v>43222</v>
      </c>
      <c r="B518">
        <v>1338709.5</v>
      </c>
      <c r="C518">
        <v>1338709.5</v>
      </c>
      <c r="D518">
        <v>1307971</v>
      </c>
    </row>
    <row r="519" spans="1:4" customFormat="1" hidden="1" x14ac:dyDescent="0.2">
      <c r="A519" s="1">
        <v>43223</v>
      </c>
      <c r="B519">
        <v>1340662.5</v>
      </c>
      <c r="C519">
        <v>1340662.5</v>
      </c>
      <c r="D519">
        <v>1309924</v>
      </c>
    </row>
    <row r="520" spans="1:4" customFormat="1" hidden="1" x14ac:dyDescent="0.2">
      <c r="A520" s="1">
        <v>43224</v>
      </c>
      <c r="B520">
        <v>1337842.5</v>
      </c>
      <c r="C520">
        <v>1337842.5</v>
      </c>
      <c r="D520">
        <v>1307104</v>
      </c>
    </row>
    <row r="521" spans="1:4" customFormat="1" hidden="1" x14ac:dyDescent="0.2">
      <c r="A521" s="1">
        <v>43227</v>
      </c>
      <c r="B521">
        <v>1343601</v>
      </c>
      <c r="C521">
        <v>1343601</v>
      </c>
      <c r="D521">
        <v>1312862.5</v>
      </c>
    </row>
    <row r="522" spans="1:4" customFormat="1" hidden="1" x14ac:dyDescent="0.2">
      <c r="A522" s="1">
        <v>43228</v>
      </c>
      <c r="B522">
        <v>1357978</v>
      </c>
      <c r="C522">
        <v>1357978</v>
      </c>
      <c r="D522">
        <v>1327239.5</v>
      </c>
    </row>
    <row r="523" spans="1:4" customFormat="1" hidden="1" x14ac:dyDescent="0.2">
      <c r="A523" s="1">
        <v>43229</v>
      </c>
      <c r="B523">
        <v>1361771.5</v>
      </c>
      <c r="C523">
        <v>1361771.5</v>
      </c>
      <c r="D523">
        <v>1331033</v>
      </c>
    </row>
    <row r="524" spans="1:4" customFormat="1" hidden="1" x14ac:dyDescent="0.2">
      <c r="A524" s="1">
        <v>43230</v>
      </c>
      <c r="B524">
        <v>1369218</v>
      </c>
      <c r="C524">
        <v>1369218</v>
      </c>
      <c r="D524">
        <v>1338479.5</v>
      </c>
    </row>
    <row r="525" spans="1:4" customFormat="1" hidden="1" x14ac:dyDescent="0.2">
      <c r="A525" s="1">
        <v>43231</v>
      </c>
      <c r="B525">
        <v>1372826.5</v>
      </c>
      <c r="C525">
        <v>1372826.5</v>
      </c>
      <c r="D525">
        <v>1342088</v>
      </c>
    </row>
    <row r="526" spans="1:4" customFormat="1" hidden="1" x14ac:dyDescent="0.2">
      <c r="A526" s="1">
        <v>43234</v>
      </c>
      <c r="B526">
        <v>1377811.5</v>
      </c>
      <c r="C526">
        <v>1377811.5</v>
      </c>
      <c r="D526">
        <v>1347073</v>
      </c>
    </row>
    <row r="527" spans="1:4" customFormat="1" hidden="1" x14ac:dyDescent="0.2">
      <c r="A527" s="1">
        <v>43235</v>
      </c>
      <c r="B527">
        <v>1380497.5</v>
      </c>
      <c r="C527">
        <v>1380497.5</v>
      </c>
      <c r="D527">
        <v>1349759</v>
      </c>
    </row>
    <row r="528" spans="1:4" customFormat="1" hidden="1" x14ac:dyDescent="0.2">
      <c r="A528" s="1">
        <v>43236</v>
      </c>
      <c r="B528">
        <v>1377646</v>
      </c>
      <c r="C528">
        <v>1377646</v>
      </c>
      <c r="D528">
        <v>1346907.5</v>
      </c>
    </row>
    <row r="529" spans="1:4" customFormat="1" hidden="1" x14ac:dyDescent="0.2">
      <c r="A529" s="1">
        <v>43237</v>
      </c>
      <c r="B529">
        <v>1382196</v>
      </c>
      <c r="C529">
        <v>1382196</v>
      </c>
      <c r="D529">
        <v>1351457.5</v>
      </c>
    </row>
    <row r="530" spans="1:4" customFormat="1" hidden="1" x14ac:dyDescent="0.2">
      <c r="A530" s="1">
        <v>43238</v>
      </c>
      <c r="B530">
        <v>1382418.5</v>
      </c>
      <c r="C530">
        <v>1382418.5</v>
      </c>
      <c r="D530">
        <v>1351680</v>
      </c>
    </row>
    <row r="531" spans="1:4" customFormat="1" hidden="1" x14ac:dyDescent="0.2">
      <c r="A531" s="1">
        <v>43241</v>
      </c>
      <c r="B531">
        <v>1385426</v>
      </c>
      <c r="C531">
        <v>1385426</v>
      </c>
      <c r="D531">
        <v>1354687.5</v>
      </c>
    </row>
    <row r="532" spans="1:4" customFormat="1" hidden="1" x14ac:dyDescent="0.2">
      <c r="A532" s="1">
        <v>43242</v>
      </c>
      <c r="B532">
        <v>1386530</v>
      </c>
      <c r="C532">
        <v>1386530</v>
      </c>
      <c r="D532">
        <v>1355791.5</v>
      </c>
    </row>
    <row r="533" spans="1:4" customFormat="1" hidden="1" x14ac:dyDescent="0.2">
      <c r="A533" s="1">
        <v>43243</v>
      </c>
      <c r="B533">
        <v>1381508.5</v>
      </c>
      <c r="C533">
        <v>1381508.5</v>
      </c>
      <c r="D533">
        <v>1350770</v>
      </c>
    </row>
    <row r="534" spans="1:4" customFormat="1" hidden="1" x14ac:dyDescent="0.2">
      <c r="A534" s="1">
        <v>43244</v>
      </c>
      <c r="B534">
        <v>1384396.5</v>
      </c>
      <c r="C534">
        <v>1384396.5</v>
      </c>
      <c r="D534">
        <v>1353658</v>
      </c>
    </row>
    <row r="535" spans="1:4" customFormat="1" hidden="1" x14ac:dyDescent="0.2">
      <c r="A535" s="1">
        <v>43245</v>
      </c>
      <c r="B535">
        <v>1384617.5</v>
      </c>
      <c r="C535">
        <v>1384617.5</v>
      </c>
      <c r="D535">
        <v>1353879</v>
      </c>
    </row>
    <row r="536" spans="1:4" customFormat="1" hidden="1" x14ac:dyDescent="0.2">
      <c r="A536" s="1">
        <v>43248</v>
      </c>
      <c r="B536">
        <v>1385016</v>
      </c>
      <c r="C536">
        <v>1385016</v>
      </c>
      <c r="D536">
        <v>1354277.5</v>
      </c>
    </row>
    <row r="537" spans="1:4" customFormat="1" hidden="1" x14ac:dyDescent="0.2">
      <c r="A537" s="1">
        <v>43249</v>
      </c>
      <c r="B537">
        <v>1384762</v>
      </c>
      <c r="C537">
        <v>1384762</v>
      </c>
      <c r="D537">
        <v>1354023.5</v>
      </c>
    </row>
    <row r="538" spans="1:4" customFormat="1" hidden="1" x14ac:dyDescent="0.2">
      <c r="A538" s="1">
        <v>43250</v>
      </c>
      <c r="B538">
        <v>1375797</v>
      </c>
      <c r="C538">
        <v>1375797</v>
      </c>
      <c r="D538">
        <v>1345058.5</v>
      </c>
    </row>
    <row r="539" spans="1:4" customFormat="1" hidden="1" x14ac:dyDescent="0.2">
      <c r="A539" s="1">
        <v>43251</v>
      </c>
      <c r="B539">
        <v>1377124.5</v>
      </c>
      <c r="C539">
        <v>1377124.5</v>
      </c>
      <c r="D539">
        <v>1346386</v>
      </c>
    </row>
    <row r="540" spans="1:4" customFormat="1" hidden="1" x14ac:dyDescent="0.2">
      <c r="A540" s="1">
        <v>43252</v>
      </c>
      <c r="B540">
        <v>1376823</v>
      </c>
      <c r="C540">
        <v>1376823</v>
      </c>
      <c r="D540">
        <v>1346084.5</v>
      </c>
    </row>
    <row r="541" spans="1:4" customFormat="1" hidden="1" x14ac:dyDescent="0.2">
      <c r="A541" s="1">
        <v>43255</v>
      </c>
      <c r="B541">
        <v>1377251</v>
      </c>
      <c r="C541">
        <v>1377251</v>
      </c>
      <c r="D541">
        <v>1346512.5</v>
      </c>
    </row>
    <row r="542" spans="1:4" customFormat="1" hidden="1" x14ac:dyDescent="0.2">
      <c r="A542" s="1">
        <v>43256</v>
      </c>
      <c r="B542">
        <v>1379316.5</v>
      </c>
      <c r="C542">
        <v>1379316.5</v>
      </c>
      <c r="D542">
        <v>1348664</v>
      </c>
    </row>
    <row r="543" spans="1:4" customFormat="1" hidden="1" x14ac:dyDescent="0.2">
      <c r="A543" s="1">
        <v>43257</v>
      </c>
      <c r="B543">
        <v>1380417.5</v>
      </c>
      <c r="C543">
        <v>1380417.5</v>
      </c>
      <c r="D543">
        <v>1349479.5</v>
      </c>
    </row>
    <row r="544" spans="1:4" customFormat="1" hidden="1" x14ac:dyDescent="0.2">
      <c r="A544" s="1">
        <v>43258</v>
      </c>
      <c r="B544">
        <v>1382524</v>
      </c>
      <c r="C544">
        <v>1382524</v>
      </c>
      <c r="D544">
        <v>1351182.5</v>
      </c>
    </row>
    <row r="545" spans="1:4" customFormat="1" hidden="1" x14ac:dyDescent="0.2">
      <c r="A545" s="1">
        <v>43259</v>
      </c>
      <c r="B545">
        <v>1377991</v>
      </c>
      <c r="C545">
        <v>1377991</v>
      </c>
      <c r="D545">
        <v>1346794</v>
      </c>
    </row>
    <row r="546" spans="1:4" customFormat="1" hidden="1" x14ac:dyDescent="0.2">
      <c r="A546" s="1">
        <v>43262</v>
      </c>
      <c r="B546">
        <v>1376780</v>
      </c>
      <c r="C546">
        <v>1376780</v>
      </c>
      <c r="D546">
        <v>1345562</v>
      </c>
    </row>
    <row r="547" spans="1:4" customFormat="1" hidden="1" x14ac:dyDescent="0.2">
      <c r="A547" s="1">
        <v>43263</v>
      </c>
      <c r="B547">
        <v>1380107</v>
      </c>
      <c r="C547">
        <v>1380107</v>
      </c>
      <c r="D547">
        <v>1346837</v>
      </c>
    </row>
    <row r="548" spans="1:4" customFormat="1" hidden="1" x14ac:dyDescent="0.2">
      <c r="A548" s="1">
        <v>43264</v>
      </c>
      <c r="B548">
        <v>1379791.5</v>
      </c>
      <c r="C548">
        <v>1379791.5</v>
      </c>
      <c r="D548">
        <v>1346837.5</v>
      </c>
    </row>
    <row r="549" spans="1:4" customFormat="1" hidden="1" x14ac:dyDescent="0.2">
      <c r="A549" s="1">
        <v>43265</v>
      </c>
      <c r="B549">
        <v>1378007.5</v>
      </c>
      <c r="C549">
        <v>1378007.5</v>
      </c>
      <c r="D549">
        <v>1344304.5</v>
      </c>
    </row>
    <row r="550" spans="1:4" customFormat="1" hidden="1" x14ac:dyDescent="0.2">
      <c r="A550" s="1">
        <v>43266</v>
      </c>
      <c r="B550">
        <v>1376940.5</v>
      </c>
      <c r="C550">
        <v>1376940.5</v>
      </c>
      <c r="D550">
        <v>1342575.5</v>
      </c>
    </row>
    <row r="551" spans="1:4" customFormat="1" hidden="1" x14ac:dyDescent="0.2">
      <c r="A551" s="1">
        <v>43270</v>
      </c>
      <c r="B551">
        <v>1363026.5</v>
      </c>
      <c r="C551">
        <v>1363026.5</v>
      </c>
      <c r="D551">
        <v>1323358</v>
      </c>
    </row>
    <row r="552" spans="1:4" customFormat="1" hidden="1" x14ac:dyDescent="0.2">
      <c r="A552" s="1">
        <v>43271</v>
      </c>
      <c r="B552">
        <v>1386476</v>
      </c>
      <c r="C552">
        <v>1386476</v>
      </c>
      <c r="D552">
        <v>1346807.5</v>
      </c>
    </row>
    <row r="553" spans="1:4" customFormat="1" hidden="1" x14ac:dyDescent="0.2">
      <c r="A553" s="1">
        <v>43272</v>
      </c>
      <c r="B553">
        <v>1395153</v>
      </c>
      <c r="C553">
        <v>1395153</v>
      </c>
      <c r="D553">
        <v>1355484.5</v>
      </c>
    </row>
    <row r="554" spans="1:4" customFormat="1" hidden="1" x14ac:dyDescent="0.2">
      <c r="A554" s="1">
        <v>43273</v>
      </c>
      <c r="B554">
        <v>1398795</v>
      </c>
      <c r="C554">
        <v>1398795</v>
      </c>
      <c r="D554">
        <v>1359126.5</v>
      </c>
    </row>
    <row r="555" spans="1:4" customFormat="1" hidden="1" x14ac:dyDescent="0.2">
      <c r="A555" s="1">
        <v>43276</v>
      </c>
      <c r="B555">
        <v>1393617</v>
      </c>
      <c r="C555">
        <v>1393617</v>
      </c>
      <c r="D555">
        <v>1353948.5</v>
      </c>
    </row>
    <row r="556" spans="1:4" customFormat="1" hidden="1" x14ac:dyDescent="0.2">
      <c r="A556" s="1">
        <v>43277</v>
      </c>
      <c r="B556">
        <v>1393572</v>
      </c>
      <c r="C556">
        <v>1393572</v>
      </c>
      <c r="D556">
        <v>1353903.5</v>
      </c>
    </row>
    <row r="557" spans="1:4" customFormat="1" hidden="1" x14ac:dyDescent="0.2">
      <c r="A557" s="1">
        <v>43278</v>
      </c>
      <c r="B557">
        <v>1382603.5</v>
      </c>
      <c r="C557">
        <v>1382603.5</v>
      </c>
      <c r="D557">
        <v>1347571.5</v>
      </c>
    </row>
    <row r="558" spans="1:4" customFormat="1" hidden="1" x14ac:dyDescent="0.2">
      <c r="A558" s="1">
        <v>43279</v>
      </c>
      <c r="B558">
        <v>1382733</v>
      </c>
      <c r="C558">
        <v>1382733</v>
      </c>
      <c r="D558">
        <v>1345336</v>
      </c>
    </row>
    <row r="559" spans="1:4" customFormat="1" hidden="1" x14ac:dyDescent="0.2">
      <c r="A559" s="1">
        <v>43280</v>
      </c>
      <c r="B559">
        <v>1381877.5</v>
      </c>
      <c r="C559">
        <v>1381877.5</v>
      </c>
      <c r="D559">
        <v>1345525</v>
      </c>
    </row>
    <row r="560" spans="1:4" customFormat="1" hidden="1" x14ac:dyDescent="0.2">
      <c r="A560" s="1">
        <v>43283</v>
      </c>
      <c r="B560">
        <v>1353816</v>
      </c>
      <c r="C560">
        <v>1353816</v>
      </c>
      <c r="D560">
        <v>1312426.5</v>
      </c>
    </row>
    <row r="561" spans="1:4" customFormat="1" hidden="1" x14ac:dyDescent="0.2">
      <c r="A561" s="1">
        <v>43284</v>
      </c>
      <c r="B561">
        <v>1359132.5</v>
      </c>
      <c r="C561">
        <v>1359132.5</v>
      </c>
      <c r="D561">
        <v>1314905</v>
      </c>
    </row>
    <row r="562" spans="1:4" customFormat="1" hidden="1" x14ac:dyDescent="0.2">
      <c r="A562" s="1">
        <v>43285</v>
      </c>
      <c r="B562">
        <v>1354082</v>
      </c>
      <c r="C562">
        <v>1354082</v>
      </c>
      <c r="D562">
        <v>1310161.5</v>
      </c>
    </row>
    <row r="563" spans="1:4" customFormat="1" hidden="1" x14ac:dyDescent="0.2">
      <c r="A563" s="1">
        <v>43286</v>
      </c>
      <c r="B563">
        <v>1352496.5</v>
      </c>
      <c r="C563">
        <v>1352496.5</v>
      </c>
      <c r="D563">
        <v>1314054.5</v>
      </c>
    </row>
    <row r="564" spans="1:4" customFormat="1" hidden="1" x14ac:dyDescent="0.2">
      <c r="A564" s="1">
        <v>43287</v>
      </c>
      <c r="B564">
        <v>1359708</v>
      </c>
      <c r="C564">
        <v>1359708</v>
      </c>
      <c r="D564">
        <v>1320795</v>
      </c>
    </row>
    <row r="565" spans="1:4" customFormat="1" hidden="1" x14ac:dyDescent="0.2">
      <c r="A565" s="1">
        <v>43290</v>
      </c>
      <c r="B565">
        <v>1368411</v>
      </c>
      <c r="C565">
        <v>1368411</v>
      </c>
      <c r="D565">
        <v>1321659</v>
      </c>
    </row>
    <row r="566" spans="1:4" customFormat="1" hidden="1" x14ac:dyDescent="0.2">
      <c r="A566" s="1">
        <v>43291</v>
      </c>
      <c r="B566">
        <v>1369015.5</v>
      </c>
      <c r="C566">
        <v>1369015.5</v>
      </c>
      <c r="D566">
        <v>1323279.5</v>
      </c>
    </row>
    <row r="567" spans="1:4" customFormat="1" hidden="1" x14ac:dyDescent="0.2">
      <c r="A567" s="1">
        <v>43292</v>
      </c>
      <c r="B567">
        <v>1363279.5</v>
      </c>
      <c r="C567">
        <v>1363279.5</v>
      </c>
      <c r="D567">
        <v>1313084</v>
      </c>
    </row>
    <row r="568" spans="1:4" customFormat="1" hidden="1" x14ac:dyDescent="0.2">
      <c r="A568" s="1">
        <v>43293</v>
      </c>
      <c r="B568">
        <v>1365646.5</v>
      </c>
      <c r="C568">
        <v>1365646.5</v>
      </c>
      <c r="D568">
        <v>1312494.5</v>
      </c>
    </row>
    <row r="569" spans="1:4" customFormat="1" hidden="1" x14ac:dyDescent="0.2">
      <c r="A569" s="1">
        <v>43294</v>
      </c>
      <c r="B569">
        <v>1364792.5</v>
      </c>
      <c r="C569">
        <v>1364792.5</v>
      </c>
      <c r="D569">
        <v>1317011</v>
      </c>
    </row>
    <row r="570" spans="1:4" customFormat="1" hidden="1" x14ac:dyDescent="0.2">
      <c r="A570" s="1">
        <v>43297</v>
      </c>
      <c r="B570">
        <v>1369093.5</v>
      </c>
      <c r="C570">
        <v>1369093.5</v>
      </c>
      <c r="D570">
        <v>1324590</v>
      </c>
    </row>
    <row r="571" spans="1:4" customFormat="1" hidden="1" x14ac:dyDescent="0.2">
      <c r="A571" s="1">
        <v>43298</v>
      </c>
      <c r="B571">
        <v>1371090</v>
      </c>
      <c r="C571">
        <v>1371090</v>
      </c>
      <c r="D571">
        <v>1326586.5</v>
      </c>
    </row>
    <row r="572" spans="1:4" customFormat="1" hidden="1" x14ac:dyDescent="0.2">
      <c r="A572" s="1">
        <v>43299</v>
      </c>
      <c r="B572">
        <v>1374036</v>
      </c>
      <c r="C572">
        <v>1374036</v>
      </c>
      <c r="D572">
        <v>1329532.5</v>
      </c>
    </row>
    <row r="573" spans="1:4" customFormat="1" hidden="1" x14ac:dyDescent="0.2">
      <c r="A573" s="1">
        <v>43300</v>
      </c>
      <c r="B573">
        <v>1378428.5</v>
      </c>
      <c r="C573">
        <v>1378428.5</v>
      </c>
      <c r="D573">
        <v>1333925</v>
      </c>
    </row>
    <row r="574" spans="1:4" customFormat="1" hidden="1" x14ac:dyDescent="0.2">
      <c r="A574" s="1">
        <v>43301</v>
      </c>
      <c r="B574">
        <v>1385058</v>
      </c>
      <c r="C574">
        <v>1385058</v>
      </c>
      <c r="D574">
        <v>1340554.5</v>
      </c>
    </row>
    <row r="575" spans="1:4" customFormat="1" hidden="1" x14ac:dyDescent="0.2">
      <c r="A575" s="1">
        <v>43304</v>
      </c>
      <c r="B575">
        <v>1388016.5</v>
      </c>
      <c r="C575">
        <v>1388016.5</v>
      </c>
      <c r="D575">
        <v>1342968</v>
      </c>
    </row>
    <row r="576" spans="1:4" customFormat="1" hidden="1" x14ac:dyDescent="0.2">
      <c r="A576" s="1">
        <v>43305</v>
      </c>
      <c r="B576">
        <v>1391885.5</v>
      </c>
      <c r="C576">
        <v>1391885.5</v>
      </c>
      <c r="D576">
        <v>1346750.5</v>
      </c>
    </row>
    <row r="577" spans="1:4" customFormat="1" hidden="1" x14ac:dyDescent="0.2">
      <c r="A577" s="1">
        <v>43306</v>
      </c>
      <c r="B577">
        <v>1389789.5</v>
      </c>
      <c r="C577">
        <v>1389789.5</v>
      </c>
      <c r="D577">
        <v>1344376</v>
      </c>
    </row>
    <row r="578" spans="1:4" customFormat="1" hidden="1" x14ac:dyDescent="0.2">
      <c r="A578" s="1">
        <v>43307</v>
      </c>
      <c r="B578">
        <v>1388320.5</v>
      </c>
      <c r="C578">
        <v>1388320.5</v>
      </c>
      <c r="D578">
        <v>1342354.5</v>
      </c>
    </row>
    <row r="579" spans="1:4" customFormat="1" hidden="1" x14ac:dyDescent="0.2">
      <c r="A579" s="1">
        <v>43308</v>
      </c>
      <c r="B579">
        <v>1384659</v>
      </c>
      <c r="C579">
        <v>1384659</v>
      </c>
      <c r="D579">
        <v>1337887.5</v>
      </c>
    </row>
    <row r="580" spans="1:4" customFormat="1" hidden="1" x14ac:dyDescent="0.2">
      <c r="A580" s="1">
        <v>43311</v>
      </c>
      <c r="B580">
        <v>1383891.5</v>
      </c>
      <c r="C580">
        <v>1383891.5</v>
      </c>
      <c r="D580">
        <v>1337120</v>
      </c>
    </row>
    <row r="581" spans="1:4" customFormat="1" hidden="1" x14ac:dyDescent="0.2">
      <c r="A581" s="1">
        <v>43312</v>
      </c>
      <c r="B581">
        <v>1382941</v>
      </c>
      <c r="C581">
        <v>1382941</v>
      </c>
      <c r="D581">
        <v>1336169.5</v>
      </c>
    </row>
    <row r="582" spans="1:4" customFormat="1" hidden="1" x14ac:dyDescent="0.2">
      <c r="A582" s="1">
        <v>43313</v>
      </c>
      <c r="B582">
        <v>1388762</v>
      </c>
      <c r="C582">
        <v>1388762</v>
      </c>
      <c r="D582">
        <v>1341990.5</v>
      </c>
    </row>
    <row r="583" spans="1:4" customFormat="1" hidden="1" x14ac:dyDescent="0.2">
      <c r="A583" s="1">
        <v>43314</v>
      </c>
      <c r="B583">
        <v>1383900</v>
      </c>
      <c r="C583">
        <v>1383900</v>
      </c>
      <c r="D583">
        <v>1337128.5</v>
      </c>
    </row>
    <row r="584" spans="1:4" customFormat="1" hidden="1" x14ac:dyDescent="0.2">
      <c r="A584" s="1">
        <v>43315</v>
      </c>
      <c r="B584">
        <v>1381801.5</v>
      </c>
      <c r="C584">
        <v>1381801.5</v>
      </c>
      <c r="D584">
        <v>1335030</v>
      </c>
    </row>
    <row r="585" spans="1:4" customFormat="1" hidden="1" x14ac:dyDescent="0.2">
      <c r="A585" s="1">
        <v>43318</v>
      </c>
      <c r="B585">
        <v>1381401</v>
      </c>
      <c r="C585">
        <v>1381401</v>
      </c>
      <c r="D585">
        <v>1334629.5</v>
      </c>
    </row>
    <row r="586" spans="1:4" customFormat="1" hidden="1" x14ac:dyDescent="0.2">
      <c r="A586" s="1">
        <v>43319</v>
      </c>
      <c r="B586">
        <v>1374780</v>
      </c>
      <c r="C586">
        <v>1374780</v>
      </c>
      <c r="D586">
        <v>1328008.5</v>
      </c>
    </row>
    <row r="587" spans="1:4" customFormat="1" hidden="1" x14ac:dyDescent="0.2">
      <c r="A587" s="1">
        <v>43320</v>
      </c>
      <c r="B587">
        <v>1369578.5</v>
      </c>
      <c r="C587">
        <v>1369578.5</v>
      </c>
      <c r="D587">
        <v>1322807</v>
      </c>
    </row>
    <row r="588" spans="1:4" customFormat="1" hidden="1" x14ac:dyDescent="0.2">
      <c r="A588" s="1">
        <v>43321</v>
      </c>
      <c r="B588">
        <v>1365341.5</v>
      </c>
      <c r="C588">
        <v>1365341.5</v>
      </c>
      <c r="D588">
        <v>1318570</v>
      </c>
    </row>
    <row r="589" spans="1:4" customFormat="1" hidden="1" x14ac:dyDescent="0.2">
      <c r="A589" s="1">
        <v>43322</v>
      </c>
      <c r="B589">
        <v>1369853</v>
      </c>
      <c r="C589">
        <v>1369853</v>
      </c>
      <c r="D589">
        <v>1323081.5</v>
      </c>
    </row>
    <row r="590" spans="1:4" customFormat="1" hidden="1" x14ac:dyDescent="0.2">
      <c r="A590" s="1">
        <v>43325</v>
      </c>
      <c r="B590">
        <v>1370252</v>
      </c>
      <c r="C590">
        <v>1370252</v>
      </c>
      <c r="D590">
        <v>1323480.5</v>
      </c>
    </row>
    <row r="591" spans="1:4" customFormat="1" hidden="1" x14ac:dyDescent="0.2">
      <c r="A591" s="1">
        <v>43326</v>
      </c>
      <c r="B591">
        <v>1371248.5</v>
      </c>
      <c r="C591">
        <v>1371248.5</v>
      </c>
      <c r="D591">
        <v>1324477</v>
      </c>
    </row>
    <row r="592" spans="1:4" customFormat="1" hidden="1" x14ac:dyDescent="0.2">
      <c r="A592" s="1">
        <v>43327</v>
      </c>
      <c r="B592">
        <v>1359210.5</v>
      </c>
      <c r="C592">
        <v>1359210.5</v>
      </c>
      <c r="D592">
        <v>1312439</v>
      </c>
    </row>
    <row r="593" spans="1:4" customFormat="1" hidden="1" x14ac:dyDescent="0.2">
      <c r="A593" s="1">
        <v>43328</v>
      </c>
      <c r="B593">
        <v>1360170.5</v>
      </c>
      <c r="C593">
        <v>1360170.5</v>
      </c>
      <c r="D593">
        <v>1313399</v>
      </c>
    </row>
    <row r="594" spans="1:4" customFormat="1" hidden="1" x14ac:dyDescent="0.2">
      <c r="A594" s="1">
        <v>43329</v>
      </c>
      <c r="B594">
        <v>1354843</v>
      </c>
      <c r="C594">
        <v>1354843</v>
      </c>
      <c r="D594">
        <v>1308071.5</v>
      </c>
    </row>
    <row r="595" spans="1:4" customFormat="1" hidden="1" x14ac:dyDescent="0.2">
      <c r="A595" s="1">
        <v>43332</v>
      </c>
      <c r="B595">
        <v>1357322.5</v>
      </c>
      <c r="C595">
        <v>1357322.5</v>
      </c>
      <c r="D595">
        <v>1310604.5</v>
      </c>
    </row>
    <row r="596" spans="1:4" customFormat="1" hidden="1" x14ac:dyDescent="0.2">
      <c r="A596" s="1">
        <v>43333</v>
      </c>
      <c r="B596">
        <v>1370199</v>
      </c>
      <c r="C596">
        <v>1370199</v>
      </c>
      <c r="D596">
        <v>1323481</v>
      </c>
    </row>
    <row r="597" spans="1:4" customFormat="1" hidden="1" x14ac:dyDescent="0.2">
      <c r="A597" s="1">
        <v>43334</v>
      </c>
      <c r="B597">
        <v>1380577.5</v>
      </c>
      <c r="C597">
        <v>1380577.5</v>
      </c>
      <c r="D597">
        <v>1327008.5</v>
      </c>
    </row>
    <row r="598" spans="1:4" customFormat="1" hidden="1" x14ac:dyDescent="0.2">
      <c r="A598" s="1">
        <v>43335</v>
      </c>
      <c r="B598">
        <v>1386565.5</v>
      </c>
      <c r="C598">
        <v>1386565.5</v>
      </c>
      <c r="D598">
        <v>1334808</v>
      </c>
    </row>
    <row r="599" spans="1:4" customFormat="1" hidden="1" x14ac:dyDescent="0.2">
      <c r="A599" s="1">
        <v>43336</v>
      </c>
      <c r="B599">
        <v>1386530.5</v>
      </c>
      <c r="C599">
        <v>1386530.5</v>
      </c>
      <c r="D599">
        <v>1334560.5</v>
      </c>
    </row>
    <row r="600" spans="1:4" customFormat="1" hidden="1" x14ac:dyDescent="0.2">
      <c r="A600" s="1">
        <v>43339</v>
      </c>
      <c r="B600">
        <v>1385281</v>
      </c>
      <c r="C600">
        <v>1385281</v>
      </c>
      <c r="D600">
        <v>1334786.5</v>
      </c>
    </row>
    <row r="601" spans="1:4" customFormat="1" hidden="1" x14ac:dyDescent="0.2">
      <c r="A601" s="1">
        <v>43340</v>
      </c>
      <c r="B601">
        <v>1385833</v>
      </c>
      <c r="C601">
        <v>1385833</v>
      </c>
      <c r="D601">
        <v>1335338.5</v>
      </c>
    </row>
    <row r="602" spans="1:4" customFormat="1" hidden="1" x14ac:dyDescent="0.2">
      <c r="A602" s="1">
        <v>43341</v>
      </c>
      <c r="B602">
        <v>1387272.5</v>
      </c>
      <c r="C602">
        <v>1387272.5</v>
      </c>
      <c r="D602">
        <v>1336778</v>
      </c>
    </row>
    <row r="603" spans="1:4" customFormat="1" hidden="1" x14ac:dyDescent="0.2">
      <c r="A603" s="1">
        <v>43342</v>
      </c>
      <c r="B603">
        <v>1387436.5</v>
      </c>
      <c r="C603">
        <v>1387436.5</v>
      </c>
      <c r="D603">
        <v>1336942</v>
      </c>
    </row>
    <row r="604" spans="1:4" customFormat="1" hidden="1" x14ac:dyDescent="0.2">
      <c r="A604" s="1">
        <v>43343</v>
      </c>
      <c r="B604">
        <v>1387108</v>
      </c>
      <c r="C604">
        <v>1387108</v>
      </c>
      <c r="D604">
        <v>1336613.5</v>
      </c>
    </row>
    <row r="605" spans="1:4" customFormat="1" hidden="1" x14ac:dyDescent="0.2">
      <c r="A605" s="1">
        <v>43346</v>
      </c>
      <c r="B605">
        <v>1386725.5</v>
      </c>
      <c r="C605">
        <v>1386725.5</v>
      </c>
      <c r="D605">
        <v>1336231</v>
      </c>
    </row>
    <row r="606" spans="1:4" customFormat="1" hidden="1" x14ac:dyDescent="0.2">
      <c r="A606" s="1">
        <v>43347</v>
      </c>
      <c r="B606">
        <v>1387256</v>
      </c>
      <c r="C606">
        <v>1387256</v>
      </c>
      <c r="D606">
        <v>1336761.5</v>
      </c>
    </row>
    <row r="607" spans="1:4" customFormat="1" hidden="1" x14ac:dyDescent="0.2">
      <c r="A607" s="1">
        <v>43348</v>
      </c>
      <c r="B607">
        <v>1380174.5</v>
      </c>
      <c r="C607">
        <v>1380174.5</v>
      </c>
      <c r="D607">
        <v>1329680</v>
      </c>
    </row>
    <row r="608" spans="1:4" customFormat="1" hidden="1" x14ac:dyDescent="0.2">
      <c r="A608" s="1">
        <v>43349</v>
      </c>
      <c r="B608">
        <v>1379051.5</v>
      </c>
      <c r="C608">
        <v>1379051.5</v>
      </c>
      <c r="D608">
        <v>1328557</v>
      </c>
    </row>
    <row r="609" spans="1:4" customFormat="1" hidden="1" x14ac:dyDescent="0.2">
      <c r="A609" s="1">
        <v>43350</v>
      </c>
      <c r="B609">
        <v>1380261.5</v>
      </c>
      <c r="C609">
        <v>1380261.5</v>
      </c>
      <c r="D609">
        <v>1329767</v>
      </c>
    </row>
    <row r="610" spans="1:4" customFormat="1" hidden="1" x14ac:dyDescent="0.2">
      <c r="A610" s="1">
        <v>43353</v>
      </c>
      <c r="B610">
        <v>1378970</v>
      </c>
      <c r="C610">
        <v>1378970</v>
      </c>
      <c r="D610">
        <v>1328475.5</v>
      </c>
    </row>
    <row r="611" spans="1:4" customFormat="1" hidden="1" x14ac:dyDescent="0.2">
      <c r="A611" s="1">
        <v>43354</v>
      </c>
      <c r="B611">
        <v>1380357</v>
      </c>
      <c r="C611">
        <v>1380357</v>
      </c>
      <c r="D611">
        <v>1329862.5</v>
      </c>
    </row>
    <row r="612" spans="1:4" customFormat="1" hidden="1" x14ac:dyDescent="0.2">
      <c r="A612" s="1">
        <v>43355</v>
      </c>
      <c r="B612">
        <v>1380882</v>
      </c>
      <c r="C612">
        <v>1380882</v>
      </c>
      <c r="D612">
        <v>1329734.5</v>
      </c>
    </row>
    <row r="613" spans="1:4" customFormat="1" hidden="1" x14ac:dyDescent="0.2">
      <c r="A613" s="1">
        <v>43356</v>
      </c>
      <c r="B613">
        <v>1382925</v>
      </c>
      <c r="C613">
        <v>1382925</v>
      </c>
      <c r="D613">
        <v>1332037</v>
      </c>
    </row>
    <row r="614" spans="1:4" customFormat="1" hidden="1" x14ac:dyDescent="0.2">
      <c r="A614" s="1">
        <v>43357</v>
      </c>
      <c r="B614">
        <v>1387443.5</v>
      </c>
      <c r="C614">
        <v>1387443.5</v>
      </c>
      <c r="D614">
        <v>1337046.5</v>
      </c>
    </row>
    <row r="615" spans="1:4" customFormat="1" hidden="1" x14ac:dyDescent="0.2">
      <c r="A615" s="1">
        <v>43360</v>
      </c>
      <c r="B615">
        <v>1392718</v>
      </c>
      <c r="C615">
        <v>1392718</v>
      </c>
      <c r="D615">
        <v>1341425</v>
      </c>
    </row>
    <row r="616" spans="1:4" customFormat="1" hidden="1" x14ac:dyDescent="0.2">
      <c r="A616" s="1">
        <v>43361</v>
      </c>
      <c r="B616">
        <v>1388146.5</v>
      </c>
      <c r="C616">
        <v>1388146.5</v>
      </c>
      <c r="D616">
        <v>1338015</v>
      </c>
    </row>
    <row r="617" spans="1:4" customFormat="1" hidden="1" x14ac:dyDescent="0.2">
      <c r="A617" s="1">
        <v>43362</v>
      </c>
      <c r="B617">
        <v>1391754.5</v>
      </c>
      <c r="C617">
        <v>1391754.5</v>
      </c>
      <c r="D617">
        <v>1340856</v>
      </c>
    </row>
    <row r="618" spans="1:4" customFormat="1" hidden="1" x14ac:dyDescent="0.2">
      <c r="A618" s="1">
        <v>43363</v>
      </c>
      <c r="B618">
        <v>1395517.5</v>
      </c>
      <c r="C618">
        <v>1395517.5</v>
      </c>
      <c r="D618">
        <v>1344382.5</v>
      </c>
    </row>
    <row r="619" spans="1:4" customFormat="1" hidden="1" x14ac:dyDescent="0.2">
      <c r="A619" s="1">
        <v>43364</v>
      </c>
      <c r="B619">
        <v>1381158.5</v>
      </c>
      <c r="C619">
        <v>1381158.5</v>
      </c>
      <c r="D619">
        <v>1332294.5</v>
      </c>
    </row>
    <row r="620" spans="1:4" customFormat="1" hidden="1" x14ac:dyDescent="0.2">
      <c r="A620" s="1">
        <v>43368</v>
      </c>
      <c r="B620">
        <v>1380800.5</v>
      </c>
      <c r="C620">
        <v>1380800.5</v>
      </c>
      <c r="D620">
        <v>1331936.5</v>
      </c>
    </row>
    <row r="621" spans="1:4" customFormat="1" hidden="1" x14ac:dyDescent="0.2">
      <c r="A621" s="1">
        <v>43369</v>
      </c>
      <c r="B621">
        <v>1384292</v>
      </c>
      <c r="C621">
        <v>1384292</v>
      </c>
      <c r="D621">
        <v>1335428</v>
      </c>
    </row>
    <row r="622" spans="1:4" customFormat="1" hidden="1" x14ac:dyDescent="0.2">
      <c r="A622" s="1">
        <v>43370</v>
      </c>
      <c r="B622">
        <v>1381256</v>
      </c>
      <c r="C622">
        <v>1381256</v>
      </c>
      <c r="D622">
        <v>1332392</v>
      </c>
    </row>
    <row r="623" spans="1:4" customFormat="1" hidden="1" x14ac:dyDescent="0.2">
      <c r="A623" s="1">
        <v>43371</v>
      </c>
      <c r="B623">
        <v>1384807</v>
      </c>
      <c r="C623">
        <v>1384807</v>
      </c>
      <c r="D623">
        <v>1335943</v>
      </c>
    </row>
    <row r="624" spans="1:4" customFormat="1" hidden="1" x14ac:dyDescent="0.2">
      <c r="A624" s="1">
        <v>43381</v>
      </c>
      <c r="B624">
        <v>1428781.5</v>
      </c>
      <c r="C624">
        <v>1428781.5</v>
      </c>
      <c r="D624">
        <v>1379917.5</v>
      </c>
    </row>
    <row r="625" spans="1:4" customFormat="1" hidden="1" x14ac:dyDescent="0.2">
      <c r="A625" s="1">
        <v>43382</v>
      </c>
      <c r="B625">
        <v>1424229</v>
      </c>
      <c r="C625">
        <v>1424229</v>
      </c>
      <c r="D625">
        <v>1375365</v>
      </c>
    </row>
    <row r="626" spans="1:4" customFormat="1" hidden="1" x14ac:dyDescent="0.2">
      <c r="A626" s="1">
        <v>43383</v>
      </c>
      <c r="B626">
        <v>1423788</v>
      </c>
      <c r="C626">
        <v>1423788</v>
      </c>
      <c r="D626">
        <v>1374924</v>
      </c>
    </row>
    <row r="627" spans="1:4" customFormat="1" hidden="1" x14ac:dyDescent="0.2">
      <c r="A627" s="1">
        <v>43384</v>
      </c>
      <c r="B627">
        <v>1441471.5</v>
      </c>
      <c r="C627">
        <v>1441471.5</v>
      </c>
      <c r="D627">
        <v>1392607.5</v>
      </c>
    </row>
    <row r="628" spans="1:4" customFormat="1" hidden="1" x14ac:dyDescent="0.2">
      <c r="A628" s="1">
        <v>43385</v>
      </c>
      <c r="B628">
        <v>1443323</v>
      </c>
      <c r="C628">
        <v>1443323</v>
      </c>
      <c r="D628">
        <v>1394459</v>
      </c>
    </row>
    <row r="629" spans="1:4" customFormat="1" hidden="1" x14ac:dyDescent="0.2">
      <c r="A629" s="1">
        <v>43388</v>
      </c>
      <c r="B629">
        <v>1440406</v>
      </c>
      <c r="C629">
        <v>1440406</v>
      </c>
      <c r="D629">
        <v>1391542</v>
      </c>
    </row>
    <row r="630" spans="1:4" customFormat="1" hidden="1" x14ac:dyDescent="0.2">
      <c r="A630" s="1">
        <v>43389</v>
      </c>
      <c r="B630">
        <v>1444135</v>
      </c>
      <c r="C630">
        <v>1444135</v>
      </c>
      <c r="D630">
        <v>1395271</v>
      </c>
    </row>
    <row r="631" spans="1:4" customFormat="1" hidden="1" x14ac:dyDescent="0.2">
      <c r="A631" s="1">
        <v>43390</v>
      </c>
      <c r="B631">
        <v>1442237.5</v>
      </c>
      <c r="C631">
        <v>1442237.5</v>
      </c>
      <c r="D631">
        <v>1393373.5</v>
      </c>
    </row>
    <row r="632" spans="1:4" customFormat="1" hidden="1" x14ac:dyDescent="0.2">
      <c r="A632" s="1">
        <v>43391</v>
      </c>
      <c r="B632">
        <v>1419352.5</v>
      </c>
      <c r="C632">
        <v>1419352.5</v>
      </c>
      <c r="D632">
        <v>1369986</v>
      </c>
    </row>
    <row r="633" spans="1:4" customFormat="1" hidden="1" x14ac:dyDescent="0.2">
      <c r="A633" s="1">
        <v>43392</v>
      </c>
      <c r="B633">
        <v>1430346</v>
      </c>
      <c r="C633">
        <v>1430346</v>
      </c>
      <c r="D633">
        <v>1381564.5</v>
      </c>
    </row>
    <row r="634" spans="1:4" customFormat="1" hidden="1" x14ac:dyDescent="0.2">
      <c r="A634" s="1">
        <v>43395</v>
      </c>
      <c r="B634">
        <v>1408855.5</v>
      </c>
      <c r="C634">
        <v>1408855.5</v>
      </c>
      <c r="D634">
        <v>1358763</v>
      </c>
    </row>
    <row r="635" spans="1:4" customFormat="1" hidden="1" x14ac:dyDescent="0.2">
      <c r="A635" s="1">
        <v>43396</v>
      </c>
      <c r="B635">
        <v>1389803.5</v>
      </c>
      <c r="C635">
        <v>1389803.5</v>
      </c>
      <c r="D635">
        <v>1339711</v>
      </c>
    </row>
    <row r="636" spans="1:4" customFormat="1" hidden="1" x14ac:dyDescent="0.2">
      <c r="A636" s="1">
        <v>43397</v>
      </c>
      <c r="B636">
        <v>1394308.5</v>
      </c>
      <c r="C636">
        <v>1394308.5</v>
      </c>
      <c r="D636">
        <v>1346653</v>
      </c>
    </row>
    <row r="637" spans="1:4" customFormat="1" hidden="1" x14ac:dyDescent="0.2">
      <c r="A637" s="1">
        <v>43398</v>
      </c>
      <c r="B637">
        <v>1385908.5</v>
      </c>
      <c r="C637">
        <v>1385908.5</v>
      </c>
      <c r="D637">
        <v>1339715.5</v>
      </c>
    </row>
    <row r="638" spans="1:4" customFormat="1" hidden="1" x14ac:dyDescent="0.2">
      <c r="A638" s="1">
        <v>43399</v>
      </c>
      <c r="B638">
        <v>1379008.5</v>
      </c>
      <c r="C638">
        <v>1379008.5</v>
      </c>
      <c r="D638">
        <v>1331225.5</v>
      </c>
    </row>
    <row r="639" spans="1:4" customFormat="1" hidden="1" x14ac:dyDescent="0.2">
      <c r="A639" s="1">
        <v>43402</v>
      </c>
      <c r="B639">
        <v>1358145</v>
      </c>
      <c r="C639">
        <v>1358145</v>
      </c>
      <c r="D639">
        <v>1302652.5</v>
      </c>
    </row>
    <row r="640" spans="1:4" customFormat="1" hidden="1" x14ac:dyDescent="0.2">
      <c r="A640" s="1">
        <v>43403</v>
      </c>
      <c r="B640">
        <v>1356057.5</v>
      </c>
      <c r="C640">
        <v>1356057.5</v>
      </c>
      <c r="D640">
        <v>1305589</v>
      </c>
    </row>
    <row r="641" spans="1:4" customFormat="1" hidden="1" x14ac:dyDescent="0.2">
      <c r="A641" s="1">
        <v>43404</v>
      </c>
      <c r="B641">
        <v>1365507</v>
      </c>
      <c r="C641">
        <v>1365507</v>
      </c>
      <c r="D641">
        <v>1306924</v>
      </c>
    </row>
    <row r="642" spans="1:4" customFormat="1" hidden="1" x14ac:dyDescent="0.2">
      <c r="A642" s="1">
        <v>43405</v>
      </c>
      <c r="B642">
        <v>1374267.5</v>
      </c>
      <c r="C642">
        <v>1374267.5</v>
      </c>
      <c r="D642">
        <v>1322646.5</v>
      </c>
    </row>
    <row r="643" spans="1:4" customFormat="1" hidden="1" x14ac:dyDescent="0.2">
      <c r="A643" s="1">
        <v>43406</v>
      </c>
      <c r="B643">
        <v>1369239.5</v>
      </c>
      <c r="C643">
        <v>1369239.5</v>
      </c>
      <c r="D643">
        <v>1335219.5</v>
      </c>
    </row>
    <row r="644" spans="1:4" customFormat="1" hidden="1" x14ac:dyDescent="0.2">
      <c r="A644" s="1">
        <v>43409</v>
      </c>
      <c r="B644">
        <v>1365548.5</v>
      </c>
      <c r="C644">
        <v>1365548.5</v>
      </c>
      <c r="D644">
        <v>1325898.5</v>
      </c>
    </row>
    <row r="645" spans="1:4" customFormat="1" hidden="1" x14ac:dyDescent="0.2">
      <c r="A645" s="1">
        <v>43410</v>
      </c>
      <c r="B645">
        <v>1360801</v>
      </c>
      <c r="C645">
        <v>1360801</v>
      </c>
      <c r="D645">
        <v>1312371.5</v>
      </c>
    </row>
    <row r="646" spans="1:4" customFormat="1" hidden="1" x14ac:dyDescent="0.2">
      <c r="A646" s="1">
        <v>43411</v>
      </c>
      <c r="B646">
        <v>1365075</v>
      </c>
      <c r="C646">
        <v>1365075</v>
      </c>
      <c r="D646">
        <v>1307990</v>
      </c>
    </row>
    <row r="647" spans="1:4" customFormat="1" hidden="1" x14ac:dyDescent="0.2">
      <c r="A647" s="1">
        <v>43412</v>
      </c>
      <c r="B647">
        <v>1373005</v>
      </c>
      <c r="C647">
        <v>1373005</v>
      </c>
      <c r="D647">
        <v>1316789</v>
      </c>
    </row>
    <row r="648" spans="1:4" customFormat="1" hidden="1" x14ac:dyDescent="0.2">
      <c r="A648" s="1">
        <v>43413</v>
      </c>
      <c r="B648">
        <v>1365767.5</v>
      </c>
      <c r="C648">
        <v>1365767.5</v>
      </c>
      <c r="D648">
        <v>1296864.5</v>
      </c>
    </row>
    <row r="649" spans="1:4" customFormat="1" hidden="1" x14ac:dyDescent="0.2">
      <c r="A649" s="1">
        <v>43416</v>
      </c>
      <c r="B649">
        <v>1376103.5</v>
      </c>
      <c r="C649">
        <v>1376103.5</v>
      </c>
      <c r="D649">
        <v>1296053.5</v>
      </c>
    </row>
    <row r="650" spans="1:4" customFormat="1" hidden="1" x14ac:dyDescent="0.2">
      <c r="A650" s="1">
        <v>43417</v>
      </c>
      <c r="B650">
        <v>1389988</v>
      </c>
      <c r="C650">
        <v>1389988</v>
      </c>
      <c r="D650">
        <v>1314958.5</v>
      </c>
    </row>
    <row r="651" spans="1:4" customFormat="1" hidden="1" x14ac:dyDescent="0.2">
      <c r="A651" s="1">
        <v>43418</v>
      </c>
      <c r="B651">
        <v>1399168.5</v>
      </c>
      <c r="C651">
        <v>1399168.5</v>
      </c>
      <c r="D651">
        <v>1309345</v>
      </c>
    </row>
    <row r="652" spans="1:4" customFormat="1" hidden="1" x14ac:dyDescent="0.2">
      <c r="A652" s="1">
        <v>43419</v>
      </c>
      <c r="B652">
        <v>1404139.5</v>
      </c>
      <c r="C652">
        <v>1404139.5</v>
      </c>
      <c r="D652">
        <v>1326734.5</v>
      </c>
    </row>
    <row r="653" spans="1:4" customFormat="1" hidden="1" x14ac:dyDescent="0.2">
      <c r="A653" s="1">
        <v>43420</v>
      </c>
      <c r="B653">
        <v>1420647</v>
      </c>
      <c r="C653">
        <v>1420647</v>
      </c>
      <c r="D653">
        <v>1332366.5</v>
      </c>
    </row>
    <row r="654" spans="1:4" customFormat="1" hidden="1" x14ac:dyDescent="0.2">
      <c r="A654" s="1">
        <v>43423</v>
      </c>
      <c r="B654">
        <v>1434855</v>
      </c>
      <c r="C654">
        <v>1434855</v>
      </c>
      <c r="D654">
        <v>1348789</v>
      </c>
    </row>
    <row r="655" spans="1:4" customFormat="1" hidden="1" x14ac:dyDescent="0.2">
      <c r="A655" s="1">
        <v>43424</v>
      </c>
      <c r="B655">
        <v>1432772.5</v>
      </c>
      <c r="C655">
        <v>1432772.5</v>
      </c>
      <c r="D655">
        <v>1345223</v>
      </c>
    </row>
    <row r="656" spans="1:4" customFormat="1" hidden="1" x14ac:dyDescent="0.2">
      <c r="A656" s="1">
        <v>43425</v>
      </c>
      <c r="B656">
        <v>1435442.5</v>
      </c>
      <c r="C656">
        <v>1435442.5</v>
      </c>
      <c r="D656">
        <v>1347314.5</v>
      </c>
    </row>
    <row r="657" spans="1:4" customFormat="1" hidden="1" x14ac:dyDescent="0.2">
      <c r="A657" s="1">
        <v>43426</v>
      </c>
      <c r="B657">
        <v>1439211</v>
      </c>
      <c r="C657">
        <v>1439211</v>
      </c>
      <c r="D657">
        <v>1352245</v>
      </c>
    </row>
    <row r="658" spans="1:4" customFormat="1" hidden="1" x14ac:dyDescent="0.2">
      <c r="A658" s="1">
        <v>43427</v>
      </c>
      <c r="B658">
        <v>1434164</v>
      </c>
      <c r="C658">
        <v>1434164</v>
      </c>
      <c r="D658">
        <v>1346816.5</v>
      </c>
    </row>
    <row r="659" spans="1:4" customFormat="1" hidden="1" x14ac:dyDescent="0.2">
      <c r="A659" s="1">
        <v>43430</v>
      </c>
      <c r="B659">
        <v>1444616</v>
      </c>
      <c r="C659">
        <v>1444616</v>
      </c>
      <c r="D659">
        <v>1357885</v>
      </c>
    </row>
    <row r="660" spans="1:4" customFormat="1" hidden="1" x14ac:dyDescent="0.2">
      <c r="A660" s="1">
        <v>43431</v>
      </c>
      <c r="B660">
        <v>1449271.5</v>
      </c>
      <c r="C660">
        <v>1449271.5</v>
      </c>
      <c r="D660">
        <v>1362779</v>
      </c>
    </row>
    <row r="661" spans="1:4" customFormat="1" hidden="1" x14ac:dyDescent="0.2">
      <c r="A661" s="1">
        <v>43432</v>
      </c>
      <c r="B661">
        <v>1460606.5</v>
      </c>
      <c r="C661">
        <v>1460606.5</v>
      </c>
      <c r="D661">
        <v>1373690.5</v>
      </c>
    </row>
    <row r="662" spans="1:4" customFormat="1" hidden="1" x14ac:dyDescent="0.2">
      <c r="A662" s="1">
        <v>43433</v>
      </c>
      <c r="B662">
        <v>1457993</v>
      </c>
      <c r="C662">
        <v>1457993</v>
      </c>
      <c r="D662">
        <v>1371571.5</v>
      </c>
    </row>
    <row r="663" spans="1:4" customFormat="1" hidden="1" x14ac:dyDescent="0.2">
      <c r="A663" s="1">
        <v>43434</v>
      </c>
      <c r="B663">
        <v>1458813</v>
      </c>
      <c r="C663">
        <v>1458813</v>
      </c>
      <c r="D663">
        <v>1371677</v>
      </c>
    </row>
    <row r="664" spans="1:4" customFormat="1" hidden="1" x14ac:dyDescent="0.2">
      <c r="A664" s="1">
        <v>43437</v>
      </c>
      <c r="B664">
        <v>1484363</v>
      </c>
      <c r="C664">
        <v>1484363</v>
      </c>
      <c r="D664">
        <v>1400859.5</v>
      </c>
    </row>
    <row r="665" spans="1:4" customFormat="1" hidden="1" x14ac:dyDescent="0.2">
      <c r="A665" s="1">
        <v>43438</v>
      </c>
      <c r="B665">
        <v>1491728.5</v>
      </c>
      <c r="C665">
        <v>1491728.5</v>
      </c>
      <c r="D665">
        <v>1407314</v>
      </c>
    </row>
    <row r="666" spans="1:4" customFormat="1" hidden="1" x14ac:dyDescent="0.2">
      <c r="A666" s="1">
        <v>43439</v>
      </c>
      <c r="B666">
        <v>1494193.5</v>
      </c>
      <c r="C666">
        <v>1494193.5</v>
      </c>
      <c r="D666">
        <v>1409469.5</v>
      </c>
    </row>
    <row r="667" spans="1:4" customFormat="1" hidden="1" x14ac:dyDescent="0.2">
      <c r="A667" s="1">
        <v>43440</v>
      </c>
      <c r="B667">
        <v>1494061.5</v>
      </c>
      <c r="C667">
        <v>1494061.5</v>
      </c>
      <c r="D667">
        <v>1407324</v>
      </c>
    </row>
    <row r="668" spans="1:4" customFormat="1" hidden="1" x14ac:dyDescent="0.2">
      <c r="A668" s="1">
        <v>43441</v>
      </c>
      <c r="B668">
        <v>1501879.5</v>
      </c>
      <c r="C668">
        <v>1501879.5</v>
      </c>
      <c r="D668">
        <v>1414326.5</v>
      </c>
    </row>
    <row r="669" spans="1:4" customFormat="1" hidden="1" x14ac:dyDescent="0.2">
      <c r="A669" s="1">
        <v>43444</v>
      </c>
      <c r="B669">
        <v>1502603</v>
      </c>
      <c r="C669">
        <v>1502603</v>
      </c>
      <c r="D669">
        <v>1417365</v>
      </c>
    </row>
    <row r="670" spans="1:4" customFormat="1" hidden="1" x14ac:dyDescent="0.2">
      <c r="A670" s="1">
        <v>43445</v>
      </c>
      <c r="B670">
        <v>1502208.5</v>
      </c>
      <c r="C670">
        <v>1502208.5</v>
      </c>
      <c r="D670">
        <v>1416186</v>
      </c>
    </row>
    <row r="671" spans="1:4" customFormat="1" hidden="1" x14ac:dyDescent="0.2">
      <c r="A671" s="1">
        <v>43446</v>
      </c>
      <c r="B671">
        <v>1504205.5</v>
      </c>
      <c r="C671">
        <v>1504205.5</v>
      </c>
      <c r="D671">
        <v>1419960</v>
      </c>
    </row>
    <row r="672" spans="1:4" customFormat="1" hidden="1" x14ac:dyDescent="0.2">
      <c r="A672" s="1">
        <v>43447</v>
      </c>
      <c r="B672">
        <v>1505193</v>
      </c>
      <c r="C672">
        <v>1505193</v>
      </c>
      <c r="D672">
        <v>1416984.5</v>
      </c>
    </row>
    <row r="673" spans="1:4" customFormat="1" hidden="1" x14ac:dyDescent="0.2">
      <c r="A673" s="1">
        <v>43448</v>
      </c>
      <c r="B673">
        <v>1503590.5</v>
      </c>
      <c r="C673">
        <v>1503590.5</v>
      </c>
      <c r="D673">
        <v>1417451.5</v>
      </c>
    </row>
    <row r="674" spans="1:4" customFormat="1" hidden="1" x14ac:dyDescent="0.2">
      <c r="A674" s="1">
        <v>43451</v>
      </c>
      <c r="B674">
        <v>1502691.5</v>
      </c>
      <c r="C674">
        <v>1502691.5</v>
      </c>
      <c r="D674">
        <v>1419135</v>
      </c>
    </row>
    <row r="675" spans="1:4" customFormat="1" hidden="1" x14ac:dyDescent="0.2">
      <c r="A675" s="1">
        <v>43452</v>
      </c>
      <c r="B675">
        <v>1500677.5</v>
      </c>
      <c r="C675">
        <v>1500677.5</v>
      </c>
      <c r="D675">
        <v>1417121</v>
      </c>
    </row>
    <row r="676" spans="1:4" customFormat="1" hidden="1" x14ac:dyDescent="0.2">
      <c r="A676" s="1">
        <v>43453</v>
      </c>
      <c r="B676">
        <v>1500155</v>
      </c>
      <c r="C676">
        <v>1500155</v>
      </c>
      <c r="D676">
        <v>1416598.5</v>
      </c>
    </row>
    <row r="677" spans="1:4" customFormat="1" hidden="1" x14ac:dyDescent="0.2">
      <c r="A677" s="1">
        <v>43454</v>
      </c>
      <c r="B677">
        <v>1494532</v>
      </c>
      <c r="C677">
        <v>1494532</v>
      </c>
      <c r="D677">
        <v>1410975.5</v>
      </c>
    </row>
    <row r="678" spans="1:4" customFormat="1" hidden="1" x14ac:dyDescent="0.2">
      <c r="A678" s="1">
        <v>43455</v>
      </c>
      <c r="B678">
        <v>1495256.5</v>
      </c>
      <c r="C678">
        <v>1495256.5</v>
      </c>
      <c r="D678">
        <v>1411700</v>
      </c>
    </row>
    <row r="679" spans="1:4" customFormat="1" hidden="1" x14ac:dyDescent="0.2">
      <c r="A679" s="1">
        <v>43458</v>
      </c>
      <c r="B679">
        <v>1517665.5</v>
      </c>
      <c r="C679">
        <v>1517665.5</v>
      </c>
      <c r="D679">
        <v>1434109</v>
      </c>
    </row>
    <row r="680" spans="1:4" customFormat="1" hidden="1" x14ac:dyDescent="0.2">
      <c r="A680" s="1">
        <v>43459</v>
      </c>
      <c r="B680">
        <v>1518906</v>
      </c>
      <c r="C680">
        <v>1518906</v>
      </c>
      <c r="D680">
        <v>1435349.5</v>
      </c>
    </row>
    <row r="681" spans="1:4" customFormat="1" hidden="1" x14ac:dyDescent="0.2">
      <c r="A681" s="1">
        <v>43460</v>
      </c>
      <c r="B681">
        <v>1521887.5</v>
      </c>
      <c r="C681">
        <v>1521887.5</v>
      </c>
      <c r="D681">
        <v>1438331</v>
      </c>
    </row>
    <row r="682" spans="1:4" customFormat="1" hidden="1" x14ac:dyDescent="0.2">
      <c r="A682" s="1">
        <v>43461</v>
      </c>
      <c r="B682">
        <v>1522383</v>
      </c>
      <c r="C682">
        <v>1522383</v>
      </c>
      <c r="D682">
        <v>1438826.5</v>
      </c>
    </row>
    <row r="683" spans="1:4" customFormat="1" hidden="1" x14ac:dyDescent="0.2">
      <c r="A683" s="1">
        <v>43462</v>
      </c>
      <c r="B683">
        <v>1524130.5</v>
      </c>
      <c r="C683">
        <v>1524130.5</v>
      </c>
      <c r="D683">
        <v>1440574</v>
      </c>
    </row>
    <row r="684" spans="1:4" customFormat="1" hidden="1" x14ac:dyDescent="0.2">
      <c r="A684" s="1">
        <v>43467</v>
      </c>
      <c r="B684">
        <v>1528714.5</v>
      </c>
      <c r="C684">
        <v>1528714.5</v>
      </c>
      <c r="D684">
        <v>1445158</v>
      </c>
    </row>
    <row r="685" spans="1:4" customFormat="1" hidden="1" x14ac:dyDescent="0.2">
      <c r="A685" s="1">
        <v>43468</v>
      </c>
      <c r="B685">
        <v>1531282.5</v>
      </c>
      <c r="C685">
        <v>1531282.5</v>
      </c>
      <c r="D685">
        <v>1447726</v>
      </c>
    </row>
    <row r="686" spans="1:4" customFormat="1" hidden="1" x14ac:dyDescent="0.2">
      <c r="A686" s="1">
        <v>43469</v>
      </c>
      <c r="B686">
        <v>1522122.5</v>
      </c>
      <c r="C686">
        <v>1522122.5</v>
      </c>
      <c r="D686">
        <v>1438566</v>
      </c>
    </row>
    <row r="687" spans="1:4" customFormat="1" hidden="1" x14ac:dyDescent="0.2">
      <c r="A687" s="1">
        <v>43472</v>
      </c>
      <c r="B687">
        <v>1523675</v>
      </c>
      <c r="C687">
        <v>1523675</v>
      </c>
      <c r="D687">
        <v>1440118.5</v>
      </c>
    </row>
    <row r="688" spans="1:4" customFormat="1" hidden="1" x14ac:dyDescent="0.2">
      <c r="A688" s="1">
        <v>43473</v>
      </c>
      <c r="B688">
        <v>1527371.5</v>
      </c>
      <c r="C688">
        <v>1527371.5</v>
      </c>
      <c r="D688">
        <v>1443815</v>
      </c>
    </row>
    <row r="689" spans="1:4" customFormat="1" hidden="1" x14ac:dyDescent="0.2">
      <c r="A689" s="1">
        <v>43474</v>
      </c>
      <c r="B689">
        <v>1533513</v>
      </c>
      <c r="C689">
        <v>1533513</v>
      </c>
      <c r="D689">
        <v>1449956.5</v>
      </c>
    </row>
    <row r="690" spans="1:4" customFormat="1" hidden="1" x14ac:dyDescent="0.2">
      <c r="A690" s="1">
        <v>43475</v>
      </c>
      <c r="B690">
        <v>1535263.5</v>
      </c>
      <c r="C690">
        <v>1535263.5</v>
      </c>
      <c r="D690">
        <v>1451707</v>
      </c>
    </row>
    <row r="691" spans="1:4" customFormat="1" hidden="1" x14ac:dyDescent="0.2">
      <c r="A691" s="1">
        <v>43476</v>
      </c>
      <c r="B691">
        <v>1536511</v>
      </c>
      <c r="C691">
        <v>1536511</v>
      </c>
      <c r="D691">
        <v>1452954.5</v>
      </c>
    </row>
    <row r="692" spans="1:4" customFormat="1" hidden="1" x14ac:dyDescent="0.2">
      <c r="A692" s="1">
        <v>43479</v>
      </c>
      <c r="B692">
        <v>1537231.5</v>
      </c>
      <c r="C692">
        <v>1537231.5</v>
      </c>
      <c r="D692">
        <v>1453675</v>
      </c>
    </row>
    <row r="693" spans="1:4" customFormat="1" hidden="1" x14ac:dyDescent="0.2">
      <c r="A693" s="1">
        <v>43480</v>
      </c>
      <c r="B693">
        <v>1536261.5</v>
      </c>
      <c r="C693">
        <v>1536261.5</v>
      </c>
      <c r="D693">
        <v>1452705</v>
      </c>
    </row>
    <row r="694" spans="1:4" customFormat="1" hidden="1" x14ac:dyDescent="0.2">
      <c r="A694" s="1">
        <v>43481</v>
      </c>
      <c r="B694">
        <v>1540173</v>
      </c>
      <c r="C694">
        <v>1540173</v>
      </c>
      <c r="D694">
        <v>1456616.5</v>
      </c>
    </row>
    <row r="695" spans="1:4" customFormat="1" hidden="1" x14ac:dyDescent="0.2">
      <c r="A695" s="1">
        <v>43482</v>
      </c>
      <c r="B695">
        <v>1538805</v>
      </c>
      <c r="C695">
        <v>1538805</v>
      </c>
      <c r="D695">
        <v>1455248.5</v>
      </c>
    </row>
    <row r="696" spans="1:4" customFormat="1" hidden="1" x14ac:dyDescent="0.2">
      <c r="A696" s="1">
        <v>43483</v>
      </c>
      <c r="B696">
        <v>1534784.5</v>
      </c>
      <c r="C696">
        <v>1534784.5</v>
      </c>
      <c r="D696">
        <v>1451228</v>
      </c>
    </row>
    <row r="697" spans="1:4" customFormat="1" hidden="1" x14ac:dyDescent="0.2">
      <c r="A697" s="1">
        <v>43486</v>
      </c>
      <c r="B697">
        <v>1531748.5</v>
      </c>
      <c r="C697">
        <v>1531748.5</v>
      </c>
      <c r="D697">
        <v>1448192</v>
      </c>
    </row>
    <row r="698" spans="1:4" customFormat="1" hidden="1" x14ac:dyDescent="0.2">
      <c r="A698" s="1">
        <v>43487</v>
      </c>
      <c r="B698">
        <v>1537914</v>
      </c>
      <c r="C698">
        <v>1537914</v>
      </c>
      <c r="D698">
        <v>1454357.5</v>
      </c>
    </row>
    <row r="699" spans="1:4" customFormat="1" hidden="1" x14ac:dyDescent="0.2">
      <c r="A699" s="1">
        <v>43488</v>
      </c>
      <c r="B699">
        <v>1540111.5</v>
      </c>
      <c r="C699">
        <v>1540111.5</v>
      </c>
      <c r="D699">
        <v>1456555</v>
      </c>
    </row>
    <row r="700" spans="1:4" customFormat="1" hidden="1" x14ac:dyDescent="0.2">
      <c r="A700" s="1">
        <v>43489</v>
      </c>
      <c r="B700">
        <v>1546108</v>
      </c>
      <c r="C700">
        <v>1546108</v>
      </c>
      <c r="D700">
        <v>1462551.5</v>
      </c>
    </row>
    <row r="701" spans="1:4" customFormat="1" hidden="1" x14ac:dyDescent="0.2">
      <c r="A701" s="1">
        <v>43490</v>
      </c>
      <c r="B701">
        <v>1545460</v>
      </c>
      <c r="C701">
        <v>1545460</v>
      </c>
      <c r="D701">
        <v>1461903.5</v>
      </c>
    </row>
    <row r="702" spans="1:4" customFormat="1" hidden="1" x14ac:dyDescent="0.2">
      <c r="A702" s="1">
        <v>43493</v>
      </c>
      <c r="B702">
        <v>1542479</v>
      </c>
      <c r="C702">
        <v>1542479</v>
      </c>
      <c r="D702">
        <v>1459133</v>
      </c>
    </row>
    <row r="703" spans="1:4" customFormat="1" hidden="1" x14ac:dyDescent="0.2">
      <c r="A703" s="1">
        <v>43494</v>
      </c>
      <c r="B703">
        <v>1539153.5</v>
      </c>
      <c r="C703">
        <v>1539153.5</v>
      </c>
      <c r="D703">
        <v>1454798</v>
      </c>
    </row>
    <row r="704" spans="1:4" customFormat="1" hidden="1" x14ac:dyDescent="0.2">
      <c r="A704" s="1">
        <v>43495</v>
      </c>
      <c r="B704">
        <v>1537227</v>
      </c>
      <c r="C704">
        <v>1537227</v>
      </c>
      <c r="D704">
        <v>1452290.5</v>
      </c>
    </row>
    <row r="705" spans="1:4" customFormat="1" hidden="1" x14ac:dyDescent="0.2">
      <c r="A705" s="1">
        <v>43496</v>
      </c>
      <c r="B705">
        <v>1535863</v>
      </c>
      <c r="C705">
        <v>1535863</v>
      </c>
      <c r="D705">
        <v>1454192.5</v>
      </c>
    </row>
    <row r="706" spans="1:4" customFormat="1" hidden="1" x14ac:dyDescent="0.2">
      <c r="A706" s="1">
        <v>43497</v>
      </c>
      <c r="B706">
        <v>1534792</v>
      </c>
      <c r="C706">
        <v>1534792</v>
      </c>
      <c r="D706">
        <v>1453121.5</v>
      </c>
    </row>
    <row r="707" spans="1:4" customFormat="1" hidden="1" x14ac:dyDescent="0.2">
      <c r="A707" s="1">
        <v>43507</v>
      </c>
      <c r="B707">
        <v>1543800</v>
      </c>
      <c r="C707">
        <v>1543800</v>
      </c>
      <c r="D707">
        <v>1462129.5</v>
      </c>
    </row>
    <row r="708" spans="1:4" customFormat="1" hidden="1" x14ac:dyDescent="0.2">
      <c r="A708" s="1">
        <v>43508</v>
      </c>
      <c r="B708">
        <v>1545030</v>
      </c>
      <c r="C708">
        <v>1545030</v>
      </c>
      <c r="D708">
        <v>1463359.5</v>
      </c>
    </row>
    <row r="709" spans="1:4" customFormat="1" hidden="1" x14ac:dyDescent="0.2">
      <c r="A709" s="1">
        <v>43509</v>
      </c>
      <c r="B709">
        <v>1539257.5</v>
      </c>
      <c r="C709">
        <v>1539257.5</v>
      </c>
      <c r="D709">
        <v>1457587</v>
      </c>
    </row>
    <row r="710" spans="1:4" customFormat="1" hidden="1" x14ac:dyDescent="0.2">
      <c r="A710" s="1">
        <v>43510</v>
      </c>
      <c r="B710">
        <v>1536620.5</v>
      </c>
      <c r="C710">
        <v>1536620.5</v>
      </c>
      <c r="D710">
        <v>1454024.5</v>
      </c>
    </row>
    <row r="711" spans="1:4" customFormat="1" hidden="1" x14ac:dyDescent="0.2">
      <c r="A711" s="1">
        <v>43511</v>
      </c>
      <c r="B711">
        <v>1535839</v>
      </c>
      <c r="C711">
        <v>1535839</v>
      </c>
      <c r="D711">
        <v>1453243</v>
      </c>
    </row>
    <row r="712" spans="1:4" customFormat="1" hidden="1" x14ac:dyDescent="0.2">
      <c r="A712" s="1">
        <v>43514</v>
      </c>
      <c r="B712">
        <v>1527542.5</v>
      </c>
      <c r="C712">
        <v>1527542.5</v>
      </c>
      <c r="D712">
        <v>1444946.5</v>
      </c>
    </row>
    <row r="713" spans="1:4" customFormat="1" hidden="1" x14ac:dyDescent="0.2">
      <c r="A713" s="1">
        <v>43515</v>
      </c>
      <c r="B713">
        <v>1524864.5</v>
      </c>
      <c r="C713">
        <v>1524864.5</v>
      </c>
      <c r="D713">
        <v>1442268.5</v>
      </c>
    </row>
    <row r="714" spans="1:4" customFormat="1" hidden="1" x14ac:dyDescent="0.2">
      <c r="A714" s="1">
        <v>43516</v>
      </c>
      <c r="B714">
        <v>1523193.5</v>
      </c>
      <c r="C714">
        <v>1523193.5</v>
      </c>
      <c r="D714">
        <v>1440597.5</v>
      </c>
    </row>
    <row r="715" spans="1:4" customFormat="1" hidden="1" x14ac:dyDescent="0.2">
      <c r="A715" s="1">
        <v>43517</v>
      </c>
      <c r="B715">
        <v>1526820</v>
      </c>
      <c r="C715">
        <v>1526820</v>
      </c>
      <c r="D715">
        <v>1444224</v>
      </c>
    </row>
    <row r="716" spans="1:4" customFormat="1" hidden="1" x14ac:dyDescent="0.2">
      <c r="A716" s="1">
        <v>43518</v>
      </c>
      <c r="B716">
        <v>1525368.5</v>
      </c>
      <c r="C716">
        <v>1525368.5</v>
      </c>
      <c r="D716">
        <v>1442772.5</v>
      </c>
    </row>
    <row r="717" spans="1:4" customFormat="1" hidden="1" x14ac:dyDescent="0.2">
      <c r="A717" s="1">
        <v>43521</v>
      </c>
      <c r="B717">
        <v>1412972.5</v>
      </c>
      <c r="C717">
        <v>1412972.5</v>
      </c>
      <c r="D717">
        <v>1330376.5</v>
      </c>
    </row>
    <row r="718" spans="1:4" customFormat="1" hidden="1" x14ac:dyDescent="0.2">
      <c r="A718" s="1">
        <v>43522</v>
      </c>
      <c r="B718">
        <v>1440956.5</v>
      </c>
      <c r="C718">
        <v>1440956.5</v>
      </c>
      <c r="D718">
        <v>1358360.5</v>
      </c>
    </row>
    <row r="719" spans="1:4" customFormat="1" hidden="1" x14ac:dyDescent="0.2">
      <c r="A719" s="1">
        <v>43523</v>
      </c>
      <c r="B719">
        <v>1439887</v>
      </c>
      <c r="C719">
        <v>1439887</v>
      </c>
      <c r="D719">
        <v>1357065.5</v>
      </c>
    </row>
    <row r="720" spans="1:4" customFormat="1" hidden="1" x14ac:dyDescent="0.2">
      <c r="A720" s="1">
        <v>43524</v>
      </c>
      <c r="B720">
        <v>1457066</v>
      </c>
      <c r="C720">
        <v>1457066</v>
      </c>
      <c r="D720">
        <v>1376227</v>
      </c>
    </row>
    <row r="721" spans="1:4" customFormat="1" hidden="1" x14ac:dyDescent="0.2">
      <c r="A721" s="1">
        <v>43525</v>
      </c>
      <c r="B721">
        <v>1459699.5</v>
      </c>
      <c r="C721">
        <v>1459699.5</v>
      </c>
      <c r="D721">
        <v>1378860.5</v>
      </c>
    </row>
    <row r="722" spans="1:4" customFormat="1" hidden="1" x14ac:dyDescent="0.2">
      <c r="A722" s="1">
        <v>43528</v>
      </c>
      <c r="B722">
        <v>1449397.5</v>
      </c>
      <c r="C722">
        <v>1449397.5</v>
      </c>
      <c r="D722">
        <v>1368558.5</v>
      </c>
    </row>
    <row r="723" spans="1:4" customFormat="1" hidden="1" x14ac:dyDescent="0.2">
      <c r="A723" s="1">
        <v>43529</v>
      </c>
      <c r="B723">
        <v>1443126</v>
      </c>
      <c r="C723">
        <v>1443126</v>
      </c>
      <c r="D723">
        <v>1362287</v>
      </c>
    </row>
    <row r="724" spans="1:4" customFormat="1" hidden="1" x14ac:dyDescent="0.2">
      <c r="A724" s="1">
        <v>43530</v>
      </c>
      <c r="B724">
        <v>1433921.5</v>
      </c>
      <c r="C724">
        <v>1433921.5</v>
      </c>
      <c r="D724">
        <v>1349911.5</v>
      </c>
    </row>
    <row r="725" spans="1:4" customFormat="1" hidden="1" x14ac:dyDescent="0.2">
      <c r="A725" s="1">
        <v>43531</v>
      </c>
      <c r="B725">
        <v>1416871</v>
      </c>
      <c r="C725">
        <v>1416871</v>
      </c>
      <c r="D725">
        <v>1326127</v>
      </c>
    </row>
    <row r="726" spans="1:4" customFormat="1" hidden="1" x14ac:dyDescent="0.2">
      <c r="A726" s="1">
        <v>43532</v>
      </c>
      <c r="B726">
        <v>1410345</v>
      </c>
      <c r="C726">
        <v>1410345</v>
      </c>
      <c r="D726">
        <v>1316487</v>
      </c>
    </row>
    <row r="727" spans="1:4" customFormat="1" hidden="1" x14ac:dyDescent="0.2">
      <c r="A727" s="1">
        <v>43535</v>
      </c>
      <c r="B727">
        <v>1451365</v>
      </c>
      <c r="C727">
        <v>1451365</v>
      </c>
      <c r="D727">
        <v>1360434</v>
      </c>
    </row>
    <row r="728" spans="1:4" customFormat="1" hidden="1" x14ac:dyDescent="0.2">
      <c r="A728" s="1">
        <v>43536</v>
      </c>
      <c r="B728">
        <v>1451268.5</v>
      </c>
      <c r="C728">
        <v>1451268.5</v>
      </c>
      <c r="D728">
        <v>1360340.5</v>
      </c>
    </row>
    <row r="729" spans="1:4" customFormat="1" hidden="1" x14ac:dyDescent="0.2">
      <c r="A729" s="1">
        <v>43537</v>
      </c>
      <c r="B729">
        <v>1449152</v>
      </c>
      <c r="C729">
        <v>1449152</v>
      </c>
      <c r="D729">
        <v>1358031.5</v>
      </c>
    </row>
    <row r="730" spans="1:4" customFormat="1" hidden="1" x14ac:dyDescent="0.2">
      <c r="A730" s="1">
        <v>43538</v>
      </c>
      <c r="B730">
        <v>1459687.5</v>
      </c>
      <c r="C730">
        <v>1459687.5</v>
      </c>
      <c r="D730">
        <v>1369612</v>
      </c>
    </row>
    <row r="731" spans="1:4" customFormat="1" hidden="1" x14ac:dyDescent="0.2">
      <c r="A731" s="1">
        <v>43539</v>
      </c>
      <c r="B731">
        <v>1471176</v>
      </c>
      <c r="C731">
        <v>1471176</v>
      </c>
      <c r="D731">
        <v>1381100.5</v>
      </c>
    </row>
    <row r="732" spans="1:4" customFormat="1" hidden="1" x14ac:dyDescent="0.2">
      <c r="A732" s="1">
        <v>43542</v>
      </c>
      <c r="B732">
        <v>1457968</v>
      </c>
      <c r="C732">
        <v>1457968</v>
      </c>
      <c r="D732">
        <v>1373409.5</v>
      </c>
    </row>
    <row r="733" spans="1:4" customFormat="1" hidden="1" x14ac:dyDescent="0.2">
      <c r="A733" s="1">
        <v>43543</v>
      </c>
      <c r="B733">
        <v>1454737</v>
      </c>
      <c r="C733">
        <v>1454737</v>
      </c>
      <c r="D733">
        <v>1369025.5</v>
      </c>
    </row>
    <row r="734" spans="1:4" customFormat="1" hidden="1" x14ac:dyDescent="0.2">
      <c r="A734" s="1">
        <v>43544</v>
      </c>
      <c r="B734">
        <v>1457377</v>
      </c>
      <c r="C734">
        <v>1457377</v>
      </c>
      <c r="D734">
        <v>1371649</v>
      </c>
    </row>
    <row r="735" spans="1:4" customFormat="1" hidden="1" x14ac:dyDescent="0.2">
      <c r="A735" s="1">
        <v>43545</v>
      </c>
      <c r="B735">
        <v>1451129.5</v>
      </c>
      <c r="C735">
        <v>1451129.5</v>
      </c>
      <c r="D735">
        <v>1364134</v>
      </c>
    </row>
    <row r="736" spans="1:4" customFormat="1" hidden="1" x14ac:dyDescent="0.2">
      <c r="A736" s="1">
        <v>43546</v>
      </c>
      <c r="B736">
        <v>1461246</v>
      </c>
      <c r="C736">
        <v>1461246</v>
      </c>
      <c r="D736">
        <v>1376773.5</v>
      </c>
    </row>
    <row r="737" spans="1:4" customFormat="1" hidden="1" x14ac:dyDescent="0.2">
      <c r="A737" s="1">
        <v>43549</v>
      </c>
      <c r="B737">
        <v>1476682.5</v>
      </c>
      <c r="C737">
        <v>1476682.5</v>
      </c>
      <c r="D737">
        <v>1398958</v>
      </c>
    </row>
    <row r="738" spans="1:4" customFormat="1" hidden="1" x14ac:dyDescent="0.2">
      <c r="A738" s="1">
        <v>43550</v>
      </c>
      <c r="B738">
        <v>1494117</v>
      </c>
      <c r="C738">
        <v>1494117</v>
      </c>
      <c r="D738">
        <v>1412506.5</v>
      </c>
    </row>
    <row r="739" spans="1:4" customFormat="1" hidden="1" x14ac:dyDescent="0.2">
      <c r="A739" s="1">
        <v>43551</v>
      </c>
      <c r="B739">
        <v>1502334</v>
      </c>
      <c r="C739">
        <v>1502334</v>
      </c>
      <c r="D739">
        <v>1419160.5</v>
      </c>
    </row>
    <row r="740" spans="1:4" customFormat="1" hidden="1" x14ac:dyDescent="0.2">
      <c r="A740" s="1">
        <v>43552</v>
      </c>
      <c r="B740">
        <v>1506454.5</v>
      </c>
      <c r="C740">
        <v>1506454.5</v>
      </c>
      <c r="D740">
        <v>1423281</v>
      </c>
    </row>
    <row r="741" spans="1:4" customFormat="1" hidden="1" x14ac:dyDescent="0.2">
      <c r="A741" s="1">
        <v>43553</v>
      </c>
      <c r="B741">
        <v>1488812</v>
      </c>
      <c r="C741">
        <v>1488812</v>
      </c>
      <c r="D741">
        <v>1405638.5</v>
      </c>
    </row>
    <row r="742" spans="1:4" customFormat="1" hidden="1" x14ac:dyDescent="0.2">
      <c r="A742" s="1">
        <v>43556</v>
      </c>
      <c r="B742">
        <v>1494377</v>
      </c>
      <c r="C742">
        <v>1494377</v>
      </c>
      <c r="D742">
        <v>1411203.5</v>
      </c>
    </row>
    <row r="743" spans="1:4" customFormat="1" hidden="1" x14ac:dyDescent="0.2">
      <c r="A743" s="1">
        <v>43557</v>
      </c>
      <c r="B743">
        <v>1490124</v>
      </c>
      <c r="C743">
        <v>1490124</v>
      </c>
      <c r="D743">
        <v>1406950.5</v>
      </c>
    </row>
    <row r="744" spans="1:4" customFormat="1" hidden="1" x14ac:dyDescent="0.2">
      <c r="A744" s="1">
        <v>43558</v>
      </c>
      <c r="B744">
        <v>1489288.5</v>
      </c>
      <c r="C744">
        <v>1489288.5</v>
      </c>
      <c r="D744">
        <v>1406115</v>
      </c>
    </row>
    <row r="745" spans="1:4" customFormat="1" hidden="1" x14ac:dyDescent="0.2">
      <c r="A745" s="1">
        <v>43559</v>
      </c>
      <c r="B745">
        <v>1481697</v>
      </c>
      <c r="C745">
        <v>1481697</v>
      </c>
      <c r="D745">
        <v>1398523.5</v>
      </c>
    </row>
    <row r="746" spans="1:4" customFormat="1" hidden="1" x14ac:dyDescent="0.2">
      <c r="A746" s="1">
        <v>43563</v>
      </c>
      <c r="B746">
        <v>1482488</v>
      </c>
      <c r="C746">
        <v>1482488</v>
      </c>
      <c r="D746">
        <v>1394817</v>
      </c>
    </row>
    <row r="747" spans="1:4" customFormat="1" hidden="1" x14ac:dyDescent="0.2">
      <c r="A747" s="1">
        <v>43564</v>
      </c>
      <c r="B747">
        <v>1501458.5</v>
      </c>
      <c r="C747">
        <v>1501458.5</v>
      </c>
      <c r="D747">
        <v>1415522</v>
      </c>
    </row>
    <row r="748" spans="1:4" customFormat="1" hidden="1" x14ac:dyDescent="0.2">
      <c r="A748" s="1">
        <v>43565</v>
      </c>
      <c r="B748">
        <v>1494336</v>
      </c>
      <c r="C748">
        <v>1494336</v>
      </c>
      <c r="D748">
        <v>1414717.5</v>
      </c>
    </row>
    <row r="749" spans="1:4" customFormat="1" hidden="1" x14ac:dyDescent="0.2">
      <c r="A749" s="1">
        <v>43566</v>
      </c>
      <c r="B749">
        <v>1495363</v>
      </c>
      <c r="C749">
        <v>1495363</v>
      </c>
      <c r="D749">
        <v>1415823.5</v>
      </c>
    </row>
    <row r="750" spans="1:4" customFormat="1" hidden="1" x14ac:dyDescent="0.2">
      <c r="A750" s="1">
        <v>43567</v>
      </c>
      <c r="B750">
        <v>1522801</v>
      </c>
      <c r="C750">
        <v>1522801</v>
      </c>
      <c r="D750">
        <v>1445192</v>
      </c>
    </row>
    <row r="751" spans="1:4" customFormat="1" hidden="1" x14ac:dyDescent="0.2">
      <c r="A751" s="1">
        <v>43570</v>
      </c>
      <c r="B751">
        <v>1529161.5</v>
      </c>
      <c r="C751">
        <v>1529161.5</v>
      </c>
      <c r="D751">
        <v>1451552.5</v>
      </c>
    </row>
    <row r="752" spans="1:4" customFormat="1" hidden="1" x14ac:dyDescent="0.2">
      <c r="A752" s="1">
        <v>43571</v>
      </c>
      <c r="B752">
        <v>1511703</v>
      </c>
      <c r="C752">
        <v>1511703</v>
      </c>
      <c r="D752">
        <v>1434094</v>
      </c>
    </row>
    <row r="753" spans="1:4" customFormat="1" hidden="1" x14ac:dyDescent="0.2">
      <c r="A753" s="1">
        <v>43572</v>
      </c>
      <c r="B753">
        <v>1507829.5</v>
      </c>
      <c r="C753">
        <v>1507829.5</v>
      </c>
      <c r="D753">
        <v>1430220.5</v>
      </c>
    </row>
    <row r="754" spans="1:4" customFormat="1" hidden="1" x14ac:dyDescent="0.2">
      <c r="A754" s="1">
        <v>43573</v>
      </c>
      <c r="B754">
        <v>1510208.5</v>
      </c>
      <c r="C754">
        <v>1510208.5</v>
      </c>
      <c r="D754">
        <v>1432834.5</v>
      </c>
    </row>
    <row r="755" spans="1:4" customFormat="1" hidden="1" x14ac:dyDescent="0.2">
      <c r="A755" s="1">
        <v>43574</v>
      </c>
      <c r="B755">
        <v>1522149.5</v>
      </c>
      <c r="C755">
        <v>1522149.5</v>
      </c>
      <c r="D755">
        <v>1446029</v>
      </c>
    </row>
    <row r="756" spans="1:4" customFormat="1" hidden="1" x14ac:dyDescent="0.2">
      <c r="A756" s="1">
        <v>43577</v>
      </c>
      <c r="B756">
        <v>1509215</v>
      </c>
      <c r="C756">
        <v>1509215</v>
      </c>
      <c r="D756">
        <v>1433094.5</v>
      </c>
    </row>
    <row r="757" spans="1:4" customFormat="1" hidden="1" x14ac:dyDescent="0.2">
      <c r="A757" s="1">
        <v>43578</v>
      </c>
      <c r="B757">
        <v>1526083</v>
      </c>
      <c r="C757">
        <v>1526083</v>
      </c>
      <c r="D757">
        <v>1449962.5</v>
      </c>
    </row>
    <row r="758" spans="1:4" customFormat="1" hidden="1" x14ac:dyDescent="0.2">
      <c r="A758" s="1">
        <v>43579</v>
      </c>
      <c r="B758">
        <v>1533078</v>
      </c>
      <c r="C758">
        <v>1533078</v>
      </c>
      <c r="D758">
        <v>1456957.5</v>
      </c>
    </row>
    <row r="759" spans="1:4" customFormat="1" hidden="1" x14ac:dyDescent="0.2">
      <c r="A759" s="1">
        <v>43580</v>
      </c>
      <c r="B759">
        <v>1529045.5</v>
      </c>
      <c r="C759">
        <v>1529045.5</v>
      </c>
      <c r="D759">
        <v>1452925</v>
      </c>
    </row>
    <row r="760" spans="1:4" customFormat="1" hidden="1" x14ac:dyDescent="0.2">
      <c r="A760" s="1">
        <v>43581</v>
      </c>
      <c r="B760">
        <v>1534553</v>
      </c>
      <c r="C760">
        <v>1534553</v>
      </c>
      <c r="D760">
        <v>1458432.5</v>
      </c>
    </row>
    <row r="761" spans="1:4" customFormat="1" hidden="1" x14ac:dyDescent="0.2">
      <c r="A761" s="1">
        <v>43584</v>
      </c>
      <c r="B761">
        <v>1547168.5</v>
      </c>
      <c r="C761">
        <v>1547168.5</v>
      </c>
      <c r="D761">
        <v>1471048</v>
      </c>
    </row>
    <row r="762" spans="1:4" customFormat="1" hidden="1" x14ac:dyDescent="0.2">
      <c r="A762" s="1">
        <v>43585</v>
      </c>
      <c r="B762">
        <v>1548859</v>
      </c>
      <c r="C762">
        <v>1548859</v>
      </c>
      <c r="D762">
        <v>1472738.5</v>
      </c>
    </row>
    <row r="763" spans="1:4" customFormat="1" hidden="1" x14ac:dyDescent="0.2">
      <c r="A763" s="1">
        <v>43591</v>
      </c>
      <c r="B763">
        <v>1496526.5</v>
      </c>
      <c r="C763">
        <v>1496526.5</v>
      </c>
      <c r="D763">
        <v>1420406</v>
      </c>
    </row>
    <row r="764" spans="1:4" customFormat="1" hidden="1" x14ac:dyDescent="0.2">
      <c r="A764" s="1">
        <v>43592</v>
      </c>
      <c r="B764">
        <v>1509079</v>
      </c>
      <c r="C764">
        <v>1509079</v>
      </c>
      <c r="D764">
        <v>1432958.5</v>
      </c>
    </row>
    <row r="765" spans="1:4" customFormat="1" hidden="1" x14ac:dyDescent="0.2">
      <c r="A765" s="1">
        <v>43593</v>
      </c>
      <c r="B765">
        <v>1507696</v>
      </c>
      <c r="C765">
        <v>1507696</v>
      </c>
      <c r="D765">
        <v>1431575.5</v>
      </c>
    </row>
    <row r="766" spans="1:4" customFormat="1" hidden="1" x14ac:dyDescent="0.2">
      <c r="A766" s="1">
        <v>43594</v>
      </c>
      <c r="B766">
        <v>1494256</v>
      </c>
      <c r="C766">
        <v>1494256</v>
      </c>
      <c r="D766">
        <v>1418135.5</v>
      </c>
    </row>
    <row r="767" spans="1:4" customFormat="1" hidden="1" x14ac:dyDescent="0.2">
      <c r="A767" s="1">
        <v>43595</v>
      </c>
      <c r="B767">
        <v>1488250</v>
      </c>
      <c r="C767">
        <v>1488250</v>
      </c>
      <c r="D767">
        <v>1412129.5</v>
      </c>
    </row>
    <row r="768" spans="1:4" customFormat="1" hidden="1" x14ac:dyDescent="0.2">
      <c r="A768" s="1">
        <v>43598</v>
      </c>
      <c r="B768">
        <v>1491841.5</v>
      </c>
      <c r="C768">
        <v>1491841.5</v>
      </c>
      <c r="D768">
        <v>1418110</v>
      </c>
    </row>
    <row r="769" spans="1:4" customFormat="1" hidden="1" x14ac:dyDescent="0.2">
      <c r="A769" s="1">
        <v>43599</v>
      </c>
      <c r="B769">
        <v>1499540</v>
      </c>
      <c r="C769">
        <v>1499540</v>
      </c>
      <c r="D769">
        <v>1425420</v>
      </c>
    </row>
    <row r="770" spans="1:4" customFormat="1" hidden="1" x14ac:dyDescent="0.2">
      <c r="A770" s="1">
        <v>43600</v>
      </c>
      <c r="B770">
        <v>1512922</v>
      </c>
      <c r="C770">
        <v>1512922</v>
      </c>
      <c r="D770">
        <v>1432650.5</v>
      </c>
    </row>
    <row r="771" spans="1:4" customFormat="1" hidden="1" x14ac:dyDescent="0.2">
      <c r="A771" s="1">
        <v>43601</v>
      </c>
      <c r="B771">
        <v>1518742.5</v>
      </c>
      <c r="C771">
        <v>1518742.5</v>
      </c>
      <c r="D771">
        <v>1440717.5</v>
      </c>
    </row>
    <row r="772" spans="1:4" customFormat="1" hidden="1" x14ac:dyDescent="0.2">
      <c r="A772" s="1">
        <v>43602</v>
      </c>
      <c r="B772">
        <v>1519528.5</v>
      </c>
      <c r="C772">
        <v>1519528.5</v>
      </c>
      <c r="D772">
        <v>1442055</v>
      </c>
    </row>
    <row r="773" spans="1:4" customFormat="1" hidden="1" x14ac:dyDescent="0.2">
      <c r="A773" s="1">
        <v>43605</v>
      </c>
      <c r="B773">
        <v>1523412</v>
      </c>
      <c r="C773">
        <v>1523412</v>
      </c>
      <c r="D773">
        <v>1452501.5</v>
      </c>
    </row>
    <row r="774" spans="1:4" customFormat="1" hidden="1" x14ac:dyDescent="0.2">
      <c r="A774" s="1">
        <v>43606</v>
      </c>
      <c r="B774">
        <v>1530706</v>
      </c>
      <c r="C774">
        <v>1530706</v>
      </c>
      <c r="D774">
        <v>1457175</v>
      </c>
    </row>
    <row r="775" spans="1:4" customFormat="1" hidden="1" x14ac:dyDescent="0.2">
      <c r="A775" s="1">
        <v>43607</v>
      </c>
      <c r="B775">
        <v>1534556</v>
      </c>
      <c r="C775">
        <v>1534556</v>
      </c>
      <c r="D775">
        <v>1461025</v>
      </c>
    </row>
    <row r="776" spans="1:4" customFormat="1" hidden="1" x14ac:dyDescent="0.2">
      <c r="A776" s="1">
        <v>43608</v>
      </c>
      <c r="B776">
        <v>1537151</v>
      </c>
      <c r="C776">
        <v>1537151</v>
      </c>
      <c r="D776">
        <v>1463620</v>
      </c>
    </row>
    <row r="777" spans="1:4" customFormat="1" hidden="1" x14ac:dyDescent="0.2">
      <c r="A777" s="1">
        <v>43609</v>
      </c>
      <c r="B777">
        <v>1536382.5</v>
      </c>
      <c r="C777">
        <v>1536382.5</v>
      </c>
      <c r="D777">
        <v>1462851.5</v>
      </c>
    </row>
    <row r="778" spans="1:4" customFormat="1" hidden="1" x14ac:dyDescent="0.2">
      <c r="A778" s="1">
        <v>43612</v>
      </c>
      <c r="B778">
        <v>1537172.5</v>
      </c>
      <c r="C778">
        <v>1537172.5</v>
      </c>
      <c r="D778">
        <v>1463641.5</v>
      </c>
    </row>
    <row r="779" spans="1:4" customFormat="1" hidden="1" x14ac:dyDescent="0.2">
      <c r="A779" s="1">
        <v>43613</v>
      </c>
      <c r="B779">
        <v>1532468</v>
      </c>
      <c r="C779">
        <v>1532468</v>
      </c>
      <c r="D779">
        <v>1458937</v>
      </c>
    </row>
    <row r="780" spans="1:4" customFormat="1" hidden="1" x14ac:dyDescent="0.2">
      <c r="A780" s="1">
        <v>43614</v>
      </c>
      <c r="B780">
        <v>1525953</v>
      </c>
      <c r="C780">
        <v>1525953</v>
      </c>
      <c r="D780">
        <v>1452422</v>
      </c>
    </row>
    <row r="781" spans="1:4" customFormat="1" hidden="1" x14ac:dyDescent="0.2">
      <c r="A781" s="1">
        <v>43615</v>
      </c>
      <c r="B781">
        <v>1526483.5</v>
      </c>
      <c r="C781">
        <v>1526483.5</v>
      </c>
      <c r="D781">
        <v>1452952.5</v>
      </c>
    </row>
    <row r="782" spans="1:4" customFormat="1" hidden="1" x14ac:dyDescent="0.2">
      <c r="A782" s="1">
        <v>43616</v>
      </c>
      <c r="B782">
        <v>1534205</v>
      </c>
      <c r="C782">
        <v>1534205</v>
      </c>
      <c r="D782">
        <v>1460674</v>
      </c>
    </row>
    <row r="783" spans="1:4" customFormat="1" hidden="1" x14ac:dyDescent="0.2">
      <c r="A783" s="1">
        <v>43619</v>
      </c>
      <c r="B783">
        <v>1530969.5</v>
      </c>
      <c r="C783">
        <v>1530969.5</v>
      </c>
      <c r="D783">
        <v>1457438.5</v>
      </c>
    </row>
    <row r="784" spans="1:4" customFormat="1" hidden="1" x14ac:dyDescent="0.2">
      <c r="A784" s="1">
        <v>43620</v>
      </c>
      <c r="B784">
        <v>1532658</v>
      </c>
      <c r="C784">
        <v>1532658</v>
      </c>
      <c r="D784">
        <v>1459127</v>
      </c>
    </row>
    <row r="785" spans="1:4" customFormat="1" hidden="1" x14ac:dyDescent="0.2">
      <c r="A785" s="1">
        <v>43621</v>
      </c>
      <c r="B785">
        <v>1528853.5</v>
      </c>
      <c r="C785">
        <v>1528853.5</v>
      </c>
      <c r="D785">
        <v>1455322.5</v>
      </c>
    </row>
    <row r="786" spans="1:4" customFormat="1" hidden="1" x14ac:dyDescent="0.2">
      <c r="A786" s="1">
        <v>43622</v>
      </c>
      <c r="B786">
        <v>1527402.5</v>
      </c>
      <c r="C786">
        <v>1527402.5</v>
      </c>
      <c r="D786">
        <v>1453871.5</v>
      </c>
    </row>
    <row r="787" spans="1:4" customFormat="1" hidden="1" x14ac:dyDescent="0.2">
      <c r="A787" s="1">
        <v>43626</v>
      </c>
      <c r="B787">
        <v>1518912.5</v>
      </c>
      <c r="C787">
        <v>1518912.5</v>
      </c>
      <c r="D787">
        <v>1445381.5</v>
      </c>
    </row>
    <row r="788" spans="1:4" customFormat="1" hidden="1" x14ac:dyDescent="0.2">
      <c r="A788" s="1">
        <v>43627</v>
      </c>
      <c r="B788">
        <v>1520729</v>
      </c>
      <c r="C788">
        <v>1520729</v>
      </c>
      <c r="D788">
        <v>1447005.5</v>
      </c>
    </row>
    <row r="789" spans="1:4" customFormat="1" hidden="1" x14ac:dyDescent="0.2">
      <c r="A789" s="1">
        <v>43628</v>
      </c>
      <c r="B789">
        <v>1515951.5</v>
      </c>
      <c r="C789">
        <v>1515951.5</v>
      </c>
      <c r="D789">
        <v>1446365</v>
      </c>
    </row>
    <row r="790" spans="1:4" customFormat="1" hidden="1" x14ac:dyDescent="0.2">
      <c r="A790" s="1">
        <v>43629</v>
      </c>
      <c r="B790">
        <v>1511966</v>
      </c>
      <c r="C790">
        <v>1511966</v>
      </c>
      <c r="D790">
        <v>1444232</v>
      </c>
    </row>
    <row r="791" spans="1:4" customFormat="1" hidden="1" x14ac:dyDescent="0.2">
      <c r="A791" s="1">
        <v>43630</v>
      </c>
      <c r="B791">
        <v>1507660</v>
      </c>
      <c r="C791">
        <v>1507660</v>
      </c>
      <c r="D791">
        <v>1443899.5</v>
      </c>
    </row>
    <row r="792" spans="1:4" customFormat="1" hidden="1" x14ac:dyDescent="0.2">
      <c r="A792" s="1">
        <v>43633</v>
      </c>
      <c r="B792">
        <v>1497237</v>
      </c>
      <c r="C792">
        <v>1497237</v>
      </c>
      <c r="D792">
        <v>1440102</v>
      </c>
    </row>
    <row r="793" spans="1:4" customFormat="1" hidden="1" x14ac:dyDescent="0.2">
      <c r="A793" s="1">
        <v>43634</v>
      </c>
      <c r="B793">
        <v>1494006</v>
      </c>
      <c r="C793">
        <v>1494006</v>
      </c>
      <c r="D793">
        <v>1436871</v>
      </c>
    </row>
    <row r="794" spans="1:4" customFormat="1" hidden="1" x14ac:dyDescent="0.2">
      <c r="A794" s="1">
        <v>43635</v>
      </c>
      <c r="B794">
        <v>1491868</v>
      </c>
      <c r="C794">
        <v>1491868</v>
      </c>
      <c r="D794">
        <v>1434733</v>
      </c>
    </row>
    <row r="795" spans="1:4" customFormat="1" hidden="1" x14ac:dyDescent="0.2">
      <c r="A795" s="1">
        <v>43636</v>
      </c>
      <c r="B795">
        <v>1504290</v>
      </c>
      <c r="C795">
        <v>1504290</v>
      </c>
      <c r="D795">
        <v>1447155</v>
      </c>
    </row>
    <row r="796" spans="1:4" customFormat="1" hidden="1" x14ac:dyDescent="0.2">
      <c r="A796" s="1">
        <v>43637</v>
      </c>
      <c r="B796">
        <v>1499670.5</v>
      </c>
      <c r="C796">
        <v>1499670.5</v>
      </c>
      <c r="D796">
        <v>1442535.5</v>
      </c>
    </row>
    <row r="797" spans="1:4" customFormat="1" hidden="1" x14ac:dyDescent="0.2">
      <c r="A797" s="1">
        <v>43640</v>
      </c>
      <c r="B797">
        <v>1501743</v>
      </c>
      <c r="C797">
        <v>1501743</v>
      </c>
      <c r="D797">
        <v>1444608</v>
      </c>
    </row>
    <row r="798" spans="1:4" customFormat="1" hidden="1" x14ac:dyDescent="0.2">
      <c r="A798" s="1">
        <v>43641</v>
      </c>
      <c r="B798">
        <v>1499360.5</v>
      </c>
      <c r="C798">
        <v>1499360.5</v>
      </c>
      <c r="D798">
        <v>1442225.5</v>
      </c>
    </row>
    <row r="799" spans="1:4" customFormat="1" hidden="1" x14ac:dyDescent="0.2">
      <c r="A799" s="1">
        <v>43642</v>
      </c>
      <c r="B799">
        <v>1501017</v>
      </c>
      <c r="C799">
        <v>1501017</v>
      </c>
      <c r="D799">
        <v>1443882</v>
      </c>
    </row>
    <row r="800" spans="1:4" customFormat="1" hidden="1" x14ac:dyDescent="0.2">
      <c r="A800" s="1">
        <v>43643</v>
      </c>
      <c r="B800">
        <v>1496327</v>
      </c>
      <c r="C800">
        <v>1496327</v>
      </c>
      <c r="D800">
        <v>1439192</v>
      </c>
    </row>
    <row r="801" spans="1:4" customFormat="1" hidden="1" x14ac:dyDescent="0.2">
      <c r="A801" s="1">
        <v>43644</v>
      </c>
      <c r="B801">
        <v>1489799.5</v>
      </c>
      <c r="C801">
        <v>1489799.5</v>
      </c>
      <c r="D801">
        <v>1432664.5</v>
      </c>
    </row>
    <row r="802" spans="1:4" customFormat="1" hidden="1" x14ac:dyDescent="0.2">
      <c r="A802" s="1">
        <v>43647</v>
      </c>
      <c r="B802">
        <v>1507185</v>
      </c>
      <c r="C802">
        <v>1507185</v>
      </c>
      <c r="D802">
        <v>1450050</v>
      </c>
    </row>
    <row r="803" spans="1:4" customFormat="1" hidden="1" x14ac:dyDescent="0.2">
      <c r="A803" s="1">
        <v>43648</v>
      </c>
      <c r="B803">
        <v>1514585.5</v>
      </c>
      <c r="C803">
        <v>1514585.5</v>
      </c>
      <c r="D803">
        <v>1457450.5</v>
      </c>
    </row>
    <row r="804" spans="1:4" customFormat="1" hidden="1" x14ac:dyDescent="0.2">
      <c r="A804" s="1">
        <v>43649</v>
      </c>
      <c r="B804">
        <v>1519330.5</v>
      </c>
      <c r="C804">
        <v>1519330.5</v>
      </c>
      <c r="D804">
        <v>1462195.5</v>
      </c>
    </row>
    <row r="805" spans="1:4" customFormat="1" hidden="1" x14ac:dyDescent="0.2">
      <c r="A805" s="1">
        <v>43650</v>
      </c>
      <c r="B805">
        <v>1522564</v>
      </c>
      <c r="C805">
        <v>1522564</v>
      </c>
      <c r="D805">
        <v>1465429</v>
      </c>
    </row>
    <row r="806" spans="1:4" customFormat="1" hidden="1" x14ac:dyDescent="0.2">
      <c r="A806" s="1">
        <v>43651</v>
      </c>
      <c r="B806">
        <v>1520708</v>
      </c>
      <c r="C806">
        <v>1520708</v>
      </c>
      <c r="D806">
        <v>1463573</v>
      </c>
    </row>
    <row r="807" spans="1:4" customFormat="1" hidden="1" x14ac:dyDescent="0.2">
      <c r="A807" s="1">
        <v>43654</v>
      </c>
      <c r="B807">
        <v>1520683</v>
      </c>
      <c r="C807">
        <v>1520683</v>
      </c>
      <c r="D807">
        <v>1463548</v>
      </c>
    </row>
    <row r="808" spans="1:4" customFormat="1" hidden="1" x14ac:dyDescent="0.2">
      <c r="A808" s="1">
        <v>43655</v>
      </c>
      <c r="B808">
        <v>1526895</v>
      </c>
      <c r="C808">
        <v>1526895</v>
      </c>
      <c r="D808">
        <v>1469760</v>
      </c>
    </row>
    <row r="809" spans="1:4" customFormat="1" hidden="1" x14ac:dyDescent="0.2">
      <c r="A809" s="1">
        <v>43656</v>
      </c>
      <c r="B809">
        <v>1528593</v>
      </c>
      <c r="C809">
        <v>1528593</v>
      </c>
      <c r="D809">
        <v>1471458</v>
      </c>
    </row>
    <row r="810" spans="1:4" customFormat="1" hidden="1" x14ac:dyDescent="0.2">
      <c r="A810" s="1">
        <v>43657</v>
      </c>
      <c r="B810">
        <v>1528740.5</v>
      </c>
      <c r="C810">
        <v>1528740.5</v>
      </c>
      <c r="D810">
        <v>1471605.5</v>
      </c>
    </row>
    <row r="811" spans="1:4" customFormat="1" hidden="1" x14ac:dyDescent="0.2">
      <c r="A811" s="1">
        <v>43658</v>
      </c>
      <c r="B811">
        <v>1533376</v>
      </c>
      <c r="C811">
        <v>1533376</v>
      </c>
      <c r="D811">
        <v>1476241</v>
      </c>
    </row>
    <row r="812" spans="1:4" customFormat="1" hidden="1" x14ac:dyDescent="0.2">
      <c r="A812" s="1">
        <v>43661</v>
      </c>
      <c r="B812">
        <v>1539150.5</v>
      </c>
      <c r="C812">
        <v>1539150.5</v>
      </c>
      <c r="D812">
        <v>1482015.5</v>
      </c>
    </row>
    <row r="813" spans="1:4" customFormat="1" hidden="1" x14ac:dyDescent="0.2">
      <c r="A813" s="1">
        <v>43662</v>
      </c>
      <c r="B813">
        <v>1537641.5</v>
      </c>
      <c r="C813">
        <v>1537641.5</v>
      </c>
      <c r="D813">
        <v>1480506.5</v>
      </c>
    </row>
    <row r="814" spans="1:4" customFormat="1" hidden="1" x14ac:dyDescent="0.2">
      <c r="A814" s="1">
        <v>43663</v>
      </c>
      <c r="B814">
        <v>1539870</v>
      </c>
      <c r="C814">
        <v>1539870</v>
      </c>
      <c r="D814">
        <v>1482735</v>
      </c>
    </row>
    <row r="815" spans="1:4" customFormat="1" hidden="1" x14ac:dyDescent="0.2">
      <c r="A815" s="1">
        <v>43664</v>
      </c>
      <c r="B815">
        <v>1542809</v>
      </c>
      <c r="C815">
        <v>1542809</v>
      </c>
      <c r="D815">
        <v>1485674</v>
      </c>
    </row>
    <row r="816" spans="1:4" customFormat="1" hidden="1" x14ac:dyDescent="0.2">
      <c r="A816" s="1">
        <v>43665</v>
      </c>
      <c r="B816">
        <v>1537709</v>
      </c>
      <c r="C816">
        <v>1537709</v>
      </c>
      <c r="D816">
        <v>1480574</v>
      </c>
    </row>
    <row r="817" spans="1:4" customFormat="1" hidden="1" x14ac:dyDescent="0.2">
      <c r="A817" s="1">
        <v>43668</v>
      </c>
      <c r="B817">
        <v>1549473</v>
      </c>
      <c r="C817">
        <v>1549473</v>
      </c>
      <c r="D817">
        <v>1492338</v>
      </c>
    </row>
    <row r="818" spans="1:4" customFormat="1" hidden="1" x14ac:dyDescent="0.2">
      <c r="A818" s="1">
        <v>43669</v>
      </c>
      <c r="B818">
        <v>1554550.5</v>
      </c>
      <c r="C818">
        <v>1554550.5</v>
      </c>
      <c r="D818">
        <v>1497415.5</v>
      </c>
    </row>
    <row r="819" spans="1:4" customFormat="1" hidden="1" x14ac:dyDescent="0.2">
      <c r="A819" s="1">
        <v>43670</v>
      </c>
      <c r="B819">
        <v>1558546.5</v>
      </c>
      <c r="C819">
        <v>1558546.5</v>
      </c>
      <c r="D819">
        <v>1501411.5</v>
      </c>
    </row>
    <row r="820" spans="1:4" customFormat="1" hidden="1" x14ac:dyDescent="0.2">
      <c r="A820" s="1">
        <v>43671</v>
      </c>
      <c r="B820">
        <v>1563164.5</v>
      </c>
      <c r="C820">
        <v>1563164.5</v>
      </c>
      <c r="D820">
        <v>1506029.5</v>
      </c>
    </row>
    <row r="821" spans="1:4" customFormat="1" hidden="1" x14ac:dyDescent="0.2">
      <c r="A821" s="1">
        <v>43672</v>
      </c>
      <c r="B821">
        <v>1563447</v>
      </c>
      <c r="C821">
        <v>1563447</v>
      </c>
      <c r="D821">
        <v>1506312</v>
      </c>
    </row>
    <row r="822" spans="1:4" customFormat="1" hidden="1" x14ac:dyDescent="0.2">
      <c r="A822" s="1">
        <v>43675</v>
      </c>
      <c r="B822">
        <v>1564130</v>
      </c>
      <c r="C822">
        <v>1564130</v>
      </c>
      <c r="D822">
        <v>1506995</v>
      </c>
    </row>
    <row r="823" spans="1:4" customFormat="1" hidden="1" x14ac:dyDescent="0.2">
      <c r="A823" s="1">
        <v>43676</v>
      </c>
      <c r="B823">
        <v>1563309.5</v>
      </c>
      <c r="C823">
        <v>1563309.5</v>
      </c>
      <c r="D823">
        <v>1506174.5</v>
      </c>
    </row>
    <row r="824" spans="1:4" customFormat="1" hidden="1" x14ac:dyDescent="0.2">
      <c r="A824" s="1">
        <v>43677</v>
      </c>
      <c r="B824">
        <v>1559684.5</v>
      </c>
      <c r="C824">
        <v>1559684.5</v>
      </c>
      <c r="D824">
        <v>1502549.5</v>
      </c>
    </row>
    <row r="825" spans="1:4" customFormat="1" hidden="1" x14ac:dyDescent="0.2">
      <c r="A825" s="1">
        <v>43678</v>
      </c>
      <c r="B825">
        <v>1566894</v>
      </c>
      <c r="C825">
        <v>1566894</v>
      </c>
      <c r="D825">
        <v>1509759</v>
      </c>
    </row>
    <row r="826" spans="1:4" customFormat="1" hidden="1" x14ac:dyDescent="0.2">
      <c r="A826" s="1">
        <v>43679</v>
      </c>
      <c r="B826">
        <v>1563201.5</v>
      </c>
      <c r="C826">
        <v>1563201.5</v>
      </c>
      <c r="D826">
        <v>1506066.5</v>
      </c>
    </row>
    <row r="827" spans="1:4" customFormat="1" hidden="1" x14ac:dyDescent="0.2">
      <c r="A827" s="1">
        <v>43682</v>
      </c>
      <c r="B827">
        <v>1556416.5</v>
      </c>
      <c r="C827">
        <v>1556416.5</v>
      </c>
      <c r="D827">
        <v>1499281.5</v>
      </c>
    </row>
    <row r="828" spans="1:4" customFormat="1" hidden="1" x14ac:dyDescent="0.2">
      <c r="A828" s="1">
        <v>43683</v>
      </c>
      <c r="B828">
        <v>1553171</v>
      </c>
      <c r="C828">
        <v>1553171</v>
      </c>
      <c r="D828">
        <v>1496036</v>
      </c>
    </row>
    <row r="829" spans="1:4" customFormat="1" hidden="1" x14ac:dyDescent="0.2">
      <c r="A829" s="1">
        <v>43684</v>
      </c>
      <c r="B829">
        <v>1557004.5</v>
      </c>
      <c r="C829">
        <v>1557004.5</v>
      </c>
      <c r="D829">
        <v>1499869.5</v>
      </c>
    </row>
    <row r="830" spans="1:4" customFormat="1" hidden="1" x14ac:dyDescent="0.2">
      <c r="A830" s="1">
        <v>43685</v>
      </c>
      <c r="B830">
        <v>1557523</v>
      </c>
      <c r="C830">
        <v>1557523</v>
      </c>
      <c r="D830">
        <v>1500388</v>
      </c>
    </row>
    <row r="831" spans="1:4" customFormat="1" hidden="1" x14ac:dyDescent="0.2">
      <c r="A831" s="1">
        <v>43686</v>
      </c>
      <c r="B831">
        <v>1559417.5</v>
      </c>
      <c r="C831">
        <v>1559417.5</v>
      </c>
      <c r="D831">
        <v>1502282.5</v>
      </c>
    </row>
    <row r="832" spans="1:4" customFormat="1" hidden="1" x14ac:dyDescent="0.2">
      <c r="A832" s="1">
        <v>43689</v>
      </c>
      <c r="B832">
        <v>1560191.5</v>
      </c>
      <c r="C832">
        <v>1560191.5</v>
      </c>
      <c r="D832">
        <v>1503056.5</v>
      </c>
    </row>
    <row r="833" spans="1:4" customFormat="1" hidden="1" x14ac:dyDescent="0.2">
      <c r="A833" s="1">
        <v>43690</v>
      </c>
      <c r="B833">
        <v>1560164.5</v>
      </c>
      <c r="C833">
        <v>1560164.5</v>
      </c>
      <c r="D833">
        <v>1503029.5</v>
      </c>
    </row>
    <row r="834" spans="1:4" customFormat="1" hidden="1" x14ac:dyDescent="0.2">
      <c r="A834" s="1">
        <v>43691</v>
      </c>
      <c r="B834">
        <v>1562624</v>
      </c>
      <c r="C834">
        <v>1562624</v>
      </c>
      <c r="D834">
        <v>1505489</v>
      </c>
    </row>
    <row r="835" spans="1:4" customFormat="1" hidden="1" x14ac:dyDescent="0.2">
      <c r="A835" s="1">
        <v>43692</v>
      </c>
      <c r="B835">
        <v>1560858.5</v>
      </c>
      <c r="C835">
        <v>1560858.5</v>
      </c>
      <c r="D835">
        <v>1503723.5</v>
      </c>
    </row>
    <row r="836" spans="1:4" customFormat="1" hidden="1" x14ac:dyDescent="0.2">
      <c r="A836" s="1">
        <v>43693</v>
      </c>
      <c r="B836">
        <v>1561826.5</v>
      </c>
      <c r="C836">
        <v>1561826.5</v>
      </c>
      <c r="D836">
        <v>1504691.5</v>
      </c>
    </row>
    <row r="837" spans="1:4" customFormat="1" hidden="1" x14ac:dyDescent="0.2">
      <c r="A837" s="1">
        <v>43696</v>
      </c>
      <c r="B837">
        <v>1562611.5</v>
      </c>
      <c r="C837">
        <v>1562611.5</v>
      </c>
      <c r="D837">
        <v>1505476.5</v>
      </c>
    </row>
    <row r="838" spans="1:4" customFormat="1" hidden="1" x14ac:dyDescent="0.2">
      <c r="A838" s="1">
        <v>43697</v>
      </c>
      <c r="B838">
        <v>1563688.5</v>
      </c>
      <c r="C838">
        <v>1563688.5</v>
      </c>
      <c r="D838">
        <v>1506945.5</v>
      </c>
    </row>
    <row r="839" spans="1:4" customFormat="1" hidden="1" x14ac:dyDescent="0.2">
      <c r="A839" s="1">
        <v>43698</v>
      </c>
      <c r="B839">
        <v>1567440.5</v>
      </c>
      <c r="C839">
        <v>1567440.5</v>
      </c>
      <c r="D839">
        <v>1510209.5</v>
      </c>
    </row>
    <row r="840" spans="1:4" customFormat="1" hidden="1" x14ac:dyDescent="0.2">
      <c r="A840" s="1">
        <v>43699</v>
      </c>
      <c r="B840">
        <v>1569007.5</v>
      </c>
      <c r="C840">
        <v>1569007.5</v>
      </c>
      <c r="D840">
        <v>1511997</v>
      </c>
    </row>
    <row r="841" spans="1:4" customFormat="1" hidden="1" x14ac:dyDescent="0.2">
      <c r="A841" s="1">
        <v>43700</v>
      </c>
      <c r="B841">
        <v>1568874.5</v>
      </c>
      <c r="C841">
        <v>1568874.5</v>
      </c>
      <c r="D841">
        <v>1511852</v>
      </c>
    </row>
    <row r="842" spans="1:4" customFormat="1" hidden="1" x14ac:dyDescent="0.2">
      <c r="A842" s="1">
        <v>43703</v>
      </c>
      <c r="B842">
        <v>1563054</v>
      </c>
      <c r="C842">
        <v>1563054</v>
      </c>
      <c r="D842">
        <v>1506031.5</v>
      </c>
    </row>
    <row r="843" spans="1:4" customFormat="1" hidden="1" x14ac:dyDescent="0.2">
      <c r="A843" s="1">
        <v>43704</v>
      </c>
      <c r="B843">
        <v>1567081</v>
      </c>
      <c r="C843">
        <v>1567081</v>
      </c>
      <c r="D843">
        <v>1510058.5</v>
      </c>
    </row>
    <row r="844" spans="1:4" customFormat="1" hidden="1" x14ac:dyDescent="0.2">
      <c r="A844" s="1">
        <v>43705</v>
      </c>
      <c r="B844">
        <v>1566598.5</v>
      </c>
      <c r="C844">
        <v>1566598.5</v>
      </c>
      <c r="D844">
        <v>1509576</v>
      </c>
    </row>
    <row r="845" spans="1:4" customFormat="1" hidden="1" x14ac:dyDescent="0.2">
      <c r="A845" s="1">
        <v>43706</v>
      </c>
      <c r="B845">
        <v>1569175</v>
      </c>
      <c r="C845">
        <v>1569175</v>
      </c>
      <c r="D845">
        <v>1512152.5</v>
      </c>
    </row>
    <row r="846" spans="1:4" customFormat="1" hidden="1" x14ac:dyDescent="0.2">
      <c r="A846" s="1">
        <v>43707</v>
      </c>
      <c r="B846">
        <v>1569445.5</v>
      </c>
      <c r="C846">
        <v>1569445.5</v>
      </c>
      <c r="D846">
        <v>1512423</v>
      </c>
    </row>
    <row r="847" spans="1:4" customFormat="1" hidden="1" x14ac:dyDescent="0.2">
      <c r="A847" s="1">
        <v>43710</v>
      </c>
      <c r="B847">
        <v>1572973.5</v>
      </c>
      <c r="C847">
        <v>1572973.5</v>
      </c>
      <c r="D847">
        <v>1515951</v>
      </c>
    </row>
    <row r="848" spans="1:4" customFormat="1" hidden="1" x14ac:dyDescent="0.2">
      <c r="A848" s="1">
        <v>43711</v>
      </c>
      <c r="B848">
        <v>1573382.5</v>
      </c>
      <c r="C848">
        <v>1573382.5</v>
      </c>
      <c r="D848">
        <v>1516360</v>
      </c>
    </row>
    <row r="849" spans="1:4" customFormat="1" hidden="1" x14ac:dyDescent="0.2">
      <c r="A849" s="1">
        <v>43712</v>
      </c>
      <c r="B849">
        <v>1577564.5</v>
      </c>
      <c r="C849">
        <v>1577564.5</v>
      </c>
      <c r="D849">
        <v>1520542</v>
      </c>
    </row>
    <row r="850" spans="1:4" customFormat="1" hidden="1" x14ac:dyDescent="0.2">
      <c r="A850" s="1">
        <v>43713</v>
      </c>
      <c r="B850">
        <v>1576322</v>
      </c>
      <c r="C850">
        <v>1576322</v>
      </c>
      <c r="D850">
        <v>1519299.5</v>
      </c>
    </row>
    <row r="851" spans="1:4" customFormat="1" hidden="1" x14ac:dyDescent="0.2">
      <c r="A851" s="1">
        <v>43714</v>
      </c>
      <c r="B851">
        <v>1574838.5</v>
      </c>
      <c r="C851">
        <v>1574838.5</v>
      </c>
      <c r="D851">
        <v>1517816</v>
      </c>
    </row>
    <row r="852" spans="1:4" customFormat="1" hidden="1" x14ac:dyDescent="0.2">
      <c r="A852" s="1">
        <v>43717</v>
      </c>
      <c r="B852">
        <v>1576447.5</v>
      </c>
      <c r="C852">
        <v>1576447.5</v>
      </c>
      <c r="D852">
        <v>1519425</v>
      </c>
    </row>
    <row r="853" spans="1:4" customFormat="1" hidden="1" x14ac:dyDescent="0.2">
      <c r="A853" s="1">
        <v>43718</v>
      </c>
      <c r="B853">
        <v>1577313</v>
      </c>
      <c r="C853">
        <v>1577313</v>
      </c>
      <c r="D853">
        <v>1520290.5</v>
      </c>
    </row>
    <row r="854" spans="1:4" customFormat="1" hidden="1" x14ac:dyDescent="0.2">
      <c r="A854" s="1">
        <v>43719</v>
      </c>
      <c r="B854">
        <v>1580784</v>
      </c>
      <c r="C854">
        <v>1580784</v>
      </c>
      <c r="D854">
        <v>1523761.5</v>
      </c>
    </row>
    <row r="855" spans="1:4" customFormat="1" hidden="1" x14ac:dyDescent="0.2">
      <c r="A855" s="1">
        <v>43720</v>
      </c>
      <c r="B855">
        <v>1582246.5</v>
      </c>
      <c r="C855">
        <v>1582246.5</v>
      </c>
      <c r="D855">
        <v>1525224</v>
      </c>
    </row>
    <row r="856" spans="1:4" customFormat="1" hidden="1" x14ac:dyDescent="0.2">
      <c r="A856" s="1">
        <v>43724</v>
      </c>
      <c r="B856">
        <v>1590740</v>
      </c>
      <c r="C856">
        <v>1590740</v>
      </c>
      <c r="D856">
        <v>1533717.5</v>
      </c>
    </row>
    <row r="857" spans="1:4" customFormat="1" hidden="1" x14ac:dyDescent="0.2">
      <c r="A857" s="1">
        <v>43725</v>
      </c>
      <c r="B857">
        <v>1590292</v>
      </c>
      <c r="C857">
        <v>1590292</v>
      </c>
      <c r="D857">
        <v>1533269.5</v>
      </c>
    </row>
    <row r="858" spans="1:4" customFormat="1" hidden="1" x14ac:dyDescent="0.2">
      <c r="A858" s="1">
        <v>43726</v>
      </c>
      <c r="B858">
        <v>1591880.5</v>
      </c>
      <c r="C858">
        <v>1591880.5</v>
      </c>
      <c r="D858">
        <v>1534858</v>
      </c>
    </row>
    <row r="859" spans="1:4" customFormat="1" hidden="1" x14ac:dyDescent="0.2">
      <c r="A859" s="1">
        <v>43727</v>
      </c>
      <c r="B859">
        <v>1593347</v>
      </c>
      <c r="C859">
        <v>1593347</v>
      </c>
      <c r="D859">
        <v>1536324.5</v>
      </c>
    </row>
    <row r="860" spans="1:4" customFormat="1" hidden="1" x14ac:dyDescent="0.2">
      <c r="A860" s="1">
        <v>43728</v>
      </c>
      <c r="B860">
        <v>1595145</v>
      </c>
      <c r="C860">
        <v>1595145</v>
      </c>
      <c r="D860">
        <v>1538122.5</v>
      </c>
    </row>
    <row r="861" spans="1:4" customFormat="1" hidden="1" x14ac:dyDescent="0.2">
      <c r="A861" s="1">
        <v>43731</v>
      </c>
      <c r="B861">
        <v>1597804</v>
      </c>
      <c r="C861">
        <v>1597804</v>
      </c>
      <c r="D861">
        <v>1540781.5</v>
      </c>
    </row>
    <row r="862" spans="1:4" customFormat="1" hidden="1" x14ac:dyDescent="0.2">
      <c r="A862" s="1">
        <v>43732</v>
      </c>
      <c r="B862">
        <v>1599945</v>
      </c>
      <c r="C862">
        <v>1599945</v>
      </c>
      <c r="D862">
        <v>1542922.5</v>
      </c>
    </row>
    <row r="863" spans="1:4" customFormat="1" hidden="1" x14ac:dyDescent="0.2">
      <c r="A863" s="1">
        <v>43733</v>
      </c>
      <c r="B863">
        <v>1599127.5</v>
      </c>
      <c r="C863">
        <v>1599127.5</v>
      </c>
      <c r="D863">
        <v>1542105</v>
      </c>
    </row>
    <row r="864" spans="1:4" customFormat="1" hidden="1" x14ac:dyDescent="0.2">
      <c r="A864" s="1">
        <v>43734</v>
      </c>
      <c r="B864">
        <v>1597930</v>
      </c>
      <c r="C864">
        <v>1597930</v>
      </c>
      <c r="D864">
        <v>1540907.5</v>
      </c>
    </row>
    <row r="865" spans="1:4" customFormat="1" hidden="1" x14ac:dyDescent="0.2">
      <c r="A865" s="1">
        <v>43735</v>
      </c>
      <c r="B865">
        <v>1597836</v>
      </c>
      <c r="C865">
        <v>1597836</v>
      </c>
      <c r="D865">
        <v>1540813.5</v>
      </c>
    </row>
    <row r="866" spans="1:4" customFormat="1" hidden="1" x14ac:dyDescent="0.2">
      <c r="A866" s="1">
        <v>43738</v>
      </c>
      <c r="B866">
        <v>1596605</v>
      </c>
      <c r="C866">
        <v>1596605</v>
      </c>
      <c r="D866">
        <v>1539582.5</v>
      </c>
    </row>
    <row r="867" spans="1:4" customFormat="1" hidden="1" x14ac:dyDescent="0.2">
      <c r="A867" s="1">
        <v>43746</v>
      </c>
      <c r="B867">
        <v>1612153</v>
      </c>
      <c r="C867">
        <v>1612153</v>
      </c>
      <c r="D867">
        <v>1555130.5</v>
      </c>
    </row>
    <row r="868" spans="1:4" customFormat="1" hidden="1" x14ac:dyDescent="0.2">
      <c r="A868" s="1">
        <v>43747</v>
      </c>
      <c r="B868">
        <v>1615909.5</v>
      </c>
      <c r="C868">
        <v>1615909.5</v>
      </c>
      <c r="D868">
        <v>1558887</v>
      </c>
    </row>
    <row r="869" spans="1:4" customFormat="1" hidden="1" x14ac:dyDescent="0.2">
      <c r="A869" s="1">
        <v>43748</v>
      </c>
      <c r="B869">
        <v>1617210</v>
      </c>
      <c r="C869">
        <v>1617210</v>
      </c>
      <c r="D869">
        <v>1560187.5</v>
      </c>
    </row>
    <row r="870" spans="1:4" customFormat="1" hidden="1" x14ac:dyDescent="0.2">
      <c r="A870" s="1">
        <v>43749</v>
      </c>
      <c r="B870">
        <v>1611891</v>
      </c>
      <c r="C870">
        <v>1611891</v>
      </c>
      <c r="D870">
        <v>1554868.5</v>
      </c>
    </row>
    <row r="871" spans="1:4" customFormat="1" hidden="1" x14ac:dyDescent="0.2">
      <c r="A871" s="1">
        <v>43752</v>
      </c>
      <c r="B871">
        <v>1614604.5</v>
      </c>
      <c r="C871">
        <v>1614604.5</v>
      </c>
      <c r="D871">
        <v>1557582</v>
      </c>
    </row>
    <row r="872" spans="1:4" customFormat="1" hidden="1" x14ac:dyDescent="0.2">
      <c r="A872" s="1">
        <v>43753</v>
      </c>
      <c r="B872">
        <v>1617288.5</v>
      </c>
      <c r="C872">
        <v>1617288.5</v>
      </c>
      <c r="D872">
        <v>1560266</v>
      </c>
    </row>
    <row r="873" spans="1:4" customFormat="1" hidden="1" x14ac:dyDescent="0.2">
      <c r="A873" s="1">
        <v>43754</v>
      </c>
      <c r="B873">
        <v>1618633</v>
      </c>
      <c r="C873">
        <v>1618633</v>
      </c>
      <c r="D873">
        <v>1561610.5</v>
      </c>
    </row>
    <row r="874" spans="1:4" customFormat="1" hidden="1" x14ac:dyDescent="0.2">
      <c r="A874" s="1">
        <v>43755</v>
      </c>
      <c r="B874">
        <v>1616675</v>
      </c>
      <c r="C874">
        <v>1616675</v>
      </c>
      <c r="D874">
        <v>1559652.5</v>
      </c>
    </row>
    <row r="875" spans="1:4" customFormat="1" hidden="1" x14ac:dyDescent="0.2">
      <c r="A875" s="1">
        <v>43756</v>
      </c>
      <c r="B875">
        <v>1614085</v>
      </c>
      <c r="C875">
        <v>1614085</v>
      </c>
      <c r="D875">
        <v>1557062.5</v>
      </c>
    </row>
    <row r="876" spans="1:4" customFormat="1" hidden="1" x14ac:dyDescent="0.2">
      <c r="A876" s="1">
        <v>43759</v>
      </c>
      <c r="B876">
        <v>1617492.5</v>
      </c>
      <c r="C876">
        <v>1617492.5</v>
      </c>
      <c r="D876">
        <v>1560709.5</v>
      </c>
    </row>
    <row r="877" spans="1:4" customFormat="1" hidden="1" x14ac:dyDescent="0.2">
      <c r="A877" s="1">
        <v>43760</v>
      </c>
      <c r="B877">
        <v>1619750</v>
      </c>
      <c r="C877">
        <v>1619750</v>
      </c>
      <c r="D877">
        <v>1561910</v>
      </c>
    </row>
    <row r="878" spans="1:4" customFormat="1" hidden="1" x14ac:dyDescent="0.2">
      <c r="A878" s="1">
        <v>43761</v>
      </c>
      <c r="B878">
        <v>1618481</v>
      </c>
      <c r="C878">
        <v>1618481</v>
      </c>
      <c r="D878">
        <v>1561154</v>
      </c>
    </row>
    <row r="879" spans="1:4" customFormat="1" hidden="1" x14ac:dyDescent="0.2">
      <c r="A879" s="1">
        <v>43762</v>
      </c>
      <c r="B879">
        <v>1618928</v>
      </c>
      <c r="C879">
        <v>1618928</v>
      </c>
      <c r="D879">
        <v>1561601</v>
      </c>
    </row>
    <row r="880" spans="1:4" customFormat="1" hidden="1" x14ac:dyDescent="0.2">
      <c r="A880" s="1">
        <v>43763</v>
      </c>
      <c r="B880">
        <v>1621050</v>
      </c>
      <c r="C880">
        <v>1621050</v>
      </c>
      <c r="D880">
        <v>1563723</v>
      </c>
    </row>
    <row r="881" spans="1:4" customFormat="1" hidden="1" x14ac:dyDescent="0.2">
      <c r="A881" s="1">
        <v>43766</v>
      </c>
      <c r="B881">
        <v>1622416.5</v>
      </c>
      <c r="C881">
        <v>1622416.5</v>
      </c>
      <c r="D881">
        <v>1565089.5</v>
      </c>
    </row>
    <row r="882" spans="1:4" customFormat="1" hidden="1" x14ac:dyDescent="0.2">
      <c r="A882" s="1">
        <v>43767</v>
      </c>
      <c r="B882">
        <v>1621793.5</v>
      </c>
      <c r="C882">
        <v>1621793.5</v>
      </c>
      <c r="D882">
        <v>1564466.5</v>
      </c>
    </row>
    <row r="883" spans="1:4" customFormat="1" hidden="1" x14ac:dyDescent="0.2">
      <c r="A883" s="1">
        <v>43768</v>
      </c>
      <c r="B883">
        <v>1620234.5</v>
      </c>
      <c r="C883">
        <v>1620234.5</v>
      </c>
      <c r="D883">
        <v>1562907.5</v>
      </c>
    </row>
    <row r="884" spans="1:4" customFormat="1" hidden="1" x14ac:dyDescent="0.2">
      <c r="A884" s="1">
        <v>43769</v>
      </c>
      <c r="B884">
        <v>1620637</v>
      </c>
      <c r="C884">
        <v>1620637</v>
      </c>
      <c r="D884">
        <v>1563310</v>
      </c>
    </row>
    <row r="885" spans="1:4" customFormat="1" hidden="1" x14ac:dyDescent="0.2">
      <c r="A885" s="1">
        <v>43770</v>
      </c>
      <c r="B885">
        <v>1619332.5</v>
      </c>
      <c r="C885">
        <v>1619332.5</v>
      </c>
      <c r="D885">
        <v>1562005.5</v>
      </c>
    </row>
    <row r="886" spans="1:4" customFormat="1" hidden="1" x14ac:dyDescent="0.2">
      <c r="A886" s="1">
        <v>43773</v>
      </c>
      <c r="B886">
        <v>1620181.5</v>
      </c>
      <c r="C886">
        <v>1620181.5</v>
      </c>
      <c r="D886">
        <v>1562854.5</v>
      </c>
    </row>
    <row r="887" spans="1:4" customFormat="1" hidden="1" x14ac:dyDescent="0.2">
      <c r="A887" s="1">
        <v>43774</v>
      </c>
      <c r="B887">
        <v>1619997.5</v>
      </c>
      <c r="C887">
        <v>1619997.5</v>
      </c>
      <c r="D887">
        <v>1562670.5</v>
      </c>
    </row>
    <row r="888" spans="1:4" customFormat="1" hidden="1" x14ac:dyDescent="0.2">
      <c r="A888" s="1">
        <v>43775</v>
      </c>
      <c r="B888">
        <v>1621488</v>
      </c>
      <c r="C888">
        <v>1621488</v>
      </c>
      <c r="D888">
        <v>1564161</v>
      </c>
    </row>
    <row r="889" spans="1:4" customFormat="1" hidden="1" x14ac:dyDescent="0.2">
      <c r="A889" s="1">
        <v>43776</v>
      </c>
      <c r="B889">
        <v>1621420</v>
      </c>
      <c r="C889">
        <v>1621420</v>
      </c>
      <c r="D889">
        <v>1564093</v>
      </c>
    </row>
    <row r="890" spans="1:4" customFormat="1" hidden="1" x14ac:dyDescent="0.2">
      <c r="A890" s="1">
        <v>43777</v>
      </c>
      <c r="B890">
        <v>1620563.5</v>
      </c>
      <c r="C890">
        <v>1620563.5</v>
      </c>
      <c r="D890">
        <v>1563236.5</v>
      </c>
    </row>
    <row r="891" spans="1:4" customFormat="1" hidden="1" x14ac:dyDescent="0.2">
      <c r="A891" s="1">
        <v>43780</v>
      </c>
      <c r="B891">
        <v>1616206</v>
      </c>
      <c r="C891">
        <v>1616206</v>
      </c>
      <c r="D891">
        <v>1558879</v>
      </c>
    </row>
    <row r="892" spans="1:4" customFormat="1" hidden="1" x14ac:dyDescent="0.2">
      <c r="A892" s="1">
        <v>43781</v>
      </c>
      <c r="B892">
        <v>1619734</v>
      </c>
      <c r="C892">
        <v>1619734</v>
      </c>
      <c r="D892">
        <v>1562407</v>
      </c>
    </row>
    <row r="893" spans="1:4" customFormat="1" hidden="1" x14ac:dyDescent="0.2">
      <c r="A893" s="1">
        <v>43782</v>
      </c>
      <c r="B893">
        <v>1619874.5</v>
      </c>
      <c r="C893">
        <v>1619874.5</v>
      </c>
      <c r="D893">
        <v>1562547.5</v>
      </c>
    </row>
    <row r="894" spans="1:4" customFormat="1" hidden="1" x14ac:dyDescent="0.2">
      <c r="A894" s="1">
        <v>43783</v>
      </c>
      <c r="B894">
        <v>1619949.5</v>
      </c>
      <c r="C894">
        <v>1619949.5</v>
      </c>
      <c r="D894">
        <v>1562622.5</v>
      </c>
    </row>
    <row r="895" spans="1:4" customFormat="1" hidden="1" x14ac:dyDescent="0.2">
      <c r="A895" s="1">
        <v>43784</v>
      </c>
      <c r="B895">
        <v>1623889.5</v>
      </c>
      <c r="C895">
        <v>1623889.5</v>
      </c>
      <c r="D895">
        <v>1566562.5</v>
      </c>
    </row>
    <row r="896" spans="1:4" customFormat="1" hidden="1" x14ac:dyDescent="0.2">
      <c r="A896" s="1">
        <v>43787</v>
      </c>
      <c r="B896">
        <v>1626527</v>
      </c>
      <c r="C896">
        <v>1626527</v>
      </c>
      <c r="D896">
        <v>1569200</v>
      </c>
    </row>
    <row r="897" spans="1:4" customFormat="1" hidden="1" x14ac:dyDescent="0.2">
      <c r="A897" s="1">
        <v>43788</v>
      </c>
      <c r="B897">
        <v>1630788</v>
      </c>
      <c r="C897">
        <v>1630788</v>
      </c>
      <c r="D897">
        <v>1573461</v>
      </c>
    </row>
    <row r="898" spans="1:4" customFormat="1" hidden="1" x14ac:dyDescent="0.2">
      <c r="A898" s="1">
        <v>43789</v>
      </c>
      <c r="B898">
        <v>1624800</v>
      </c>
      <c r="C898">
        <v>1624800</v>
      </c>
      <c r="D898">
        <v>1567473</v>
      </c>
    </row>
    <row r="899" spans="1:4" customFormat="1" hidden="1" x14ac:dyDescent="0.2">
      <c r="A899" s="1">
        <v>43790</v>
      </c>
      <c r="B899">
        <v>1622909.5</v>
      </c>
      <c r="C899">
        <v>1622909.5</v>
      </c>
      <c r="D899">
        <v>1565582.5</v>
      </c>
    </row>
    <row r="900" spans="1:4" customFormat="1" hidden="1" x14ac:dyDescent="0.2">
      <c r="A900" s="1">
        <v>43791</v>
      </c>
      <c r="B900">
        <v>1616422</v>
      </c>
      <c r="C900">
        <v>1616422</v>
      </c>
      <c r="D900">
        <v>1559095</v>
      </c>
    </row>
    <row r="901" spans="1:4" customFormat="1" hidden="1" x14ac:dyDescent="0.2">
      <c r="A901" s="1">
        <v>43794</v>
      </c>
      <c r="B901">
        <v>1622396</v>
      </c>
      <c r="C901">
        <v>1622396</v>
      </c>
      <c r="D901">
        <v>1565069</v>
      </c>
    </row>
    <row r="902" spans="1:4" customFormat="1" hidden="1" x14ac:dyDescent="0.2">
      <c r="A902" s="1">
        <v>43795</v>
      </c>
      <c r="B902">
        <v>1621098.5</v>
      </c>
      <c r="C902">
        <v>1621098.5</v>
      </c>
      <c r="D902">
        <v>1563771.5</v>
      </c>
    </row>
    <row r="903" spans="1:4" customFormat="1" hidden="1" x14ac:dyDescent="0.2">
      <c r="A903" s="1">
        <v>43796</v>
      </c>
      <c r="B903">
        <v>1621105.5</v>
      </c>
      <c r="C903">
        <v>1621105.5</v>
      </c>
      <c r="D903">
        <v>1563778.5</v>
      </c>
    </row>
    <row r="904" spans="1:4" customFormat="1" hidden="1" x14ac:dyDescent="0.2">
      <c r="A904" s="1">
        <v>43797</v>
      </c>
      <c r="B904">
        <v>1620584.5</v>
      </c>
      <c r="C904">
        <v>1620584.5</v>
      </c>
      <c r="D904">
        <v>1563257.5</v>
      </c>
    </row>
    <row r="905" spans="1:4" customFormat="1" hidden="1" x14ac:dyDescent="0.2">
      <c r="A905" s="1">
        <v>43798</v>
      </c>
      <c r="B905">
        <v>1610991.5</v>
      </c>
      <c r="C905">
        <v>1610991.5</v>
      </c>
      <c r="D905">
        <v>1553664.5</v>
      </c>
    </row>
    <row r="906" spans="1:4" customFormat="1" hidden="1" x14ac:dyDescent="0.2">
      <c r="A906" s="1">
        <v>43801</v>
      </c>
      <c r="B906">
        <v>1613739.5</v>
      </c>
      <c r="C906">
        <v>1613739.5</v>
      </c>
      <c r="D906">
        <v>1556994.5</v>
      </c>
    </row>
    <row r="907" spans="1:4" customFormat="1" hidden="1" x14ac:dyDescent="0.2">
      <c r="A907" s="1">
        <v>43802</v>
      </c>
      <c r="B907">
        <v>1614080</v>
      </c>
      <c r="C907">
        <v>1614080</v>
      </c>
      <c r="D907">
        <v>1557344</v>
      </c>
    </row>
    <row r="908" spans="1:4" customFormat="1" hidden="1" x14ac:dyDescent="0.2">
      <c r="A908" s="1">
        <v>43803</v>
      </c>
      <c r="B908">
        <v>1614161</v>
      </c>
      <c r="C908">
        <v>1614161</v>
      </c>
      <c r="D908">
        <v>1557368</v>
      </c>
    </row>
    <row r="909" spans="1:4" customFormat="1" hidden="1" x14ac:dyDescent="0.2">
      <c r="A909" s="1">
        <v>43804</v>
      </c>
      <c r="B909">
        <v>1615394.5</v>
      </c>
      <c r="C909">
        <v>1615394.5</v>
      </c>
      <c r="D909">
        <v>1558785.5</v>
      </c>
    </row>
    <row r="910" spans="1:4" customFormat="1" hidden="1" x14ac:dyDescent="0.2">
      <c r="A910" s="1">
        <v>43805</v>
      </c>
      <c r="B910">
        <v>1616825</v>
      </c>
      <c r="C910">
        <v>1616825</v>
      </c>
      <c r="D910">
        <v>1559440.5</v>
      </c>
    </row>
    <row r="911" spans="1:4" customFormat="1" hidden="1" x14ac:dyDescent="0.2">
      <c r="A911" s="1">
        <v>43808</v>
      </c>
      <c r="B911">
        <v>1617492</v>
      </c>
      <c r="C911">
        <v>1617492</v>
      </c>
      <c r="D911">
        <v>1560851.5</v>
      </c>
    </row>
    <row r="912" spans="1:4" customFormat="1" hidden="1" x14ac:dyDescent="0.2">
      <c r="A912" s="1">
        <v>43809</v>
      </c>
      <c r="B912">
        <v>1618184.5</v>
      </c>
      <c r="C912">
        <v>1618184.5</v>
      </c>
      <c r="D912">
        <v>1561613</v>
      </c>
    </row>
    <row r="913" spans="1:6" customFormat="1" hidden="1" x14ac:dyDescent="0.2">
      <c r="A913" s="1">
        <v>43810</v>
      </c>
      <c r="B913">
        <v>1619380</v>
      </c>
      <c r="C913">
        <v>1619380</v>
      </c>
      <c r="D913">
        <v>1562341.5</v>
      </c>
    </row>
    <row r="914" spans="1:6" customFormat="1" hidden="1" x14ac:dyDescent="0.2">
      <c r="A914" s="1">
        <v>43811</v>
      </c>
      <c r="B914">
        <v>1618121.5</v>
      </c>
      <c r="C914">
        <v>1618121.5</v>
      </c>
      <c r="D914">
        <v>1561615.5</v>
      </c>
    </row>
    <row r="915" spans="1:6" customFormat="1" hidden="1" x14ac:dyDescent="0.2">
      <c r="A915" s="1">
        <v>43812</v>
      </c>
      <c r="B915">
        <v>1610679.5</v>
      </c>
      <c r="C915">
        <v>1610679.5</v>
      </c>
      <c r="D915">
        <v>1551600</v>
      </c>
    </row>
    <row r="916" spans="1:6" customFormat="1" hidden="1" x14ac:dyDescent="0.2">
      <c r="A916" s="1">
        <v>43815</v>
      </c>
      <c r="B916">
        <v>1613751.5</v>
      </c>
      <c r="C916">
        <v>1613751.5</v>
      </c>
      <c r="D916">
        <v>1556170.5</v>
      </c>
    </row>
    <row r="917" spans="1:6" customFormat="1" hidden="1" x14ac:dyDescent="0.2">
      <c r="A917" s="1">
        <v>43816</v>
      </c>
      <c r="B917">
        <v>1611490.5</v>
      </c>
      <c r="C917">
        <v>1611490.5</v>
      </c>
      <c r="D917">
        <v>1552078.5</v>
      </c>
    </row>
    <row r="918" spans="1:6" customFormat="1" hidden="1" x14ac:dyDescent="0.2">
      <c r="A918" s="1">
        <v>43817</v>
      </c>
      <c r="B918">
        <v>1609392.5</v>
      </c>
      <c r="C918">
        <v>1609392.5</v>
      </c>
      <c r="D918">
        <v>1550797</v>
      </c>
    </row>
    <row r="919" spans="1:6" customFormat="1" hidden="1" x14ac:dyDescent="0.2">
      <c r="A919" s="1">
        <v>43818</v>
      </c>
      <c r="B919">
        <v>1608858.5</v>
      </c>
      <c r="C919">
        <v>1608858.5</v>
      </c>
      <c r="D919">
        <v>1550258.5</v>
      </c>
    </row>
    <row r="920" spans="1:6" customFormat="1" hidden="1" x14ac:dyDescent="0.2">
      <c r="A920" s="1">
        <v>43819</v>
      </c>
      <c r="B920">
        <v>1610796.5</v>
      </c>
      <c r="C920">
        <v>1610796.5</v>
      </c>
      <c r="D920">
        <v>1551907</v>
      </c>
    </row>
    <row r="921" spans="1:6" customFormat="1" hidden="1" x14ac:dyDescent="0.2">
      <c r="A921" s="1">
        <v>43822</v>
      </c>
      <c r="B921">
        <v>1613042</v>
      </c>
      <c r="C921">
        <v>1613042</v>
      </c>
      <c r="D921">
        <v>1555083.5</v>
      </c>
    </row>
    <row r="922" spans="1:6" customFormat="1" hidden="1" x14ac:dyDescent="0.2">
      <c r="A922" s="1">
        <v>43823</v>
      </c>
      <c r="B922">
        <v>1617339.5</v>
      </c>
      <c r="C922">
        <v>1617339.5</v>
      </c>
      <c r="D922">
        <v>1557298</v>
      </c>
    </row>
    <row r="923" spans="1:6" customFormat="1" hidden="1" x14ac:dyDescent="0.2">
      <c r="A923" s="1">
        <v>43824</v>
      </c>
      <c r="B923">
        <v>1617155</v>
      </c>
      <c r="C923">
        <v>1617155</v>
      </c>
      <c r="D923">
        <v>1558000</v>
      </c>
    </row>
    <row r="924" spans="1:6" customFormat="1" hidden="1" x14ac:dyDescent="0.2">
      <c r="A924" s="1">
        <v>43825</v>
      </c>
      <c r="B924">
        <v>1616652</v>
      </c>
      <c r="C924">
        <v>1616652</v>
      </c>
      <c r="D924">
        <v>1557166</v>
      </c>
    </row>
    <row r="925" spans="1:6" customFormat="1" hidden="1" x14ac:dyDescent="0.2">
      <c r="A925" s="1">
        <v>43826</v>
      </c>
      <c r="B925">
        <v>1616194.5</v>
      </c>
      <c r="C925">
        <v>1616194.5</v>
      </c>
      <c r="D925">
        <v>1555525.5</v>
      </c>
    </row>
    <row r="926" spans="1:6" customFormat="1" hidden="1" x14ac:dyDescent="0.2">
      <c r="A926" s="1">
        <v>43829</v>
      </c>
      <c r="B926">
        <v>1609262</v>
      </c>
      <c r="C926">
        <v>1609262</v>
      </c>
      <c r="D926">
        <v>1550554</v>
      </c>
    </row>
    <row r="927" spans="1:6" customFormat="1" hidden="1" x14ac:dyDescent="0.2">
      <c r="A927" s="1">
        <v>43830</v>
      </c>
      <c r="B927">
        <v>1606303.5</v>
      </c>
      <c r="C927">
        <v>1606303.5</v>
      </c>
      <c r="D927">
        <v>1549167.5</v>
      </c>
    </row>
    <row r="928" spans="1:6" x14ac:dyDescent="0.2">
      <c r="A928" s="7">
        <v>43832</v>
      </c>
      <c r="B928">
        <v>1607880.5</v>
      </c>
      <c r="C928">
        <v>1607880.5</v>
      </c>
      <c r="D928">
        <v>1550744.5</v>
      </c>
      <c r="F928" s="9">
        <f>D928/D$928</f>
        <v>1</v>
      </c>
    </row>
    <row r="929" spans="1:33" x14ac:dyDescent="0.2">
      <c r="A929" s="7">
        <v>43833</v>
      </c>
      <c r="B929">
        <v>1610547.5</v>
      </c>
      <c r="C929">
        <v>1610547.5</v>
      </c>
      <c r="D929">
        <v>1553411.5</v>
      </c>
      <c r="F929" s="9">
        <f>(D929-D$928+1000000)/1000000</f>
        <v>1.002667</v>
      </c>
    </row>
    <row r="930" spans="1:33" x14ac:dyDescent="0.2">
      <c r="A930" s="7">
        <v>43836</v>
      </c>
      <c r="B930">
        <v>1607899</v>
      </c>
      <c r="C930">
        <v>1607899</v>
      </c>
      <c r="D930">
        <v>1550763</v>
      </c>
      <c r="F930" s="9">
        <f t="shared" ref="F930:F941" si="0">(D930-D$928+1000000)/1000000</f>
        <v>1.0000184999999999</v>
      </c>
      <c r="Z930" s="48"/>
      <c r="AA930" s="48"/>
      <c r="AB930" s="48"/>
      <c r="AC930" s="48"/>
      <c r="AD930" s="48"/>
    </row>
    <row r="931" spans="1:33" x14ac:dyDescent="0.2">
      <c r="A931" s="7">
        <v>43837</v>
      </c>
      <c r="B931">
        <v>1609380.5</v>
      </c>
      <c r="C931">
        <v>1609380.5</v>
      </c>
      <c r="D931">
        <v>1548260.5</v>
      </c>
      <c r="F931" s="9">
        <f t="shared" si="0"/>
        <v>0.99751599999999996</v>
      </c>
      <c r="Z931" s="109"/>
      <c r="AA931" s="109"/>
      <c r="AB931" s="109"/>
      <c r="AC931" s="109"/>
      <c r="AD931" s="109"/>
    </row>
    <row r="932" spans="1:33" x14ac:dyDescent="0.2">
      <c r="A932" s="7">
        <v>43838</v>
      </c>
      <c r="B932">
        <v>1609633</v>
      </c>
      <c r="C932">
        <v>1609633</v>
      </c>
      <c r="D932">
        <v>1548513</v>
      </c>
      <c r="F932" s="9">
        <f t="shared" si="0"/>
        <v>0.99776849999999995</v>
      </c>
      <c r="Z932" s="48"/>
      <c r="AA932" s="35"/>
      <c r="AB932" s="35"/>
      <c r="AC932" s="35"/>
      <c r="AD932" s="56"/>
    </row>
    <row r="933" spans="1:33" x14ac:dyDescent="0.2">
      <c r="A933" s="7">
        <v>43839</v>
      </c>
      <c r="B933">
        <v>1613721</v>
      </c>
      <c r="C933">
        <v>1613721</v>
      </c>
      <c r="D933">
        <v>1553220</v>
      </c>
      <c r="F933" s="9">
        <f t="shared" si="0"/>
        <v>1.0024755000000001</v>
      </c>
      <c r="Z933" s="48"/>
      <c r="AA933" s="48"/>
      <c r="AB933" s="48"/>
      <c r="AC933" s="48"/>
      <c r="AD933" s="48"/>
    </row>
    <row r="934" spans="1:33" x14ac:dyDescent="0.2">
      <c r="A934" s="7">
        <v>43840</v>
      </c>
      <c r="B934">
        <v>1614589</v>
      </c>
      <c r="C934">
        <v>1614589</v>
      </c>
      <c r="D934">
        <v>1554088</v>
      </c>
      <c r="F934" s="9">
        <f t="shared" si="0"/>
        <v>1.0033434999999999</v>
      </c>
    </row>
    <row r="935" spans="1:33" x14ac:dyDescent="0.2">
      <c r="A935" s="7">
        <v>43843</v>
      </c>
      <c r="B935">
        <v>1616773</v>
      </c>
      <c r="C935">
        <v>1616773</v>
      </c>
      <c r="D935">
        <v>1556272</v>
      </c>
      <c r="F935" s="9">
        <f t="shared" si="0"/>
        <v>1.0055274999999999</v>
      </c>
      <c r="Z935" s="13">
        <f>COUNTA(A:A)</f>
        <v>1309</v>
      </c>
    </row>
    <row r="936" spans="1:33" x14ac:dyDescent="0.2">
      <c r="A936" s="7">
        <v>43844</v>
      </c>
      <c r="B936">
        <v>1618379</v>
      </c>
      <c r="C936">
        <v>1618379</v>
      </c>
      <c r="D936">
        <v>1557878</v>
      </c>
      <c r="F936" s="9">
        <f t="shared" si="0"/>
        <v>1.0071334999999999</v>
      </c>
      <c r="AA936" s="13" cm="1">
        <f t="array" ref="AA936">INDEX(M:M,Z935)</f>
        <v>1.254908808542045</v>
      </c>
      <c r="AB936" s="75">
        <f>M1248</f>
        <v>1.257293527369955</v>
      </c>
    </row>
    <row r="937" spans="1:33" ht="15" thickBot="1" x14ac:dyDescent="0.25">
      <c r="A937" s="7">
        <v>43845</v>
      </c>
      <c r="B937">
        <v>1618187</v>
      </c>
      <c r="C937">
        <v>1618187</v>
      </c>
      <c r="D937">
        <v>1557686</v>
      </c>
      <c r="F937" s="9">
        <f t="shared" si="0"/>
        <v>1.0069414999999999</v>
      </c>
      <c r="Z937" s="109"/>
      <c r="AA937" s="109"/>
      <c r="AB937" s="109"/>
      <c r="AC937" s="109"/>
      <c r="AD937" s="109"/>
    </row>
    <row r="938" spans="1:33" x14ac:dyDescent="0.2">
      <c r="A938" s="7">
        <v>43846</v>
      </c>
      <c r="B938">
        <v>1625512.5</v>
      </c>
      <c r="C938">
        <v>1625512.5</v>
      </c>
      <c r="D938">
        <v>1564418.5</v>
      </c>
      <c r="F938" s="9">
        <f t="shared" si="0"/>
        <v>1.013674</v>
      </c>
      <c r="Z938" s="59"/>
      <c r="AA938" s="60" t="s">
        <v>479</v>
      </c>
      <c r="AB938" s="60" t="s">
        <v>480</v>
      </c>
      <c r="AC938" s="60" t="s">
        <v>481</v>
      </c>
      <c r="AD938" s="61" t="s">
        <v>482</v>
      </c>
    </row>
    <row r="939" spans="1:33" x14ac:dyDescent="0.2">
      <c r="A939" s="7">
        <v>43847</v>
      </c>
      <c r="B939">
        <v>1629009</v>
      </c>
      <c r="C939">
        <v>1629009</v>
      </c>
      <c r="D939">
        <v>1569273</v>
      </c>
      <c r="F939" s="9">
        <f t="shared" si="0"/>
        <v>1.0185284999999999</v>
      </c>
      <c r="Z939" s="36" t="s">
        <v>671</v>
      </c>
      <c r="AA939" s="37" cm="1">
        <f t="array" ref="AA939">INDEX(M:M,Z935)/M1287-1</f>
        <v>-3.2781680586484674E-2</v>
      </c>
      <c r="AB939" s="37" cm="1">
        <f t="array" ref="AB939">INDEX(K:K,Z935)/K1287-1</f>
        <v>-4.0490861634743913E-2</v>
      </c>
      <c r="AC939" s="37" cm="1">
        <f t="array" ref="AC939">INDEX(L:L,Z935)/L1287-1</f>
        <v>-6.6322584853846234E-3</v>
      </c>
      <c r="AD939" s="40" cm="1">
        <f t="array" ref="AD939">INDEX(N:N,Z935)/N1287-1</f>
        <v>-1.6483065456157409E-2</v>
      </c>
    </row>
    <row r="940" spans="1:33" x14ac:dyDescent="0.2">
      <c r="A940" s="7">
        <v>43850</v>
      </c>
      <c r="B940">
        <v>1626842</v>
      </c>
      <c r="C940">
        <v>1626842</v>
      </c>
      <c r="D940">
        <v>1565845.5</v>
      </c>
      <c r="F940" s="9">
        <f t="shared" si="0"/>
        <v>1.015101</v>
      </c>
      <c r="Z940" s="34" t="s">
        <v>5</v>
      </c>
      <c r="AA940" s="57" t="s">
        <v>6</v>
      </c>
      <c r="AB940" s="58">
        <f>AB939-$AA939</f>
        <v>-7.7091810482592393E-3</v>
      </c>
      <c r="AC940" s="58">
        <f>AC939-$AA939</f>
        <v>2.614942210110005E-2</v>
      </c>
      <c r="AD940" s="62">
        <f>AD939-$AA939</f>
        <v>1.6298615130327265E-2</v>
      </c>
    </row>
    <row r="941" spans="1:33" x14ac:dyDescent="0.2">
      <c r="A941" s="7">
        <v>43851</v>
      </c>
      <c r="B941">
        <v>1619959.5</v>
      </c>
      <c r="C941">
        <v>1619959.5</v>
      </c>
      <c r="D941">
        <v>1558963</v>
      </c>
      <c r="F941" s="9">
        <f t="shared" si="0"/>
        <v>1.0082184999999999</v>
      </c>
      <c r="Z941" s="36" t="s">
        <v>483</v>
      </c>
      <c r="AA941" s="37" cm="1">
        <f t="array" ref="AA941">INDEX(I:I,Z935)/I1169-1</f>
        <v>2.9453268716569836E-2</v>
      </c>
      <c r="AB941" s="37" cm="1">
        <f t="array" ref="AB941">INDEX(K:K,Z935)/K1169-1</f>
        <v>4.0616317230435461E-2</v>
      </c>
      <c r="AC941" s="37" cm="1">
        <f t="array" ref="AC941">INDEX(L:L,Z935)/L1169-1</f>
        <v>7.1677353673829769E-2</v>
      </c>
      <c r="AD941" s="40" cm="1">
        <f t="array" ref="AD941">INDEX(J:J,Z935)/J1169-1</f>
        <v>4.6520200809403445E-3</v>
      </c>
      <c r="AG941" s="45"/>
    </row>
    <row r="942" spans="1:33" x14ac:dyDescent="0.2">
      <c r="A942" s="7">
        <v>43852</v>
      </c>
      <c r="B942">
        <v>1629837.5</v>
      </c>
      <c r="C942">
        <v>1629837.5</v>
      </c>
      <c r="D942">
        <v>1567358.5</v>
      </c>
      <c r="F942" s="9">
        <f t="shared" ref="F942:F1005" si="1">(D942-D$928+1000000)/1000000</f>
        <v>1.0166139999999999</v>
      </c>
      <c r="Z942" s="34" t="s">
        <v>5</v>
      </c>
      <c r="AA942" s="57" t="s">
        <v>6</v>
      </c>
      <c r="AB942" s="58">
        <f>AB941-$AA941</f>
        <v>1.1163048513865625E-2</v>
      </c>
      <c r="AC942" s="58">
        <f>AC941-$AA941</f>
        <v>4.2224084957259933E-2</v>
      </c>
      <c r="AD942" s="62">
        <f>AD941-AA941</f>
        <v>-2.4801248635629491E-2</v>
      </c>
      <c r="AG942" s="45"/>
    </row>
    <row r="943" spans="1:33" x14ac:dyDescent="0.2">
      <c r="A943" s="7">
        <v>43853</v>
      </c>
      <c r="B943">
        <v>1599409</v>
      </c>
      <c r="C943">
        <v>1599409</v>
      </c>
      <c r="D943">
        <v>1553726.5</v>
      </c>
      <c r="F943" s="9">
        <f t="shared" si="1"/>
        <v>1.002982</v>
      </c>
      <c r="Z943" s="36" t="s">
        <v>672</v>
      </c>
      <c r="AA943" s="37" cm="1">
        <f t="array" ref="AA943">INDEX(M:M,COUNTA(M:M)-1+1047)-1</f>
        <v>0.25490880854204501</v>
      </c>
      <c r="AB943" s="37" cm="1">
        <f t="array" ref="AB943">INDEX(K:K,COUNTA(K:K)-1+1047)-1</f>
        <v>0.25175955329075483</v>
      </c>
      <c r="AC943" s="37" cm="1">
        <f t="array" ref="AC943">INDEX(L:L,COUNTA(L:L)-1+1047)-1</f>
        <v>0.28906608302220826</v>
      </c>
      <c r="AD943" s="40" cm="1">
        <f t="array" ref="AD943">INDEX(N:N,COUNTA(N:N)-1+1047)-1</f>
        <v>0.1981400000000002</v>
      </c>
      <c r="AG943" s="45"/>
    </row>
    <row r="944" spans="1:33" x14ac:dyDescent="0.2">
      <c r="A944" s="7">
        <v>43865</v>
      </c>
      <c r="B944">
        <v>1573685</v>
      </c>
      <c r="C944">
        <v>1573685</v>
      </c>
      <c r="D944">
        <v>1530178.5</v>
      </c>
      <c r="F944" s="9">
        <f t="shared" si="1"/>
        <v>0.97943400000000003</v>
      </c>
      <c r="Z944" s="41" t="s">
        <v>5</v>
      </c>
      <c r="AA944" s="42" t="s">
        <v>6</v>
      </c>
      <c r="AB944" s="43">
        <f>AB943-$AA943</f>
        <v>-3.1492552512901728E-3</v>
      </c>
      <c r="AC944" s="43">
        <f>AC943-$AA943</f>
        <v>3.4157274480163258E-2</v>
      </c>
      <c r="AD944" s="44">
        <f>AD943-$AA943</f>
        <v>-5.6768808542044802E-2</v>
      </c>
      <c r="AG944" s="45"/>
    </row>
    <row r="945" spans="1:38" x14ac:dyDescent="0.2">
      <c r="A945" s="7">
        <v>43866</v>
      </c>
      <c r="B945">
        <v>1580355.5</v>
      </c>
      <c r="C945">
        <v>1580355.5</v>
      </c>
      <c r="D945">
        <v>1536849</v>
      </c>
      <c r="F945" s="9">
        <f t="shared" si="1"/>
        <v>0.98610450000000005</v>
      </c>
      <c r="Z945" s="34" t="s">
        <v>476</v>
      </c>
      <c r="AA945" s="37" cm="1">
        <f t="array" ref="AA945">INDEX(M:M,Z935)/MAX(M1170:M1309)-1</f>
        <v>-3.6353684122089835E-2</v>
      </c>
      <c r="AB945" s="37" cm="1">
        <f t="array" ref="AB945">INDEX(K:K,Z935)/MAX(K1170:K1309)-1</f>
        <v>-4.5424847789048095E-2</v>
      </c>
      <c r="AC945" s="37" cm="1">
        <f t="array" ref="AC945">INDEX(L:L,Z935)/MAX(L1170:L1309)-1</f>
        <v>-9.6731306554661556E-3</v>
      </c>
      <c r="AD945" s="40">
        <f>J1309/MAX(J1170:J1309)-1</f>
        <v>-1.8648154398680172E-2</v>
      </c>
      <c r="AG945" s="45"/>
    </row>
    <row r="946" spans="1:38" x14ac:dyDescent="0.2">
      <c r="A946" s="7">
        <v>43867</v>
      </c>
      <c r="B946">
        <v>1580604.5</v>
      </c>
      <c r="C946">
        <v>1580604.5</v>
      </c>
      <c r="D946">
        <v>1537098</v>
      </c>
      <c r="F946" s="9">
        <f t="shared" si="1"/>
        <v>0.98635349999999999</v>
      </c>
      <c r="Z946" s="34" t="s">
        <v>477</v>
      </c>
      <c r="AA946" s="37" cm="1">
        <f t="array" ref="AA946">MaxDrawdown(M1170:M1309)</f>
        <v>-4.9694561695536543E-2</v>
      </c>
      <c r="AB946" s="37" cm="1">
        <f t="array" ref="AB946">MaxDrawdown(K1170:K1309)</f>
        <v>-4.9937510240941951E-2</v>
      </c>
      <c r="AC946" s="37" cm="1">
        <f t="array" ref="AC946">MaxDrawdown(L1170:L1309)</f>
        <v>-5.0124469628824331E-2</v>
      </c>
      <c r="AD946" s="40" cm="1">
        <f t="array" ref="AD946">MaxDrawdown(J1170:J1309)</f>
        <v>-3.7543867384378649E-2</v>
      </c>
    </row>
    <row r="947" spans="1:38" ht="15" thickBot="1" x14ac:dyDescent="0.25">
      <c r="A947" s="7">
        <v>43868</v>
      </c>
      <c r="B947">
        <v>1575879</v>
      </c>
      <c r="C947">
        <v>1575879</v>
      </c>
      <c r="D947">
        <v>1532372.5</v>
      </c>
      <c r="F947" s="9">
        <f t="shared" si="1"/>
        <v>0.98162799999999995</v>
      </c>
      <c r="Z947" s="39" t="s">
        <v>478</v>
      </c>
      <c r="AA947" s="46" cm="1">
        <f t="array" ref="AA947">MaxDrawdown(M1048:M1309)</f>
        <v>-5.3112538904582784E-2</v>
      </c>
      <c r="AB947" s="46" cm="1">
        <f t="array" ref="AB947">MaxDrawdown(K1048:K1309)</f>
        <v>-6.1140025528732767E-2</v>
      </c>
      <c r="AC947" s="46" cm="1">
        <f t="array" ref="AC947">MaxDrawdown(L1048:L1309)</f>
        <v>-6.1140025528732767E-2</v>
      </c>
      <c r="AD947" s="47" cm="1">
        <f t="array" ref="AD947">MaxDrawdown(J1048:J1309)</f>
        <v>-4.9859471421302426E-2</v>
      </c>
    </row>
    <row r="948" spans="1:38" x14ac:dyDescent="0.2">
      <c r="A948" s="7">
        <v>43871</v>
      </c>
      <c r="B948">
        <v>1579078</v>
      </c>
      <c r="C948">
        <v>1579078</v>
      </c>
      <c r="D948">
        <v>1535571.5</v>
      </c>
      <c r="F948" s="9">
        <f t="shared" si="1"/>
        <v>0.98482700000000001</v>
      </c>
    </row>
    <row r="949" spans="1:38" x14ac:dyDescent="0.2">
      <c r="A949" s="7">
        <v>43872</v>
      </c>
      <c r="B949">
        <v>1586128</v>
      </c>
      <c r="C949">
        <v>1586128</v>
      </c>
      <c r="D949">
        <v>1542621.5</v>
      </c>
      <c r="F949" s="9">
        <f t="shared" si="1"/>
        <v>0.99187700000000001</v>
      </c>
    </row>
    <row r="950" spans="1:38" x14ac:dyDescent="0.2">
      <c r="A950" s="7">
        <v>43873</v>
      </c>
      <c r="B950">
        <v>1588149</v>
      </c>
      <c r="C950">
        <v>1588149</v>
      </c>
      <c r="D950">
        <v>1544642.5</v>
      </c>
      <c r="F950" s="9">
        <f t="shared" si="1"/>
        <v>0.99389799999999995</v>
      </c>
    </row>
    <row r="951" spans="1:38" x14ac:dyDescent="0.2">
      <c r="A951" s="7">
        <v>43874</v>
      </c>
      <c r="B951">
        <v>1586552</v>
      </c>
      <c r="C951">
        <v>1586552</v>
      </c>
      <c r="D951">
        <v>1542789.5</v>
      </c>
      <c r="F951" s="9">
        <f t="shared" si="1"/>
        <v>0.99204499999999995</v>
      </c>
      <c r="AB951" s="45"/>
    </row>
    <row r="952" spans="1:38" x14ac:dyDescent="0.2">
      <c r="A952" s="7">
        <v>43875</v>
      </c>
      <c r="B952">
        <v>1590104.5</v>
      </c>
      <c r="C952">
        <v>1590104.5</v>
      </c>
      <c r="D952">
        <v>1546296.5</v>
      </c>
      <c r="F952" s="9">
        <f t="shared" si="1"/>
        <v>0.99555199999999999</v>
      </c>
    </row>
    <row r="953" spans="1:38" x14ac:dyDescent="0.2">
      <c r="A953" s="7">
        <v>43878</v>
      </c>
      <c r="B953">
        <v>1590397</v>
      </c>
      <c r="C953">
        <v>1590397</v>
      </c>
      <c r="D953">
        <v>1545436.5</v>
      </c>
      <c r="F953" s="9">
        <f t="shared" si="1"/>
        <v>0.99469200000000002</v>
      </c>
    </row>
    <row r="954" spans="1:38" x14ac:dyDescent="0.2">
      <c r="A954" s="7">
        <v>43879</v>
      </c>
      <c r="B954">
        <v>1590116.5</v>
      </c>
      <c r="C954">
        <v>1590116.5</v>
      </c>
      <c r="D954">
        <v>1544941.5</v>
      </c>
      <c r="F954" s="9">
        <f t="shared" si="1"/>
        <v>0.994197</v>
      </c>
    </row>
    <row r="955" spans="1:38" ht="15" thickBot="1" x14ac:dyDescent="0.25">
      <c r="A955" s="7">
        <v>43880</v>
      </c>
      <c r="B955">
        <v>1588911.5</v>
      </c>
      <c r="C955">
        <v>1588911.5</v>
      </c>
      <c r="D955">
        <v>1544197</v>
      </c>
      <c r="F955" s="9">
        <f t="shared" si="1"/>
        <v>0.99345249999999996</v>
      </c>
    </row>
    <row r="956" spans="1:38" x14ac:dyDescent="0.2">
      <c r="A956" s="7">
        <v>43881</v>
      </c>
      <c r="B956">
        <v>1585914.5</v>
      </c>
      <c r="C956">
        <v>1585914.5</v>
      </c>
      <c r="D956">
        <v>1542390.5</v>
      </c>
      <c r="F956" s="9">
        <f t="shared" si="1"/>
        <v>0.99164600000000003</v>
      </c>
      <c r="Z956" s="110" t="s">
        <v>20</v>
      </c>
      <c r="AA956" s="111"/>
      <c r="AB956" s="111"/>
      <c r="AC956" s="111"/>
      <c r="AD956" s="111"/>
      <c r="AE956" s="111"/>
      <c r="AF956" s="111"/>
      <c r="AG956" s="111"/>
      <c r="AH956" s="111"/>
      <c r="AI956" s="111"/>
      <c r="AJ956" s="111"/>
      <c r="AK956" s="111"/>
      <c r="AL956" s="112"/>
    </row>
    <row r="957" spans="1:38" x14ac:dyDescent="0.2">
      <c r="A957" s="7">
        <v>43882</v>
      </c>
      <c r="B957">
        <v>1584595</v>
      </c>
      <c r="C957">
        <v>1584595</v>
      </c>
      <c r="D957">
        <v>1539766</v>
      </c>
      <c r="F957" s="9">
        <f t="shared" si="1"/>
        <v>0.9890215</v>
      </c>
      <c r="Z957" s="34"/>
      <c r="AA957" s="48" t="s">
        <v>7</v>
      </c>
      <c r="AB957" s="48" t="s">
        <v>8</v>
      </c>
      <c r="AC957" s="48" t="s">
        <v>9</v>
      </c>
      <c r="AD957" s="48" t="s">
        <v>10</v>
      </c>
      <c r="AE957" s="48" t="s">
        <v>11</v>
      </c>
      <c r="AF957" s="48" t="s">
        <v>12</v>
      </c>
      <c r="AG957" s="48" t="s">
        <v>13</v>
      </c>
      <c r="AH957" s="48" t="s">
        <v>14</v>
      </c>
      <c r="AI957" s="48" t="s">
        <v>15</v>
      </c>
      <c r="AJ957" s="48" t="s">
        <v>16</v>
      </c>
      <c r="AK957" s="48" t="s">
        <v>17</v>
      </c>
      <c r="AL957" s="49" t="s">
        <v>18</v>
      </c>
    </row>
    <row r="958" spans="1:38" x14ac:dyDescent="0.2">
      <c r="A958" s="7">
        <v>43885</v>
      </c>
      <c r="B958">
        <v>1579710.5</v>
      </c>
      <c r="C958">
        <v>1579710.5</v>
      </c>
      <c r="D958">
        <v>1534041</v>
      </c>
      <c r="F958" s="9">
        <f t="shared" si="1"/>
        <v>0.98329650000000002</v>
      </c>
      <c r="Z958" s="50" t="s">
        <v>4</v>
      </c>
      <c r="AA958" s="37">
        <f>F943-F928</f>
        <v>2.9820000000000402E-3</v>
      </c>
      <c r="AB958" s="37">
        <f>F962-F943</f>
        <v>-2.9601500000000058E-2</v>
      </c>
      <c r="AC958" s="37">
        <f>F984-F962</f>
        <v>-8.5724999999999829E-3</v>
      </c>
      <c r="AD958" s="37">
        <f>F1005-F984</f>
        <v>1.7656000000000005E-2</v>
      </c>
      <c r="AE958" s="37">
        <f>F1023-F1005</f>
        <v>-2.1370000000000555E-3</v>
      </c>
      <c r="AF958" s="37">
        <f>F1043-F1023</f>
        <v>3.3475000000000144E-2</v>
      </c>
      <c r="AG958" s="37">
        <f>F1066-F1043</f>
        <v>-1.9725000000000104E-2</v>
      </c>
      <c r="AH958" s="37">
        <f>M$1087-M$1066</f>
        <v>0.10036</v>
      </c>
      <c r="AI958" s="37">
        <f>M$1109-M$1087</f>
        <v>6.1115000000000475E-3</v>
      </c>
      <c r="AJ958" s="37">
        <f>M$1125-M$1109</f>
        <v>7.6580000000000981E-2</v>
      </c>
      <c r="AK958" s="37">
        <f>M$1146-M$1125</f>
        <v>2.4399499999999907E-2</v>
      </c>
      <c r="AL958" s="38">
        <f>M$1168-M$1146</f>
        <v>1.8964412500000138E-2</v>
      </c>
    </row>
    <row r="959" spans="1:38" x14ac:dyDescent="0.2">
      <c r="A959" s="7">
        <v>43886</v>
      </c>
      <c r="B959">
        <v>1576530.5</v>
      </c>
      <c r="C959">
        <v>1576530.5</v>
      </c>
      <c r="D959">
        <v>1532531</v>
      </c>
      <c r="F959" s="9">
        <f t="shared" si="1"/>
        <v>0.98178650000000001</v>
      </c>
      <c r="Z959" s="50">
        <v>0.10416666666666667</v>
      </c>
      <c r="AA959" s="51" t="s">
        <v>19</v>
      </c>
      <c r="AB959" s="51" t="s">
        <v>19</v>
      </c>
      <c r="AC959" s="51" t="s">
        <v>19</v>
      </c>
      <c r="AD959" s="51" t="s">
        <v>19</v>
      </c>
      <c r="AE959" s="51" t="s">
        <v>19</v>
      </c>
      <c r="AF959" s="51" t="s">
        <v>19</v>
      </c>
      <c r="AG959" s="37">
        <f>K$1066-1</f>
        <v>-1.6605000000009529E-3</v>
      </c>
      <c r="AH959" s="37">
        <f>K$1087-K$1066</f>
        <v>7.1886499999999964E-2</v>
      </c>
      <c r="AI959" s="37">
        <f>K$1109-K$1087</f>
        <v>3.333699999999995E-2</v>
      </c>
      <c r="AJ959" s="37">
        <f>K$1125-K$1109</f>
        <v>6.8130499999998984E-2</v>
      </c>
      <c r="AK959" s="37">
        <f>K$1146-K$1125</f>
        <v>2.1094999999999864E-2</v>
      </c>
      <c r="AL959" s="38">
        <f>K$1168-K1146</f>
        <v>1.5094600000000291E-2</v>
      </c>
    </row>
    <row r="960" spans="1:38" x14ac:dyDescent="0.2">
      <c r="A960" s="7">
        <v>43887</v>
      </c>
      <c r="B960">
        <v>1574293.5</v>
      </c>
      <c r="C960">
        <v>1574293.5</v>
      </c>
      <c r="D960">
        <v>1531237</v>
      </c>
      <c r="F960" s="9">
        <f t="shared" si="1"/>
        <v>0.98049249999999999</v>
      </c>
      <c r="Z960" s="50">
        <v>0.11805555555555557</v>
      </c>
      <c r="AA960" s="51" t="s">
        <v>19</v>
      </c>
      <c r="AB960" s="51" t="s">
        <v>19</v>
      </c>
      <c r="AC960" s="51" t="s">
        <v>19</v>
      </c>
      <c r="AD960" s="51" t="s">
        <v>19</v>
      </c>
      <c r="AE960" s="51" t="s">
        <v>19</v>
      </c>
      <c r="AF960" s="51" t="s">
        <v>19</v>
      </c>
      <c r="AG960" s="37">
        <f>L$1066-1</f>
        <v>-1.6605000000009529E-3</v>
      </c>
      <c r="AH960" s="37">
        <f>L$1087-L$1066</f>
        <v>0.10062300000000013</v>
      </c>
      <c r="AI960" s="37">
        <f>L$1109-L$1087</f>
        <v>1.9739000000000839E-2</v>
      </c>
      <c r="AJ960" s="37">
        <f>L$1125-L$1109</f>
        <v>4.1717999999999922E-2</v>
      </c>
      <c r="AK960" s="37">
        <f>L$1146-L$1125</f>
        <v>2.7838999999999059E-2</v>
      </c>
      <c r="AL960" s="38">
        <f>L$1168-L1146</f>
        <v>1.7549046500000109E-2</v>
      </c>
    </row>
    <row r="961" spans="1:38" ht="15" thickBot="1" x14ac:dyDescent="0.25">
      <c r="A961" s="7">
        <v>43888</v>
      </c>
      <c r="B961">
        <v>1587369.5</v>
      </c>
      <c r="C961">
        <v>1587369.5</v>
      </c>
      <c r="D961">
        <v>1541665</v>
      </c>
      <c r="F961" s="9">
        <f t="shared" si="1"/>
        <v>0.99092049999999998</v>
      </c>
      <c r="Z961" s="52" t="s">
        <v>1</v>
      </c>
      <c r="AA961" s="53" t="s">
        <v>19</v>
      </c>
      <c r="AB961" s="53" t="s">
        <v>19</v>
      </c>
      <c r="AC961" s="53" t="s">
        <v>19</v>
      </c>
      <c r="AD961" s="53" t="s">
        <v>19</v>
      </c>
      <c r="AE961" s="53" t="s">
        <v>19</v>
      </c>
      <c r="AF961" s="53" t="s">
        <v>19</v>
      </c>
      <c r="AG961" s="46">
        <f>N$1066-1</f>
        <v>-4.5999999999999375E-3</v>
      </c>
      <c r="AH961" s="46">
        <f>N$1087-N$1066</f>
        <v>8.4899999999999975E-2</v>
      </c>
      <c r="AI961" s="46">
        <f>N$1109-N$1087</f>
        <v>2.2999999999999909E-2</v>
      </c>
      <c r="AJ961" s="46">
        <f>N$1125-N$1109</f>
        <v>4.7200000000000131E-2</v>
      </c>
      <c r="AK961" s="46">
        <f>N$1146-N$1125</f>
        <v>2.9199999999999893E-2</v>
      </c>
      <c r="AL961" s="54">
        <f>N1168-N1146</f>
        <v>2.1400000000000086E-2</v>
      </c>
    </row>
    <row r="962" spans="1:38" x14ac:dyDescent="0.2">
      <c r="A962" s="7">
        <v>43889</v>
      </c>
      <c r="B962">
        <v>1568919.5</v>
      </c>
      <c r="C962">
        <v>1568919.5</v>
      </c>
      <c r="D962">
        <v>1524125</v>
      </c>
      <c r="F962" s="9">
        <f t="shared" si="1"/>
        <v>0.97338049999999998</v>
      </c>
    </row>
    <row r="963" spans="1:38" x14ac:dyDescent="0.2">
      <c r="A963" s="7">
        <v>43892</v>
      </c>
      <c r="B963">
        <v>1573669.5</v>
      </c>
      <c r="C963">
        <v>1573669.5</v>
      </c>
      <c r="D963">
        <v>1528875</v>
      </c>
      <c r="F963" s="9">
        <f t="shared" si="1"/>
        <v>0.97813050000000001</v>
      </c>
    </row>
    <row r="964" spans="1:38" x14ac:dyDescent="0.2">
      <c r="A964" s="7">
        <v>43893</v>
      </c>
      <c r="B964">
        <v>1575664.5</v>
      </c>
      <c r="C964">
        <v>1575664.5</v>
      </c>
      <c r="D964">
        <v>1529833.5</v>
      </c>
      <c r="F964" s="9">
        <f t="shared" si="1"/>
        <v>0.97908899999999999</v>
      </c>
    </row>
    <row r="965" spans="1:38" x14ac:dyDescent="0.2">
      <c r="A965" s="7">
        <v>43894</v>
      </c>
      <c r="B965">
        <v>1572589.5</v>
      </c>
      <c r="C965">
        <v>1572589.5</v>
      </c>
      <c r="D965">
        <v>1526758.5</v>
      </c>
      <c r="F965" s="9">
        <f t="shared" si="1"/>
        <v>0.97601400000000005</v>
      </c>
    </row>
    <row r="966" spans="1:38" x14ac:dyDescent="0.2">
      <c r="A966" s="7">
        <v>43895</v>
      </c>
      <c r="B966">
        <v>1569301.5</v>
      </c>
      <c r="C966">
        <v>1569301.5</v>
      </c>
      <c r="D966">
        <v>1523470.5</v>
      </c>
      <c r="F966" s="9">
        <f t="shared" si="1"/>
        <v>0.97272599999999998</v>
      </c>
    </row>
    <row r="967" spans="1:38" x14ac:dyDescent="0.2">
      <c r="A967" s="7">
        <v>43896</v>
      </c>
      <c r="B967">
        <v>1564385</v>
      </c>
      <c r="C967">
        <v>1564385</v>
      </c>
      <c r="D967">
        <v>1518554</v>
      </c>
      <c r="F967" s="9">
        <f t="shared" si="1"/>
        <v>0.96780949999999999</v>
      </c>
    </row>
    <row r="968" spans="1:38" x14ac:dyDescent="0.2">
      <c r="A968" s="7">
        <v>43899</v>
      </c>
      <c r="B968">
        <v>1547371.5</v>
      </c>
      <c r="C968">
        <v>1547371.5</v>
      </c>
      <c r="D968">
        <v>1501540.5</v>
      </c>
      <c r="F968" s="9">
        <f t="shared" si="1"/>
        <v>0.95079599999999997</v>
      </c>
    </row>
    <row r="969" spans="1:38" x14ac:dyDescent="0.2">
      <c r="A969" s="7">
        <v>43900</v>
      </c>
      <c r="B969">
        <v>1548688</v>
      </c>
      <c r="C969">
        <v>1548688</v>
      </c>
      <c r="D969">
        <v>1502857</v>
      </c>
      <c r="F969" s="9">
        <f t="shared" si="1"/>
        <v>0.95211250000000003</v>
      </c>
    </row>
    <row r="970" spans="1:38" x14ac:dyDescent="0.2">
      <c r="A970" s="7">
        <v>43901</v>
      </c>
      <c r="B970">
        <v>1546435.5</v>
      </c>
      <c r="C970">
        <v>1546435.5</v>
      </c>
      <c r="D970">
        <v>1500604.5</v>
      </c>
      <c r="F970" s="9">
        <f t="shared" si="1"/>
        <v>0.94986000000000004</v>
      </c>
    </row>
    <row r="971" spans="1:38" x14ac:dyDescent="0.2">
      <c r="A971" s="7">
        <v>43902</v>
      </c>
      <c r="B971">
        <v>1521656</v>
      </c>
      <c r="C971">
        <v>1521656</v>
      </c>
      <c r="D971">
        <v>1475825</v>
      </c>
      <c r="F971" s="9">
        <f t="shared" si="1"/>
        <v>0.92508049999999997</v>
      </c>
    </row>
    <row r="972" spans="1:38" x14ac:dyDescent="0.2">
      <c r="A972" s="7">
        <v>43903</v>
      </c>
      <c r="B972">
        <v>1491459</v>
      </c>
      <c r="C972">
        <v>1491459</v>
      </c>
      <c r="D972">
        <v>1445628</v>
      </c>
      <c r="F972" s="9">
        <f t="shared" si="1"/>
        <v>0.89488350000000005</v>
      </c>
    </row>
    <row r="973" spans="1:38" x14ac:dyDescent="0.2">
      <c r="A973" s="7">
        <v>43906</v>
      </c>
      <c r="B973">
        <v>1457096</v>
      </c>
      <c r="C973">
        <v>1457096</v>
      </c>
      <c r="D973">
        <v>1394300.5</v>
      </c>
      <c r="F973" s="9">
        <f t="shared" si="1"/>
        <v>0.84355599999999997</v>
      </c>
    </row>
    <row r="974" spans="1:38" x14ac:dyDescent="0.2">
      <c r="A974" s="7">
        <v>43907</v>
      </c>
      <c r="B974">
        <v>1462474</v>
      </c>
      <c r="C974">
        <v>1462474</v>
      </c>
      <c r="D974">
        <v>1401216</v>
      </c>
      <c r="F974" s="9">
        <f t="shared" si="1"/>
        <v>0.85047150000000005</v>
      </c>
    </row>
    <row r="975" spans="1:38" x14ac:dyDescent="0.2">
      <c r="A975" s="7">
        <v>43908</v>
      </c>
      <c r="B975">
        <v>1498974.5</v>
      </c>
      <c r="C975">
        <v>1498974.5</v>
      </c>
      <c r="D975">
        <v>1463584</v>
      </c>
      <c r="F975" s="9">
        <f t="shared" si="1"/>
        <v>0.91283950000000003</v>
      </c>
    </row>
    <row r="976" spans="1:38" x14ac:dyDescent="0.2">
      <c r="A976" s="7">
        <v>43909</v>
      </c>
      <c r="B976">
        <v>1488548.5</v>
      </c>
      <c r="C976">
        <v>1488548.5</v>
      </c>
      <c r="D976">
        <v>1446857</v>
      </c>
      <c r="F976" s="9">
        <f t="shared" si="1"/>
        <v>0.89611249999999998</v>
      </c>
    </row>
    <row r="977" spans="1:6" x14ac:dyDescent="0.2">
      <c r="A977" s="7">
        <v>43910</v>
      </c>
      <c r="B977">
        <v>1521859</v>
      </c>
      <c r="C977">
        <v>1521859</v>
      </c>
      <c r="D977">
        <v>1496717.5</v>
      </c>
      <c r="F977" s="9">
        <f t="shared" si="1"/>
        <v>0.94597299999999995</v>
      </c>
    </row>
    <row r="978" spans="1:6" x14ac:dyDescent="0.2">
      <c r="A978" s="7">
        <v>43913</v>
      </c>
      <c r="B978">
        <v>1485961.5</v>
      </c>
      <c r="C978">
        <v>1485961.5</v>
      </c>
      <c r="D978">
        <v>1451450.5</v>
      </c>
      <c r="F978" s="9">
        <f t="shared" si="1"/>
        <v>0.90070600000000001</v>
      </c>
    </row>
    <row r="979" spans="1:6" x14ac:dyDescent="0.2">
      <c r="A979" s="7">
        <v>43914</v>
      </c>
      <c r="B979">
        <v>1492010</v>
      </c>
      <c r="C979">
        <v>1492010</v>
      </c>
      <c r="D979">
        <v>1471132.5</v>
      </c>
      <c r="F979" s="9">
        <f t="shared" si="1"/>
        <v>0.92038799999999998</v>
      </c>
    </row>
    <row r="980" spans="1:6" x14ac:dyDescent="0.2">
      <c r="A980" s="7">
        <v>43915</v>
      </c>
      <c r="B980">
        <v>1496498.5</v>
      </c>
      <c r="C980">
        <v>1496498.5</v>
      </c>
      <c r="D980">
        <v>1470870.5</v>
      </c>
      <c r="F980" s="9">
        <f t="shared" si="1"/>
        <v>0.920126</v>
      </c>
    </row>
    <row r="981" spans="1:6" x14ac:dyDescent="0.2">
      <c r="A981" s="7">
        <v>43916</v>
      </c>
      <c r="B981">
        <v>1499272</v>
      </c>
      <c r="C981">
        <v>1499272</v>
      </c>
      <c r="D981">
        <v>1474274</v>
      </c>
      <c r="F981" s="9">
        <f t="shared" si="1"/>
        <v>0.9235295</v>
      </c>
    </row>
    <row r="982" spans="1:6" x14ac:dyDescent="0.2">
      <c r="A982" s="7">
        <v>43917</v>
      </c>
      <c r="B982">
        <v>1496431</v>
      </c>
      <c r="C982">
        <v>1496431</v>
      </c>
      <c r="D982">
        <v>1470903.5</v>
      </c>
      <c r="F982" s="9">
        <f t="shared" si="1"/>
        <v>0.92015899999999995</v>
      </c>
    </row>
    <row r="983" spans="1:6" x14ac:dyDescent="0.2">
      <c r="A983" s="7">
        <v>43920</v>
      </c>
      <c r="B983">
        <v>1517922</v>
      </c>
      <c r="C983">
        <v>1517922</v>
      </c>
      <c r="D983">
        <v>1497696</v>
      </c>
      <c r="F983" s="9">
        <f t="shared" si="1"/>
        <v>0.94695149999999995</v>
      </c>
    </row>
    <row r="984" spans="1:6" x14ac:dyDescent="0.2">
      <c r="A984" s="7">
        <v>43921</v>
      </c>
      <c r="B984">
        <v>1531971.5</v>
      </c>
      <c r="C984">
        <v>1531971.5</v>
      </c>
      <c r="D984">
        <v>1515552.5</v>
      </c>
      <c r="F984" s="9">
        <f t="shared" si="1"/>
        <v>0.964808</v>
      </c>
    </row>
    <row r="985" spans="1:6" x14ac:dyDescent="0.2">
      <c r="A985" s="7">
        <v>43922</v>
      </c>
      <c r="B985">
        <v>1551389</v>
      </c>
      <c r="C985">
        <v>1551389</v>
      </c>
      <c r="D985">
        <v>1534970</v>
      </c>
      <c r="F985" s="9">
        <f t="shared" si="1"/>
        <v>0.98422549999999998</v>
      </c>
    </row>
    <row r="986" spans="1:6" x14ac:dyDescent="0.2">
      <c r="A986" s="7">
        <v>43923</v>
      </c>
      <c r="B986">
        <v>1566992</v>
      </c>
      <c r="C986">
        <v>1566992</v>
      </c>
      <c r="D986">
        <v>1550573</v>
      </c>
      <c r="F986" s="9">
        <f t="shared" si="1"/>
        <v>0.99982850000000001</v>
      </c>
    </row>
    <row r="987" spans="1:6" x14ac:dyDescent="0.2">
      <c r="A987" s="7">
        <v>43924</v>
      </c>
      <c r="B987">
        <v>1561913.5</v>
      </c>
      <c r="C987">
        <v>1561913.5</v>
      </c>
      <c r="D987">
        <v>1545494.5</v>
      </c>
      <c r="F987" s="9">
        <f t="shared" si="1"/>
        <v>0.99475000000000002</v>
      </c>
    </row>
    <row r="988" spans="1:6" x14ac:dyDescent="0.2">
      <c r="A988" s="7">
        <v>43928</v>
      </c>
      <c r="B988">
        <v>1582695</v>
      </c>
      <c r="C988">
        <v>1582695</v>
      </c>
      <c r="D988">
        <v>1566276</v>
      </c>
      <c r="F988" s="9">
        <f t="shared" si="1"/>
        <v>1.0155315</v>
      </c>
    </row>
    <row r="989" spans="1:6" x14ac:dyDescent="0.2">
      <c r="A989" s="7">
        <v>43929</v>
      </c>
      <c r="B989">
        <v>1599250</v>
      </c>
      <c r="C989">
        <v>1599250</v>
      </c>
      <c r="D989">
        <v>1582831</v>
      </c>
      <c r="F989" s="9">
        <f t="shared" si="1"/>
        <v>1.0320864999999999</v>
      </c>
    </row>
    <row r="990" spans="1:6" x14ac:dyDescent="0.2">
      <c r="A990" s="7">
        <v>43930</v>
      </c>
      <c r="B990">
        <v>1594546</v>
      </c>
      <c r="C990">
        <v>1594546</v>
      </c>
      <c r="D990">
        <v>1578127</v>
      </c>
      <c r="F990" s="9">
        <f t="shared" si="1"/>
        <v>1.0273825000000001</v>
      </c>
    </row>
    <row r="991" spans="1:6" x14ac:dyDescent="0.2">
      <c r="A991" s="7">
        <v>43931</v>
      </c>
      <c r="B991">
        <v>1586071</v>
      </c>
      <c r="C991">
        <v>1586071</v>
      </c>
      <c r="D991">
        <v>1569652</v>
      </c>
      <c r="F991" s="9">
        <f t="shared" si="1"/>
        <v>1.0189075000000001</v>
      </c>
    </row>
    <row r="992" spans="1:6" x14ac:dyDescent="0.2">
      <c r="A992" s="7">
        <v>43934</v>
      </c>
      <c r="B992">
        <v>1570935.5</v>
      </c>
      <c r="C992">
        <v>1570935.5</v>
      </c>
      <c r="D992">
        <v>1554516.5</v>
      </c>
      <c r="F992" s="9">
        <f t="shared" si="1"/>
        <v>1.0037720000000001</v>
      </c>
    </row>
    <row r="993" spans="1:6" x14ac:dyDescent="0.2">
      <c r="A993" s="7">
        <v>43935</v>
      </c>
      <c r="B993">
        <v>1560959</v>
      </c>
      <c r="C993">
        <v>1560959</v>
      </c>
      <c r="D993">
        <v>1544540</v>
      </c>
      <c r="F993" s="9">
        <f t="shared" si="1"/>
        <v>0.99379550000000005</v>
      </c>
    </row>
    <row r="994" spans="1:6" x14ac:dyDescent="0.2">
      <c r="A994" s="7">
        <v>43936</v>
      </c>
      <c r="B994">
        <v>1568317.5</v>
      </c>
      <c r="C994">
        <v>1568317.5</v>
      </c>
      <c r="D994">
        <v>1551898.5</v>
      </c>
      <c r="F994" s="9">
        <f t="shared" si="1"/>
        <v>1.0011540000000001</v>
      </c>
    </row>
    <row r="995" spans="1:6" x14ac:dyDescent="0.2">
      <c r="A995" s="7">
        <v>43937</v>
      </c>
      <c r="B995">
        <v>1564904.5</v>
      </c>
      <c r="C995">
        <v>1564904.5</v>
      </c>
      <c r="D995">
        <v>1548485.5</v>
      </c>
      <c r="F995" s="9">
        <f t="shared" si="1"/>
        <v>0.99774099999999999</v>
      </c>
    </row>
    <row r="996" spans="1:6" x14ac:dyDescent="0.2">
      <c r="A996" s="7">
        <v>43938</v>
      </c>
      <c r="B996">
        <v>1564347</v>
      </c>
      <c r="C996">
        <v>1564347</v>
      </c>
      <c r="D996">
        <v>1547928</v>
      </c>
      <c r="F996" s="9">
        <f t="shared" si="1"/>
        <v>0.9971835</v>
      </c>
    </row>
    <row r="997" spans="1:6" x14ac:dyDescent="0.2">
      <c r="A997" s="7">
        <v>43941</v>
      </c>
      <c r="B997">
        <v>1562586.5</v>
      </c>
      <c r="C997">
        <v>1562586.5</v>
      </c>
      <c r="D997">
        <v>1546167.5</v>
      </c>
      <c r="F997" s="9">
        <f t="shared" si="1"/>
        <v>0.99542299999999995</v>
      </c>
    </row>
    <row r="998" spans="1:6" x14ac:dyDescent="0.2">
      <c r="A998" s="7">
        <v>43942</v>
      </c>
      <c r="B998">
        <v>1563460.5</v>
      </c>
      <c r="C998">
        <v>1563460.5</v>
      </c>
      <c r="D998">
        <v>1547041.5</v>
      </c>
      <c r="F998" s="9">
        <f t="shared" si="1"/>
        <v>0.99629699999999999</v>
      </c>
    </row>
    <row r="999" spans="1:6" x14ac:dyDescent="0.2">
      <c r="A999" s="7">
        <v>43943</v>
      </c>
      <c r="B999">
        <v>1560864</v>
      </c>
      <c r="C999">
        <v>1560864</v>
      </c>
      <c r="D999">
        <v>1544445</v>
      </c>
      <c r="F999" s="9">
        <f t="shared" si="1"/>
        <v>0.99370049999999999</v>
      </c>
    </row>
    <row r="1000" spans="1:6" x14ac:dyDescent="0.2">
      <c r="A1000" s="7">
        <v>43944</v>
      </c>
      <c r="B1000">
        <v>1557767</v>
      </c>
      <c r="C1000">
        <v>1557767</v>
      </c>
      <c r="D1000">
        <v>1541348</v>
      </c>
      <c r="F1000" s="9">
        <f t="shared" si="1"/>
        <v>0.99060349999999997</v>
      </c>
    </row>
    <row r="1001" spans="1:6" x14ac:dyDescent="0.2">
      <c r="A1001" s="7">
        <v>43945</v>
      </c>
      <c r="B1001">
        <v>1555414</v>
      </c>
      <c r="C1001">
        <v>1555414</v>
      </c>
      <c r="D1001">
        <v>1538995</v>
      </c>
      <c r="F1001" s="9">
        <f t="shared" si="1"/>
        <v>0.98825050000000003</v>
      </c>
    </row>
    <row r="1002" spans="1:6" x14ac:dyDescent="0.2">
      <c r="A1002" s="7">
        <v>43948</v>
      </c>
      <c r="B1002">
        <v>1550682</v>
      </c>
      <c r="C1002">
        <v>1550682</v>
      </c>
      <c r="D1002">
        <v>1534263</v>
      </c>
      <c r="F1002" s="9">
        <f t="shared" si="1"/>
        <v>0.98351849999999996</v>
      </c>
    </row>
    <row r="1003" spans="1:6" x14ac:dyDescent="0.2">
      <c r="A1003" s="7">
        <v>43949</v>
      </c>
      <c r="B1003">
        <v>1548045.5</v>
      </c>
      <c r="C1003">
        <v>1548045.5</v>
      </c>
      <c r="D1003">
        <v>1531626.5</v>
      </c>
      <c r="F1003" s="9">
        <f t="shared" si="1"/>
        <v>0.98088200000000003</v>
      </c>
    </row>
    <row r="1004" spans="1:6" x14ac:dyDescent="0.2">
      <c r="A1004" s="7">
        <v>43950</v>
      </c>
      <c r="B1004">
        <v>1548773.5</v>
      </c>
      <c r="C1004">
        <v>1548773.5</v>
      </c>
      <c r="D1004">
        <v>1532792</v>
      </c>
      <c r="F1004" s="9">
        <f t="shared" si="1"/>
        <v>0.98204749999999996</v>
      </c>
    </row>
    <row r="1005" spans="1:6" x14ac:dyDescent="0.2">
      <c r="A1005" s="7">
        <v>43951</v>
      </c>
      <c r="B1005">
        <v>1553526</v>
      </c>
      <c r="C1005">
        <v>1553526</v>
      </c>
      <c r="D1005">
        <v>1533208.5</v>
      </c>
      <c r="F1005" s="9">
        <f t="shared" si="1"/>
        <v>0.982464</v>
      </c>
    </row>
    <row r="1006" spans="1:6" x14ac:dyDescent="0.2">
      <c r="A1006" s="7">
        <v>43957</v>
      </c>
      <c r="B1006">
        <v>1546124</v>
      </c>
      <c r="C1006">
        <v>1546124</v>
      </c>
      <c r="D1006">
        <v>1525987</v>
      </c>
      <c r="F1006" s="9">
        <f t="shared" ref="F1006:F1069" si="2">(D1006-D$928+1000000)/1000000</f>
        <v>0.97524250000000001</v>
      </c>
    </row>
    <row r="1007" spans="1:6" x14ac:dyDescent="0.2">
      <c r="A1007" s="7">
        <v>43958</v>
      </c>
      <c r="B1007">
        <v>1542273.5</v>
      </c>
      <c r="C1007">
        <v>1542273.5</v>
      </c>
      <c r="D1007">
        <v>1522094.5</v>
      </c>
      <c r="F1007" s="9">
        <f t="shared" si="2"/>
        <v>0.97135000000000005</v>
      </c>
    </row>
    <row r="1008" spans="1:6" x14ac:dyDescent="0.2">
      <c r="A1008" s="7">
        <v>43959</v>
      </c>
      <c r="B1008">
        <v>1537771</v>
      </c>
      <c r="C1008">
        <v>1537771</v>
      </c>
      <c r="D1008">
        <v>1517193</v>
      </c>
      <c r="F1008" s="9">
        <f t="shared" si="2"/>
        <v>0.96644850000000004</v>
      </c>
    </row>
    <row r="1009" spans="1:6" x14ac:dyDescent="0.2">
      <c r="A1009" s="7">
        <v>43962</v>
      </c>
      <c r="B1009">
        <v>1536179.5</v>
      </c>
      <c r="C1009">
        <v>1536179.5</v>
      </c>
      <c r="D1009">
        <v>1515714.5</v>
      </c>
      <c r="F1009" s="9">
        <f t="shared" si="2"/>
        <v>0.96496999999999999</v>
      </c>
    </row>
    <row r="1010" spans="1:6" x14ac:dyDescent="0.2">
      <c r="A1010" s="7">
        <v>43963</v>
      </c>
      <c r="B1010">
        <v>1537146</v>
      </c>
      <c r="C1010">
        <v>1537146</v>
      </c>
      <c r="D1010">
        <v>1516736</v>
      </c>
      <c r="F1010" s="9">
        <f t="shared" si="2"/>
        <v>0.9659915</v>
      </c>
    </row>
    <row r="1011" spans="1:6" x14ac:dyDescent="0.2">
      <c r="A1011" s="7">
        <v>43964</v>
      </c>
      <c r="B1011">
        <v>1535285.5</v>
      </c>
      <c r="C1011">
        <v>1535285.5</v>
      </c>
      <c r="D1011">
        <v>1515261.5</v>
      </c>
      <c r="F1011" s="9">
        <f t="shared" si="2"/>
        <v>0.96451699999999996</v>
      </c>
    </row>
    <row r="1012" spans="1:6" x14ac:dyDescent="0.2">
      <c r="A1012" s="7">
        <v>43965</v>
      </c>
      <c r="B1012">
        <v>1537154</v>
      </c>
      <c r="C1012">
        <v>1537154</v>
      </c>
      <c r="D1012">
        <v>1516605.5</v>
      </c>
      <c r="F1012" s="9">
        <f t="shared" si="2"/>
        <v>0.96586099999999997</v>
      </c>
    </row>
    <row r="1013" spans="1:6" x14ac:dyDescent="0.2">
      <c r="A1013" s="7">
        <v>43966</v>
      </c>
      <c r="B1013">
        <v>1535961.5</v>
      </c>
      <c r="C1013">
        <v>1535961.5</v>
      </c>
      <c r="D1013">
        <v>1514832</v>
      </c>
      <c r="F1013" s="9">
        <f t="shared" si="2"/>
        <v>0.96408749999999999</v>
      </c>
    </row>
    <row r="1014" spans="1:6" x14ac:dyDescent="0.2">
      <c r="A1014" s="7">
        <v>43969</v>
      </c>
      <c r="B1014">
        <v>1532340.5</v>
      </c>
      <c r="C1014">
        <v>1532340.5</v>
      </c>
      <c r="D1014">
        <v>1511388.5</v>
      </c>
      <c r="F1014" s="9">
        <f t="shared" si="2"/>
        <v>0.96064400000000005</v>
      </c>
    </row>
    <row r="1015" spans="1:6" x14ac:dyDescent="0.2">
      <c r="A1015" s="7">
        <v>43970</v>
      </c>
      <c r="B1015">
        <v>1529069</v>
      </c>
      <c r="C1015">
        <v>1529069</v>
      </c>
      <c r="D1015">
        <v>1509009.5</v>
      </c>
      <c r="F1015" s="9">
        <f t="shared" si="2"/>
        <v>0.95826500000000003</v>
      </c>
    </row>
    <row r="1016" spans="1:6" x14ac:dyDescent="0.2">
      <c r="A1016" s="7">
        <v>43971</v>
      </c>
      <c r="B1016">
        <v>1528561.5</v>
      </c>
      <c r="C1016">
        <v>1528561.5</v>
      </c>
      <c r="D1016">
        <v>1507252.5</v>
      </c>
      <c r="F1016" s="9">
        <f t="shared" si="2"/>
        <v>0.95650800000000002</v>
      </c>
    </row>
    <row r="1017" spans="1:6" x14ac:dyDescent="0.2">
      <c r="A1017" s="7">
        <v>43972</v>
      </c>
      <c r="B1017">
        <v>1530842.5</v>
      </c>
      <c r="C1017">
        <v>1530842.5</v>
      </c>
      <c r="D1017">
        <v>1509846.5</v>
      </c>
      <c r="F1017" s="9">
        <f t="shared" si="2"/>
        <v>0.95910200000000001</v>
      </c>
    </row>
    <row r="1018" spans="1:6" x14ac:dyDescent="0.2">
      <c r="A1018" s="7">
        <v>43973</v>
      </c>
      <c r="B1018">
        <v>1544000</v>
      </c>
      <c r="C1018">
        <v>1544000</v>
      </c>
      <c r="D1018">
        <v>1523079</v>
      </c>
      <c r="F1018" s="9">
        <f t="shared" si="2"/>
        <v>0.97233449999999999</v>
      </c>
    </row>
    <row r="1019" spans="1:6" x14ac:dyDescent="0.2">
      <c r="A1019" s="7">
        <v>43976</v>
      </c>
      <c r="B1019">
        <v>1554911</v>
      </c>
      <c r="C1019">
        <v>1554911</v>
      </c>
      <c r="D1019">
        <v>1533990</v>
      </c>
      <c r="F1019" s="9">
        <f t="shared" si="2"/>
        <v>0.98324549999999999</v>
      </c>
    </row>
    <row r="1020" spans="1:6" x14ac:dyDescent="0.2">
      <c r="A1020" s="7">
        <v>43977</v>
      </c>
      <c r="B1020">
        <v>1557268.5</v>
      </c>
      <c r="C1020">
        <v>1557268.5</v>
      </c>
      <c r="D1020">
        <v>1536347.5</v>
      </c>
      <c r="F1020" s="9">
        <f t="shared" si="2"/>
        <v>0.98560300000000001</v>
      </c>
    </row>
    <row r="1021" spans="1:6" x14ac:dyDescent="0.2">
      <c r="A1021" s="7">
        <v>43978</v>
      </c>
      <c r="B1021">
        <v>1554465.5</v>
      </c>
      <c r="C1021">
        <v>1554465.5</v>
      </c>
      <c r="D1021">
        <v>1533544.5</v>
      </c>
      <c r="F1021" s="9">
        <f t="shared" si="2"/>
        <v>0.98280000000000001</v>
      </c>
    </row>
    <row r="1022" spans="1:6" x14ac:dyDescent="0.2">
      <c r="A1022" s="7">
        <v>43979</v>
      </c>
      <c r="B1022">
        <v>1553343.5</v>
      </c>
      <c r="C1022">
        <v>1553343.5</v>
      </c>
      <c r="D1022">
        <v>1532422.5</v>
      </c>
      <c r="F1022" s="9">
        <f t="shared" si="2"/>
        <v>0.98167800000000005</v>
      </c>
    </row>
    <row r="1023" spans="1:6" x14ac:dyDescent="0.2">
      <c r="A1023" s="7">
        <v>43980</v>
      </c>
      <c r="B1023">
        <v>1551992.5</v>
      </c>
      <c r="C1023">
        <v>1551992.5</v>
      </c>
      <c r="D1023">
        <v>1531071.5</v>
      </c>
      <c r="F1023" s="9">
        <f t="shared" si="2"/>
        <v>0.98032699999999995</v>
      </c>
    </row>
    <row r="1024" spans="1:6" x14ac:dyDescent="0.2">
      <c r="A1024" s="7">
        <v>43983</v>
      </c>
      <c r="B1024">
        <v>1557958.5</v>
      </c>
      <c r="C1024">
        <v>1557958.5</v>
      </c>
      <c r="D1024">
        <v>1537037.5</v>
      </c>
      <c r="F1024" s="9">
        <f t="shared" si="2"/>
        <v>0.98629299999999998</v>
      </c>
    </row>
    <row r="1025" spans="1:6" x14ac:dyDescent="0.2">
      <c r="A1025" s="7">
        <v>43984</v>
      </c>
      <c r="B1025">
        <v>1561036.5</v>
      </c>
      <c r="C1025">
        <v>1561036.5</v>
      </c>
      <c r="D1025">
        <v>1540115.5</v>
      </c>
      <c r="F1025" s="9">
        <f t="shared" si="2"/>
        <v>0.989371</v>
      </c>
    </row>
    <row r="1026" spans="1:6" x14ac:dyDescent="0.2">
      <c r="A1026" s="7">
        <v>43985</v>
      </c>
      <c r="B1026">
        <v>1560829</v>
      </c>
      <c r="C1026">
        <v>1560829</v>
      </c>
      <c r="D1026">
        <v>1539908</v>
      </c>
      <c r="F1026" s="9">
        <f t="shared" si="2"/>
        <v>0.98916349999999997</v>
      </c>
    </row>
    <row r="1027" spans="1:6" x14ac:dyDescent="0.2">
      <c r="A1027" s="7">
        <v>43986</v>
      </c>
      <c r="B1027">
        <v>1559763.5</v>
      </c>
      <c r="C1027">
        <v>1559763.5</v>
      </c>
      <c r="D1027">
        <v>1538842.5</v>
      </c>
      <c r="F1027" s="9">
        <f t="shared" si="2"/>
        <v>0.98809800000000003</v>
      </c>
    </row>
    <row r="1028" spans="1:6" x14ac:dyDescent="0.2">
      <c r="A1028" s="7">
        <v>43987</v>
      </c>
      <c r="B1028">
        <v>1565156</v>
      </c>
      <c r="C1028">
        <v>1565156</v>
      </c>
      <c r="D1028">
        <v>1544235</v>
      </c>
      <c r="F1028" s="9">
        <f t="shared" si="2"/>
        <v>0.99349050000000005</v>
      </c>
    </row>
    <row r="1029" spans="1:6" x14ac:dyDescent="0.2">
      <c r="A1029" s="7">
        <v>43990</v>
      </c>
      <c r="B1029">
        <v>1567112</v>
      </c>
      <c r="C1029">
        <v>1567112</v>
      </c>
      <c r="D1029">
        <v>1546191</v>
      </c>
      <c r="F1029" s="9">
        <f t="shared" si="2"/>
        <v>0.99544650000000001</v>
      </c>
    </row>
    <row r="1030" spans="1:6" x14ac:dyDescent="0.2">
      <c r="A1030" s="7">
        <v>43991</v>
      </c>
      <c r="B1030">
        <v>1571920</v>
      </c>
      <c r="C1030">
        <v>1571920</v>
      </c>
      <c r="D1030">
        <v>1546473.5</v>
      </c>
      <c r="F1030" s="9">
        <f t="shared" si="2"/>
        <v>0.99572899999999998</v>
      </c>
    </row>
    <row r="1031" spans="1:6" x14ac:dyDescent="0.2">
      <c r="A1031" s="7">
        <v>43992</v>
      </c>
      <c r="B1031">
        <v>1565527.5</v>
      </c>
      <c r="C1031">
        <v>1565527.5</v>
      </c>
      <c r="D1031">
        <v>1544740.5</v>
      </c>
      <c r="F1031" s="9">
        <f t="shared" si="2"/>
        <v>0.99399599999999999</v>
      </c>
    </row>
    <row r="1032" spans="1:6" x14ac:dyDescent="0.2">
      <c r="A1032" s="7">
        <v>43993</v>
      </c>
      <c r="B1032">
        <v>1552615</v>
      </c>
      <c r="C1032">
        <v>1552615</v>
      </c>
      <c r="D1032">
        <v>1540620</v>
      </c>
      <c r="F1032" s="9">
        <f t="shared" si="2"/>
        <v>0.98987550000000002</v>
      </c>
    </row>
    <row r="1033" spans="1:6" x14ac:dyDescent="0.2">
      <c r="A1033" s="7">
        <v>43994</v>
      </c>
      <c r="B1033">
        <v>1560875</v>
      </c>
      <c r="C1033">
        <v>1560875</v>
      </c>
      <c r="D1033">
        <v>1541679.5</v>
      </c>
      <c r="F1033" s="9">
        <f t="shared" si="2"/>
        <v>0.99093500000000001</v>
      </c>
    </row>
    <row r="1034" spans="1:6" x14ac:dyDescent="0.2">
      <c r="A1034" s="7">
        <v>43997</v>
      </c>
      <c r="B1034">
        <v>1537042.5</v>
      </c>
      <c r="C1034">
        <v>1537042.5</v>
      </c>
      <c r="D1034">
        <v>1535278</v>
      </c>
      <c r="F1034" s="9">
        <f t="shared" si="2"/>
        <v>0.98453349999999995</v>
      </c>
    </row>
    <row r="1035" spans="1:6" x14ac:dyDescent="0.2">
      <c r="A1035" s="7">
        <v>43998</v>
      </c>
      <c r="B1035">
        <v>1547080.5</v>
      </c>
      <c r="C1035">
        <v>1547080.5</v>
      </c>
      <c r="D1035">
        <v>1541722</v>
      </c>
      <c r="F1035" s="9">
        <f t="shared" si="2"/>
        <v>0.99097749999999996</v>
      </c>
    </row>
    <row r="1036" spans="1:6" x14ac:dyDescent="0.2">
      <c r="A1036" s="7">
        <v>43999</v>
      </c>
      <c r="B1036">
        <v>1545302.5</v>
      </c>
      <c r="C1036">
        <v>1545302.5</v>
      </c>
      <c r="D1036">
        <v>1541939.5</v>
      </c>
      <c r="F1036" s="9">
        <f t="shared" si="2"/>
        <v>0.99119500000000005</v>
      </c>
    </row>
    <row r="1037" spans="1:6" x14ac:dyDescent="0.2">
      <c r="A1037" s="7">
        <v>44000</v>
      </c>
      <c r="B1037">
        <v>1546863.5</v>
      </c>
      <c r="C1037">
        <v>1546863.5</v>
      </c>
      <c r="D1037">
        <v>1542712.5</v>
      </c>
      <c r="F1037" s="9">
        <f t="shared" si="2"/>
        <v>0.99196799999999996</v>
      </c>
    </row>
    <row r="1038" spans="1:6" x14ac:dyDescent="0.2">
      <c r="A1038" s="7">
        <v>44001</v>
      </c>
      <c r="B1038">
        <v>1547601.5</v>
      </c>
      <c r="C1038">
        <v>1547601.5</v>
      </c>
      <c r="D1038">
        <v>1543173.5</v>
      </c>
      <c r="F1038" s="9">
        <f t="shared" si="2"/>
        <v>0.99242900000000001</v>
      </c>
    </row>
    <row r="1039" spans="1:6" x14ac:dyDescent="0.2">
      <c r="A1039" s="7">
        <v>44004</v>
      </c>
      <c r="B1039">
        <v>1546913.5</v>
      </c>
      <c r="C1039">
        <v>1546913.5</v>
      </c>
      <c r="D1039">
        <v>1542767.5</v>
      </c>
      <c r="F1039" s="9">
        <f t="shared" si="2"/>
        <v>0.99202299999999999</v>
      </c>
    </row>
    <row r="1040" spans="1:6" x14ac:dyDescent="0.2">
      <c r="A1040" s="7">
        <v>44005</v>
      </c>
      <c r="B1040">
        <v>1545205.5</v>
      </c>
      <c r="C1040">
        <v>1545205.5</v>
      </c>
      <c r="D1040">
        <v>1541059.5</v>
      </c>
      <c r="F1040" s="9">
        <f t="shared" si="2"/>
        <v>0.99031499999999995</v>
      </c>
    </row>
    <row r="1041" spans="1:15" x14ac:dyDescent="0.2">
      <c r="A1041" s="7">
        <v>44006</v>
      </c>
      <c r="B1041">
        <v>1551589.5</v>
      </c>
      <c r="C1041">
        <v>1551589.5</v>
      </c>
      <c r="D1041">
        <v>1547443.5</v>
      </c>
      <c r="F1041" s="9">
        <f t="shared" si="2"/>
        <v>0.996699</v>
      </c>
    </row>
    <row r="1042" spans="1:15" x14ac:dyDescent="0.2">
      <c r="A1042" s="7">
        <v>44011</v>
      </c>
      <c r="B1042">
        <v>1562264.5</v>
      </c>
      <c r="C1042">
        <v>1562264.5</v>
      </c>
      <c r="D1042">
        <v>1558118.5</v>
      </c>
      <c r="F1042" s="9">
        <f t="shared" si="2"/>
        <v>1.007374</v>
      </c>
    </row>
    <row r="1043" spans="1:15" x14ac:dyDescent="0.2">
      <c r="A1043" s="7">
        <v>44012</v>
      </c>
      <c r="B1043">
        <v>1568692.5</v>
      </c>
      <c r="C1043">
        <v>1568692.5</v>
      </c>
      <c r="D1043">
        <v>1564546.5</v>
      </c>
      <c r="F1043" s="9">
        <f t="shared" si="2"/>
        <v>1.0138020000000001</v>
      </c>
    </row>
    <row r="1044" spans="1:15" x14ac:dyDescent="0.2">
      <c r="A1044" s="7">
        <v>44013</v>
      </c>
      <c r="B1044">
        <v>1564696.5</v>
      </c>
      <c r="C1044">
        <v>1564696.5</v>
      </c>
      <c r="D1044">
        <v>1560550.5</v>
      </c>
      <c r="F1044" s="9">
        <f t="shared" si="2"/>
        <v>1.009806</v>
      </c>
    </row>
    <row r="1045" spans="1:15" x14ac:dyDescent="0.2">
      <c r="A1045" s="7">
        <v>44014</v>
      </c>
      <c r="B1045">
        <v>1554464.5</v>
      </c>
      <c r="C1045">
        <v>1554464.5</v>
      </c>
      <c r="D1045">
        <v>1550318.5</v>
      </c>
      <c r="F1045" s="9">
        <f t="shared" si="2"/>
        <v>0.99957399999999996</v>
      </c>
    </row>
    <row r="1046" spans="1:15" x14ac:dyDescent="0.2">
      <c r="A1046" s="7">
        <v>44015</v>
      </c>
      <c r="B1046">
        <v>1550311.5</v>
      </c>
      <c r="C1046">
        <v>1550311.5</v>
      </c>
      <c r="D1046">
        <v>1546165.5</v>
      </c>
      <c r="F1046" s="9">
        <f t="shared" si="2"/>
        <v>0.995421</v>
      </c>
      <c r="K1046" s="84"/>
      <c r="L1046" s="84"/>
    </row>
    <row r="1047" spans="1:15" x14ac:dyDescent="0.2">
      <c r="A1047" s="7">
        <v>44018</v>
      </c>
      <c r="B1047">
        <v>1473182</v>
      </c>
      <c r="C1047">
        <v>1473182</v>
      </c>
      <c r="D1047">
        <v>1486890</v>
      </c>
      <c r="F1047" s="9">
        <f t="shared" si="2"/>
        <v>0.93614549999999996</v>
      </c>
      <c r="K1047" s="85">
        <v>0.104166666666667</v>
      </c>
      <c r="L1047" s="85">
        <v>0.11805555555555557</v>
      </c>
      <c r="M1047" s="71" t="s">
        <v>4</v>
      </c>
      <c r="N1047" s="87" t="s">
        <v>1</v>
      </c>
      <c r="O1047" t="s">
        <v>21</v>
      </c>
    </row>
    <row r="1048" spans="1:15" x14ac:dyDescent="0.2">
      <c r="A1048" s="7">
        <v>44019</v>
      </c>
      <c r="B1048">
        <v>1515136.5</v>
      </c>
      <c r="C1048">
        <v>1515136.5</v>
      </c>
      <c r="D1048">
        <v>1549025</v>
      </c>
      <c r="F1048" s="9">
        <f t="shared" si="2"/>
        <v>0.99828050000000002</v>
      </c>
      <c r="G1048" s="9">
        <f t="shared" ref="G1048:G1079" si="3">(K1048*1000000+($D$1048-$D$928))/1000000</f>
        <v>0.99828050000000002</v>
      </c>
      <c r="H1048" s="9">
        <f t="shared" ref="H1048:H1079" si="4">(L1048*1000000+($D$1048-$D$928))/1000000</f>
        <v>0.99828050000000002</v>
      </c>
      <c r="I1048" s="9">
        <f t="shared" ref="I1048:I1079" si="5">(M1048*1000000+($D$1048-$D$928))/1000000</f>
        <v>0.99828050000000002</v>
      </c>
      <c r="J1048" s="9">
        <f t="shared" ref="J1048:J1079" si="6">(N1048*1000000+($D$1048-$D$928))/1000000</f>
        <v>0.99828050000000002</v>
      </c>
      <c r="K1048" s="70">
        <f>B1048/B$1048</f>
        <v>1</v>
      </c>
      <c r="L1048" s="70">
        <f>C1048/C$1048</f>
        <v>1</v>
      </c>
      <c r="M1048" s="70">
        <f>D1048/D$1048</f>
        <v>1</v>
      </c>
      <c r="N1048" s="68">
        <f>(100+E1048)/100</f>
        <v>1</v>
      </c>
      <c r="O1048">
        <v>31.955067069885839</v>
      </c>
    </row>
    <row r="1049" spans="1:15" x14ac:dyDescent="0.2">
      <c r="A1049" s="7">
        <v>44020</v>
      </c>
      <c r="B1049">
        <v>1527609</v>
      </c>
      <c r="C1049">
        <v>1527609</v>
      </c>
      <c r="D1049">
        <v>1528943.5</v>
      </c>
      <c r="E1049" s="3">
        <f>VLOOKUP(A1049,[1]日报表!$AA:$AK,11,0)</f>
        <v>-0.55000000000000004</v>
      </c>
      <c r="F1049" s="9">
        <f t="shared" si="2"/>
        <v>0.97819900000000004</v>
      </c>
      <c r="G1049" s="9">
        <f t="shared" si="3"/>
        <v>1.010753</v>
      </c>
      <c r="H1049" s="9">
        <f t="shared" si="4"/>
        <v>1.010753</v>
      </c>
      <c r="I1049" s="9">
        <f t="shared" si="5"/>
        <v>0.97819900000000004</v>
      </c>
      <c r="J1049" s="9">
        <f t="shared" si="6"/>
        <v>0.99278049999999995</v>
      </c>
      <c r="K1049" s="70">
        <f t="shared" ref="K1049:K1080" si="7">(B1049-B$1048+1000000)/1000000</f>
        <v>1.0124725000000001</v>
      </c>
      <c r="L1049" s="70">
        <f t="shared" ref="L1049:L1080" si="8">(C1049-C$1048+1000000)/1000000</f>
        <v>1.0124725000000001</v>
      </c>
      <c r="M1049" s="70">
        <f t="shared" ref="M1049:M1080" si="9">(D1049-D$1048+1000000)/1000000</f>
        <v>0.97991850000000003</v>
      </c>
      <c r="N1049" s="68">
        <f>(100+E1049)/100</f>
        <v>0.99450000000000005</v>
      </c>
      <c r="O1049">
        <v>33.007560651660199</v>
      </c>
    </row>
    <row r="1050" spans="1:15" x14ac:dyDescent="0.2">
      <c r="A1050" s="7">
        <v>44021</v>
      </c>
      <c r="B1050">
        <v>1519447.5</v>
      </c>
      <c r="C1050">
        <v>1519447.5</v>
      </c>
      <c r="D1050">
        <v>1527363.5</v>
      </c>
      <c r="E1050" s="3">
        <f>VLOOKUP(A1050,[1]日报表!$AA:$AK,11,0)</f>
        <v>0.05</v>
      </c>
      <c r="F1050" s="9">
        <f t="shared" si="2"/>
        <v>0.97661900000000001</v>
      </c>
      <c r="G1050" s="9">
        <f t="shared" si="3"/>
        <v>1.0025915000000001</v>
      </c>
      <c r="H1050" s="9">
        <f t="shared" si="4"/>
        <v>1.0025915000000001</v>
      </c>
      <c r="I1050" s="9">
        <f t="shared" si="5"/>
        <v>0.97661900000000001</v>
      </c>
      <c r="J1050" s="9">
        <f t="shared" si="6"/>
        <v>0.99878049999999996</v>
      </c>
      <c r="K1050" s="70">
        <f t="shared" si="7"/>
        <v>1.004311</v>
      </c>
      <c r="L1050" s="70">
        <f t="shared" si="8"/>
        <v>1.004311</v>
      </c>
      <c r="M1050" s="70">
        <f t="shared" si="9"/>
        <v>0.9783385</v>
      </c>
      <c r="N1050" s="68">
        <f t="shared" ref="N1050:N1074" si="10">(100+E1050)/100</f>
        <v>1.0004999999999999</v>
      </c>
      <c r="O1050">
        <v>33.067158790329763</v>
      </c>
    </row>
    <row r="1051" spans="1:15" x14ac:dyDescent="0.2">
      <c r="A1051" s="7">
        <v>44022</v>
      </c>
      <c r="B1051">
        <v>1526181</v>
      </c>
      <c r="C1051">
        <v>1526181</v>
      </c>
      <c r="D1051">
        <v>1521939.5</v>
      </c>
      <c r="E1051" s="3">
        <f>VLOOKUP(A1051,[1]日报表!$AA:$AK,11,0)</f>
        <v>0.18</v>
      </c>
      <c r="F1051" s="9">
        <f t="shared" si="2"/>
        <v>0.97119500000000003</v>
      </c>
      <c r="G1051" s="9">
        <f t="shared" si="3"/>
        <v>1.0093249999999998</v>
      </c>
      <c r="H1051" s="9">
        <f t="shared" si="4"/>
        <v>1.0093249999999998</v>
      </c>
      <c r="I1051" s="9">
        <f t="shared" si="5"/>
        <v>0.97119500000000003</v>
      </c>
      <c r="J1051" s="9">
        <f t="shared" si="6"/>
        <v>1.0000804999999999</v>
      </c>
      <c r="K1051" s="70">
        <f t="shared" si="7"/>
        <v>1.0110444999999999</v>
      </c>
      <c r="L1051" s="70">
        <f t="shared" si="8"/>
        <v>1.0110444999999999</v>
      </c>
      <c r="M1051" s="70">
        <f t="shared" si="9"/>
        <v>0.97291450000000002</v>
      </c>
      <c r="N1051" s="68">
        <f t="shared" si="10"/>
        <v>1.0018</v>
      </c>
      <c r="O1051">
        <v>32.054063608065299</v>
      </c>
    </row>
    <row r="1052" spans="1:15" x14ac:dyDescent="0.2">
      <c r="A1052" s="7">
        <v>44025</v>
      </c>
      <c r="B1052">
        <v>1555233.9999999991</v>
      </c>
      <c r="C1052">
        <v>1555233.9999999991</v>
      </c>
      <c r="D1052">
        <v>1562849</v>
      </c>
      <c r="E1052" s="3">
        <f>VLOOKUP(A1052,[1]日报表!$AA:$AK,11,0)</f>
        <v>2.4300000000000002</v>
      </c>
      <c r="F1052" s="9">
        <f t="shared" si="2"/>
        <v>1.0121045</v>
      </c>
      <c r="G1052" s="9">
        <f t="shared" si="3"/>
        <v>1.0383779999999989</v>
      </c>
      <c r="H1052" s="9">
        <f t="shared" si="4"/>
        <v>1.0383779999999989</v>
      </c>
      <c r="I1052" s="9">
        <f t="shared" si="5"/>
        <v>1.0121045000000002</v>
      </c>
      <c r="J1052" s="9">
        <f t="shared" si="6"/>
        <v>1.0225804999999999</v>
      </c>
      <c r="K1052" s="70">
        <f t="shared" si="7"/>
        <v>1.040097499999999</v>
      </c>
      <c r="L1052" s="70">
        <f t="shared" si="8"/>
        <v>1.040097499999999</v>
      </c>
      <c r="M1052" s="70">
        <f t="shared" si="9"/>
        <v>1.0138240000000001</v>
      </c>
      <c r="N1052" s="68">
        <f t="shared" si="10"/>
        <v>1.0243</v>
      </c>
      <c r="O1052">
        <v>29.100192613700742</v>
      </c>
    </row>
    <row r="1053" spans="1:15" x14ac:dyDescent="0.2">
      <c r="A1053" s="7">
        <v>44026</v>
      </c>
      <c r="B1053">
        <v>1561400.9999999991</v>
      </c>
      <c r="C1053">
        <v>1561400.9999999991</v>
      </c>
      <c r="D1053">
        <v>1564811.5</v>
      </c>
      <c r="E1053" s="3">
        <f>VLOOKUP(A1053,[1]日报表!$AA:$AK,11,0)</f>
        <v>2.66</v>
      </c>
      <c r="F1053" s="9">
        <f t="shared" si="2"/>
        <v>1.0140670000000001</v>
      </c>
      <c r="G1053" s="9">
        <f t="shared" si="3"/>
        <v>1.0445449999999992</v>
      </c>
      <c r="H1053" s="9">
        <f t="shared" si="4"/>
        <v>1.0445449999999992</v>
      </c>
      <c r="I1053" s="9">
        <f t="shared" si="5"/>
        <v>1.0140669999999998</v>
      </c>
      <c r="J1053" s="9">
        <f t="shared" si="6"/>
        <v>1.0248805000000001</v>
      </c>
      <c r="K1053" s="70">
        <f t="shared" si="7"/>
        <v>1.046264499999999</v>
      </c>
      <c r="L1053" s="70">
        <f t="shared" si="8"/>
        <v>1.046264499999999</v>
      </c>
      <c r="M1053" s="70">
        <f t="shared" si="9"/>
        <v>1.0157864999999999</v>
      </c>
      <c r="N1053" s="68">
        <f t="shared" si="10"/>
        <v>1.0266</v>
      </c>
      <c r="O1053">
        <v>29.19495068695473</v>
      </c>
    </row>
    <row r="1054" spans="1:15" x14ac:dyDescent="0.2">
      <c r="A1054" s="7">
        <v>44027</v>
      </c>
      <c r="B1054">
        <v>1562191.9999999991</v>
      </c>
      <c r="C1054">
        <v>1562191.9999999991</v>
      </c>
      <c r="D1054">
        <v>1562651.5</v>
      </c>
      <c r="E1054" s="3">
        <f>VLOOKUP(A1054,[1]日报表!$AA:$AK,11,0)</f>
        <v>2.41</v>
      </c>
      <c r="F1054" s="9">
        <f t="shared" si="2"/>
        <v>1.0119069999999999</v>
      </c>
      <c r="G1054" s="9">
        <f t="shared" si="3"/>
        <v>1.0453359999999992</v>
      </c>
      <c r="H1054" s="9">
        <f t="shared" si="4"/>
        <v>1.0453359999999992</v>
      </c>
      <c r="I1054" s="9">
        <f t="shared" si="5"/>
        <v>1.0119069999999999</v>
      </c>
      <c r="J1054" s="9">
        <f t="shared" si="6"/>
        <v>1.0223804999999999</v>
      </c>
      <c r="K1054" s="70">
        <f t="shared" si="7"/>
        <v>1.047055499999999</v>
      </c>
      <c r="L1054" s="70">
        <f t="shared" si="8"/>
        <v>1.047055499999999</v>
      </c>
      <c r="M1054" s="70">
        <f t="shared" si="9"/>
        <v>1.0136265</v>
      </c>
      <c r="N1054" s="68">
        <f t="shared" si="10"/>
        <v>1.0241</v>
      </c>
      <c r="O1054">
        <v>34.675337518912229</v>
      </c>
    </row>
    <row r="1055" spans="1:15" x14ac:dyDescent="0.2">
      <c r="A1055" s="7">
        <v>44028</v>
      </c>
      <c r="B1055">
        <v>1505644.9999999991</v>
      </c>
      <c r="C1055">
        <v>1505644.9999999991</v>
      </c>
      <c r="D1055">
        <v>1510860.5</v>
      </c>
      <c r="E1055" s="3">
        <f>VLOOKUP(A1055,[1]日报表!$AA:$AK,11,0)</f>
        <v>-2.4500000000000002</v>
      </c>
      <c r="F1055" s="9">
        <f t="shared" si="2"/>
        <v>0.96011599999999997</v>
      </c>
      <c r="G1055" s="9">
        <f t="shared" si="3"/>
        <v>0.98878899999999903</v>
      </c>
      <c r="H1055" s="9">
        <f t="shared" si="4"/>
        <v>0.98878899999999903</v>
      </c>
      <c r="I1055" s="9">
        <f t="shared" si="5"/>
        <v>0.96011599999999997</v>
      </c>
      <c r="J1055" s="9">
        <f t="shared" si="6"/>
        <v>0.97378049999999994</v>
      </c>
      <c r="K1055" s="70">
        <f t="shared" si="7"/>
        <v>0.99050849999999901</v>
      </c>
      <c r="L1055" s="70">
        <f t="shared" si="8"/>
        <v>0.99050849999999901</v>
      </c>
      <c r="M1055" s="70">
        <f t="shared" si="9"/>
        <v>0.96183549999999995</v>
      </c>
      <c r="N1055" s="68">
        <f t="shared" si="10"/>
        <v>0.97549999999999992</v>
      </c>
      <c r="O1055">
        <v>36.874447139525479</v>
      </c>
    </row>
    <row r="1056" spans="1:15" x14ac:dyDescent="0.2">
      <c r="A1056" s="7">
        <v>44029</v>
      </c>
      <c r="B1056">
        <v>1538743.9999999991</v>
      </c>
      <c r="C1056">
        <v>1538743.9999999991</v>
      </c>
      <c r="D1056">
        <v>1555389</v>
      </c>
      <c r="E1056" s="3">
        <f>VLOOKUP(A1056,[1]日报表!$AA:$AK,11,0)</f>
        <v>1.22</v>
      </c>
      <c r="F1056" s="9">
        <f t="shared" si="2"/>
        <v>1.0046444999999999</v>
      </c>
      <c r="G1056" s="9">
        <f t="shared" si="3"/>
        <v>1.021887999999999</v>
      </c>
      <c r="H1056" s="9">
        <f t="shared" si="4"/>
        <v>1.021887999999999</v>
      </c>
      <c r="I1056" s="9">
        <f t="shared" si="5"/>
        <v>1.0046444999999999</v>
      </c>
      <c r="J1056" s="9">
        <f t="shared" si="6"/>
        <v>1.0104804999999999</v>
      </c>
      <c r="K1056" s="70">
        <f t="shared" si="7"/>
        <v>1.0236074999999991</v>
      </c>
      <c r="L1056" s="70">
        <f t="shared" si="8"/>
        <v>1.0236074999999991</v>
      </c>
      <c r="M1056" s="70">
        <f t="shared" si="9"/>
        <v>1.006364</v>
      </c>
      <c r="N1056" s="68">
        <f t="shared" si="10"/>
        <v>1.0122</v>
      </c>
      <c r="O1056">
        <v>31.950037661262741</v>
      </c>
    </row>
    <row r="1057" spans="1:16" x14ac:dyDescent="0.2">
      <c r="A1057" s="7">
        <v>44032</v>
      </c>
      <c r="B1057">
        <v>1526377.4999999991</v>
      </c>
      <c r="C1057">
        <v>1526377.4999999991</v>
      </c>
      <c r="D1057">
        <v>1549056</v>
      </c>
      <c r="E1057" s="3">
        <f>VLOOKUP(A1057,[1]日报表!$AA:$AK,11,0)</f>
        <v>0.65</v>
      </c>
      <c r="F1057" s="9">
        <f t="shared" si="2"/>
        <v>0.99831150000000002</v>
      </c>
      <c r="G1057" s="9">
        <f t="shared" si="3"/>
        <v>1.0095214999999993</v>
      </c>
      <c r="H1057" s="9">
        <f t="shared" si="4"/>
        <v>1.0095214999999993</v>
      </c>
      <c r="I1057" s="9">
        <f t="shared" si="5"/>
        <v>0.99831149999999991</v>
      </c>
      <c r="J1057" s="9">
        <f t="shared" si="6"/>
        <v>1.0047805000000001</v>
      </c>
      <c r="K1057" s="70">
        <f t="shared" si="7"/>
        <v>1.0112409999999992</v>
      </c>
      <c r="L1057" s="70">
        <f t="shared" si="8"/>
        <v>1.0112409999999992</v>
      </c>
      <c r="M1057" s="70">
        <f t="shared" si="9"/>
        <v>1.0000309999999999</v>
      </c>
      <c r="N1057" s="68">
        <f t="shared" si="10"/>
        <v>1.0065</v>
      </c>
      <c r="O1057">
        <v>31.208939328693539</v>
      </c>
    </row>
    <row r="1058" spans="1:16" x14ac:dyDescent="0.2">
      <c r="A1058" s="7">
        <v>44033</v>
      </c>
      <c r="B1058">
        <v>1537235.4999999991</v>
      </c>
      <c r="C1058">
        <v>1537235.4999999991</v>
      </c>
      <c r="D1058">
        <v>1563432</v>
      </c>
      <c r="E1058" s="3">
        <f>VLOOKUP(A1058,[1]日报表!$AA:$AK,11,0)</f>
        <v>1.77</v>
      </c>
      <c r="F1058" s="9">
        <f t="shared" si="2"/>
        <v>1.0126875</v>
      </c>
      <c r="G1058" s="9">
        <f t="shared" si="3"/>
        <v>1.0203794999999989</v>
      </c>
      <c r="H1058" s="9">
        <f t="shared" si="4"/>
        <v>1.0203794999999989</v>
      </c>
      <c r="I1058" s="9">
        <f t="shared" si="5"/>
        <v>1.0126875000000002</v>
      </c>
      <c r="J1058" s="9">
        <f t="shared" si="6"/>
        <v>1.0159805</v>
      </c>
      <c r="K1058" s="70">
        <f t="shared" si="7"/>
        <v>1.022098999999999</v>
      </c>
      <c r="L1058" s="70">
        <f t="shared" si="8"/>
        <v>1.022098999999999</v>
      </c>
      <c r="M1058" s="70">
        <f t="shared" si="9"/>
        <v>1.0144070000000001</v>
      </c>
      <c r="N1058" s="68">
        <f t="shared" si="10"/>
        <v>1.0177</v>
      </c>
      <c r="O1058">
        <v>29.36115938758487</v>
      </c>
    </row>
    <row r="1059" spans="1:16" x14ac:dyDescent="0.2">
      <c r="A1059" s="7">
        <v>44034</v>
      </c>
      <c r="B1059">
        <v>1541301.9999999991</v>
      </c>
      <c r="C1059">
        <v>1541301.9999999991</v>
      </c>
      <c r="D1059">
        <v>1565441</v>
      </c>
      <c r="E1059" s="3">
        <f>VLOOKUP(A1059,[1]日报表!$AA:$AK,11,0)</f>
        <v>2.02</v>
      </c>
      <c r="F1059" s="9">
        <f t="shared" si="2"/>
        <v>1.0146964999999999</v>
      </c>
      <c r="G1059" s="9">
        <f t="shared" si="3"/>
        <v>1.0244459999999991</v>
      </c>
      <c r="H1059" s="9">
        <f t="shared" si="4"/>
        <v>1.0244459999999991</v>
      </c>
      <c r="I1059" s="9">
        <f t="shared" si="5"/>
        <v>1.0146964999999999</v>
      </c>
      <c r="J1059" s="9">
        <f t="shared" si="6"/>
        <v>1.0184804999999999</v>
      </c>
      <c r="K1059" s="70">
        <f t="shared" si="7"/>
        <v>1.0261654999999992</v>
      </c>
      <c r="L1059" s="70">
        <f t="shared" si="8"/>
        <v>1.0261654999999992</v>
      </c>
      <c r="M1059" s="70">
        <f t="shared" si="9"/>
        <v>1.016416</v>
      </c>
      <c r="N1059" s="68">
        <f t="shared" si="10"/>
        <v>1.0202</v>
      </c>
      <c r="O1059">
        <v>28.707710923336379</v>
      </c>
    </row>
    <row r="1060" spans="1:16" x14ac:dyDescent="0.2">
      <c r="A1060" s="7">
        <v>44035</v>
      </c>
      <c r="B1060">
        <v>1535674</v>
      </c>
      <c r="C1060">
        <v>1535674</v>
      </c>
      <c r="D1060">
        <v>1561759</v>
      </c>
      <c r="E1060" s="3">
        <f>VLOOKUP(A1060,[1]日报表!$AA:$AK,11,0)</f>
        <v>1.79</v>
      </c>
      <c r="F1060" s="9">
        <f t="shared" si="2"/>
        <v>1.0110144999999999</v>
      </c>
      <c r="G1060" s="9">
        <f t="shared" si="3"/>
        <v>1.0188180000000002</v>
      </c>
      <c r="H1060" s="9">
        <f t="shared" si="4"/>
        <v>1.0188180000000002</v>
      </c>
      <c r="I1060" s="9">
        <f t="shared" si="5"/>
        <v>1.0110144999999999</v>
      </c>
      <c r="J1060" s="9">
        <f t="shared" si="6"/>
        <v>1.0161804999999999</v>
      </c>
      <c r="K1060" s="70">
        <f t="shared" si="7"/>
        <v>1.0205375000000001</v>
      </c>
      <c r="L1060" s="70">
        <f t="shared" si="8"/>
        <v>1.0205375000000001</v>
      </c>
      <c r="M1060" s="70">
        <f t="shared" si="9"/>
        <v>1.012734</v>
      </c>
      <c r="N1060" s="68">
        <f t="shared" si="10"/>
        <v>1.0179</v>
      </c>
      <c r="O1060">
        <v>29.32573161365378</v>
      </c>
    </row>
    <row r="1061" spans="1:16" x14ac:dyDescent="0.2">
      <c r="A1061" s="7">
        <v>44036</v>
      </c>
      <c r="B1061">
        <v>1498174.9999999991</v>
      </c>
      <c r="C1061">
        <v>1498174.9999999991</v>
      </c>
      <c r="D1061">
        <v>1522783.5</v>
      </c>
      <c r="E1061" s="3">
        <f>VLOOKUP(A1061,[1]日报表!$AA:$AK,11,0)</f>
        <v>-2.34</v>
      </c>
      <c r="F1061" s="9">
        <f t="shared" si="2"/>
        <v>0.97203899999999999</v>
      </c>
      <c r="G1061" s="9">
        <f t="shared" si="3"/>
        <v>0.98131899999999905</v>
      </c>
      <c r="H1061" s="9">
        <f t="shared" si="4"/>
        <v>0.98131899999999905</v>
      </c>
      <c r="I1061" s="9">
        <f t="shared" si="5"/>
        <v>0.97203899999999999</v>
      </c>
      <c r="J1061" s="9">
        <f t="shared" si="6"/>
        <v>0.97488049999999993</v>
      </c>
      <c r="K1061" s="70">
        <f t="shared" si="7"/>
        <v>0.98303849999999904</v>
      </c>
      <c r="L1061" s="70">
        <f t="shared" si="8"/>
        <v>0.98303849999999904</v>
      </c>
      <c r="M1061" s="70">
        <f t="shared" si="9"/>
        <v>0.97375849999999997</v>
      </c>
      <c r="N1061" s="68">
        <f>(100+E1061)/100</f>
        <v>0.97659999999999991</v>
      </c>
      <c r="O1061">
        <v>32.026558018148549</v>
      </c>
    </row>
    <row r="1062" spans="1:16" x14ac:dyDescent="0.2">
      <c r="A1062" s="7">
        <v>44039</v>
      </c>
      <c r="B1062">
        <v>1516243.9999999991</v>
      </c>
      <c r="C1062">
        <v>1516243.9999999991</v>
      </c>
      <c r="D1062">
        <v>1545455</v>
      </c>
      <c r="E1062" s="3">
        <f>VLOOKUP(A1062,[1]日报表!$AA:$AK,11,0)</f>
        <v>-0.09</v>
      </c>
      <c r="F1062" s="9">
        <f t="shared" si="2"/>
        <v>0.99471050000000005</v>
      </c>
      <c r="G1062" s="9">
        <f t="shared" si="3"/>
        <v>0.99938799999999917</v>
      </c>
      <c r="H1062" s="9">
        <f t="shared" si="4"/>
        <v>0.99938799999999917</v>
      </c>
      <c r="I1062" s="9">
        <f t="shared" si="5"/>
        <v>0.99471050000000005</v>
      </c>
      <c r="J1062" s="9">
        <f t="shared" si="6"/>
        <v>0.9973805</v>
      </c>
      <c r="K1062" s="70">
        <f t="shared" si="7"/>
        <v>1.0011074999999992</v>
      </c>
      <c r="L1062" s="70">
        <f t="shared" si="8"/>
        <v>1.0011074999999992</v>
      </c>
      <c r="M1062" s="70">
        <f t="shared" si="9"/>
        <v>0.99643000000000004</v>
      </c>
      <c r="N1062" s="68">
        <f t="shared" si="10"/>
        <v>0.99909999999999999</v>
      </c>
      <c r="O1062">
        <v>29.217757537932371</v>
      </c>
    </row>
    <row r="1063" spans="1:16" x14ac:dyDescent="0.2">
      <c r="A1063" s="7">
        <v>44040</v>
      </c>
      <c r="B1063">
        <v>1523617.4999999991</v>
      </c>
      <c r="C1063">
        <v>1523617.4999999991</v>
      </c>
      <c r="D1063">
        <v>1552469</v>
      </c>
      <c r="E1063" s="3">
        <f>VLOOKUP(A1063,[1]日报表!$AA:$AK,11,0)</f>
        <v>0.51</v>
      </c>
      <c r="F1063" s="9">
        <f t="shared" si="2"/>
        <v>1.0017244999999999</v>
      </c>
      <c r="G1063" s="9">
        <f t="shared" si="3"/>
        <v>1.006761499999999</v>
      </c>
      <c r="H1063" s="9">
        <f t="shared" si="4"/>
        <v>1.006761499999999</v>
      </c>
      <c r="I1063" s="9">
        <f t="shared" si="5"/>
        <v>1.0017244999999999</v>
      </c>
      <c r="J1063" s="9">
        <f t="shared" si="6"/>
        <v>1.0033805</v>
      </c>
      <c r="K1063" s="70">
        <f t="shared" si="7"/>
        <v>1.0084809999999991</v>
      </c>
      <c r="L1063" s="70">
        <f t="shared" si="8"/>
        <v>1.0084809999999991</v>
      </c>
      <c r="M1063" s="70">
        <f t="shared" si="9"/>
        <v>1.003444</v>
      </c>
      <c r="N1063" s="68">
        <f t="shared" si="10"/>
        <v>1.0051000000000001</v>
      </c>
      <c r="O1063">
        <v>28.67054452424669</v>
      </c>
    </row>
    <row r="1064" spans="1:16" x14ac:dyDescent="0.2">
      <c r="A1064" s="7">
        <v>44041</v>
      </c>
      <c r="B1064">
        <v>1516807.4999999991</v>
      </c>
      <c r="C1064">
        <v>1516807.4999999991</v>
      </c>
      <c r="D1064">
        <v>1547983.5</v>
      </c>
      <c r="E1064" s="3">
        <f>VLOOKUP(A1064,[1]日报表!$AA:$AK,11,0)</f>
        <v>-0.1</v>
      </c>
      <c r="F1064" s="9">
        <f t="shared" si="2"/>
        <v>0.99723899999999999</v>
      </c>
      <c r="G1064" s="9">
        <f t="shared" si="3"/>
        <v>0.9999514999999991</v>
      </c>
      <c r="H1064" s="9">
        <f t="shared" si="4"/>
        <v>0.9999514999999991</v>
      </c>
      <c r="I1064" s="9">
        <f t="shared" si="5"/>
        <v>0.99723899999999999</v>
      </c>
      <c r="J1064" s="9">
        <f t="shared" si="6"/>
        <v>0.99728050000000013</v>
      </c>
      <c r="K1064" s="70">
        <f t="shared" si="7"/>
        <v>1.0016709999999991</v>
      </c>
      <c r="L1064" s="70">
        <f t="shared" si="8"/>
        <v>1.0016709999999991</v>
      </c>
      <c r="M1064" s="70">
        <f t="shared" si="9"/>
        <v>0.99895849999999997</v>
      </c>
      <c r="N1064" s="68">
        <f t="shared" si="10"/>
        <v>0.99900000000000011</v>
      </c>
      <c r="O1064">
        <v>29.207883938511021</v>
      </c>
    </row>
    <row r="1065" spans="1:16" x14ac:dyDescent="0.2">
      <c r="A1065" s="7">
        <v>44042</v>
      </c>
      <c r="B1065">
        <v>1515579.4999999991</v>
      </c>
      <c r="C1065">
        <v>1515579.4999999991</v>
      </c>
      <c r="D1065">
        <v>1547727.5</v>
      </c>
      <c r="E1065" s="3">
        <f>VLOOKUP(A1065,[1]日报表!$AA:$AK,11,0)</f>
        <v>-0.22</v>
      </c>
      <c r="F1065" s="9">
        <f t="shared" si="2"/>
        <v>0.99698299999999995</v>
      </c>
      <c r="G1065" s="9">
        <f t="shared" si="3"/>
        <v>0.9987234999999991</v>
      </c>
      <c r="H1065" s="9">
        <f t="shared" si="4"/>
        <v>0.9987234999999991</v>
      </c>
      <c r="I1065" s="9">
        <f t="shared" si="5"/>
        <v>0.99698299999999995</v>
      </c>
      <c r="J1065" s="9">
        <f t="shared" si="6"/>
        <v>0.99608050000000004</v>
      </c>
      <c r="K1065" s="70">
        <f t="shared" si="7"/>
        <v>1.0004429999999991</v>
      </c>
      <c r="L1065" s="70">
        <f t="shared" si="8"/>
        <v>1.0004429999999991</v>
      </c>
      <c r="M1065" s="70">
        <f t="shared" si="9"/>
        <v>0.99870250000000005</v>
      </c>
      <c r="N1065" s="68">
        <f t="shared" si="10"/>
        <v>0.99780000000000002</v>
      </c>
      <c r="O1065">
        <v>29.39743408605262</v>
      </c>
    </row>
    <row r="1066" spans="1:16" x14ac:dyDescent="0.2">
      <c r="A1066" s="7">
        <v>44043</v>
      </c>
      <c r="B1066">
        <v>1513475.9999999991</v>
      </c>
      <c r="C1066">
        <v>1513475.9999999991</v>
      </c>
      <c r="D1066">
        <v>1544821.5</v>
      </c>
      <c r="E1066" s="3">
        <f>VLOOKUP(A1066,[1]日报表!$AA:$AK,11,0)</f>
        <v>-0.46</v>
      </c>
      <c r="F1066" s="9">
        <f t="shared" si="2"/>
        <v>0.99407699999999999</v>
      </c>
      <c r="G1066" s="9">
        <f t="shared" si="3"/>
        <v>0.99661999999999906</v>
      </c>
      <c r="H1066" s="9">
        <f t="shared" si="4"/>
        <v>0.99661999999999906</v>
      </c>
      <c r="I1066" s="9">
        <f t="shared" si="5"/>
        <v>0.99407699999999999</v>
      </c>
      <c r="J1066" s="9">
        <f t="shared" si="6"/>
        <v>0.99368050000000008</v>
      </c>
      <c r="K1066" s="70">
        <f t="shared" si="7"/>
        <v>0.99833949999999905</v>
      </c>
      <c r="L1066" s="70">
        <f t="shared" si="8"/>
        <v>0.99833949999999905</v>
      </c>
      <c r="M1066" s="70">
        <f t="shared" si="9"/>
        <v>0.99579649999999997</v>
      </c>
      <c r="N1066" s="68">
        <f t="shared" si="10"/>
        <v>0.99540000000000006</v>
      </c>
      <c r="O1066">
        <v>30.44637243115816</v>
      </c>
    </row>
    <row r="1067" spans="1:16" x14ac:dyDescent="0.2">
      <c r="A1067" s="7">
        <v>44046</v>
      </c>
      <c r="B1067">
        <v>1518822.4999999991</v>
      </c>
      <c r="C1067">
        <v>1518822.4999999991</v>
      </c>
      <c r="D1067">
        <v>1553247</v>
      </c>
      <c r="E1067" s="3">
        <f>VLOOKUP(A1067,[1]日报表!$AA:$AK,11,0)</f>
        <v>0.02</v>
      </c>
      <c r="F1067" s="9">
        <f t="shared" si="2"/>
        <v>1.0025025000000001</v>
      </c>
      <c r="G1067" s="9">
        <f t="shared" si="3"/>
        <v>1.0019664999999989</v>
      </c>
      <c r="H1067" s="9">
        <f t="shared" si="4"/>
        <v>1.0019664999999989</v>
      </c>
      <c r="I1067" s="9">
        <f t="shared" si="5"/>
        <v>1.0025025000000001</v>
      </c>
      <c r="J1067" s="9">
        <f t="shared" si="6"/>
        <v>0.99848049999999999</v>
      </c>
      <c r="K1067" s="70">
        <f t="shared" si="7"/>
        <v>1.003685999999999</v>
      </c>
      <c r="L1067" s="70">
        <f t="shared" si="8"/>
        <v>1.003685999999999</v>
      </c>
      <c r="M1067" s="70">
        <f t="shared" si="9"/>
        <v>1.0042219999999999</v>
      </c>
      <c r="N1067" s="68">
        <f t="shared" si="10"/>
        <v>1.0002</v>
      </c>
      <c r="O1067">
        <v>31.361535639641509</v>
      </c>
      <c r="P1067" s="55"/>
    </row>
    <row r="1068" spans="1:16" x14ac:dyDescent="0.2">
      <c r="A1068" s="7">
        <v>44047</v>
      </c>
      <c r="B1068">
        <v>1521551.9999999991</v>
      </c>
      <c r="C1068">
        <v>1521551.9999999991</v>
      </c>
      <c r="D1068">
        <v>1559099.5</v>
      </c>
      <c r="E1068" s="3">
        <f>VLOOKUP(A1068,[1]日报表!$AA:$AK,11,0)</f>
        <v>0.1</v>
      </c>
      <c r="F1068" s="9">
        <f t="shared" si="2"/>
        <v>1.0083549999999999</v>
      </c>
      <c r="G1068" s="9">
        <f t="shared" si="3"/>
        <v>1.0046959999999991</v>
      </c>
      <c r="H1068" s="9">
        <f t="shared" si="4"/>
        <v>1.0046959999999991</v>
      </c>
      <c r="I1068" s="9">
        <f t="shared" si="5"/>
        <v>1.0083549999999999</v>
      </c>
      <c r="J1068" s="9">
        <f t="shared" si="6"/>
        <v>0.9992804999999999</v>
      </c>
      <c r="K1068" s="70">
        <f t="shared" si="7"/>
        <v>1.006415499999999</v>
      </c>
      <c r="L1068" s="70">
        <f t="shared" si="8"/>
        <v>1.006415499999999</v>
      </c>
      <c r="M1068" s="70">
        <f t="shared" si="9"/>
        <v>1.0100745</v>
      </c>
      <c r="N1068" s="68">
        <f t="shared" si="10"/>
        <v>1.0009999999999999</v>
      </c>
      <c r="O1068">
        <v>30.930921061166899</v>
      </c>
      <c r="P1068" s="55"/>
    </row>
    <row r="1069" spans="1:16" x14ac:dyDescent="0.2">
      <c r="A1069" s="7">
        <v>44048</v>
      </c>
      <c r="B1069">
        <v>1524570.4999999991</v>
      </c>
      <c r="C1069">
        <v>1530658.4999999991</v>
      </c>
      <c r="D1069">
        <v>1556831.5</v>
      </c>
      <c r="E1069" s="3">
        <f>VLOOKUP(A1069,[1]日报表!$AA:$AK,11,0)</f>
        <v>0.04</v>
      </c>
      <c r="F1069" s="9">
        <f t="shared" si="2"/>
        <v>1.006087</v>
      </c>
      <c r="G1069" s="9">
        <f t="shared" si="3"/>
        <v>1.007714499999999</v>
      </c>
      <c r="H1069" s="9">
        <f t="shared" si="4"/>
        <v>1.0138024999999993</v>
      </c>
      <c r="I1069" s="9">
        <f t="shared" si="5"/>
        <v>1.006087</v>
      </c>
      <c r="J1069" s="9">
        <f t="shared" si="6"/>
        <v>0.99868049999999997</v>
      </c>
      <c r="K1069" s="70">
        <f t="shared" si="7"/>
        <v>1.0094339999999991</v>
      </c>
      <c r="L1069" s="70">
        <f t="shared" si="8"/>
        <v>1.0155219999999991</v>
      </c>
      <c r="M1069" s="70">
        <f t="shared" si="9"/>
        <v>1.0078065</v>
      </c>
      <c r="N1069" s="68">
        <f t="shared" si="10"/>
        <v>1.0004</v>
      </c>
      <c r="O1069">
        <v>31.027813237001929</v>
      </c>
      <c r="P1069" s="55"/>
    </row>
    <row r="1070" spans="1:16" x14ac:dyDescent="0.2">
      <c r="A1070" s="7">
        <v>44049</v>
      </c>
      <c r="B1070">
        <v>1537222.4999999991</v>
      </c>
      <c r="C1070">
        <v>1535265.4999999991</v>
      </c>
      <c r="D1070">
        <v>1564693.5</v>
      </c>
      <c r="E1070" s="3">
        <f>VLOOKUP(A1070,[1]日报表!$AA:$AK,11,0)</f>
        <v>0.92</v>
      </c>
      <c r="F1070" s="9">
        <f t="shared" ref="F1070:F1133" si="11">(D1070-D$928+1000000)/1000000</f>
        <v>1.013949</v>
      </c>
      <c r="G1070" s="9">
        <f t="shared" si="3"/>
        <v>1.0203664999999993</v>
      </c>
      <c r="H1070" s="9">
        <f t="shared" si="4"/>
        <v>1.0184094999999991</v>
      </c>
      <c r="I1070" s="9">
        <f t="shared" si="5"/>
        <v>1.0139490000000002</v>
      </c>
      <c r="J1070" s="9">
        <f t="shared" si="6"/>
        <v>1.0074805000000002</v>
      </c>
      <c r="K1070" s="70">
        <f t="shared" si="7"/>
        <v>1.0220859999999992</v>
      </c>
      <c r="L1070" s="70">
        <f t="shared" si="8"/>
        <v>1.0201289999999992</v>
      </c>
      <c r="M1070" s="70">
        <f t="shared" si="9"/>
        <v>1.0156685000000001</v>
      </c>
      <c r="N1070" s="68">
        <f t="shared" si="10"/>
        <v>1.0092000000000001</v>
      </c>
      <c r="O1070">
        <v>31.153387734884351</v>
      </c>
      <c r="P1070" s="55"/>
    </row>
    <row r="1071" spans="1:16" x14ac:dyDescent="0.2">
      <c r="A1071" s="7">
        <v>44050</v>
      </c>
      <c r="B1071">
        <v>1537394.9999999991</v>
      </c>
      <c r="C1071">
        <v>1539231.9999999991</v>
      </c>
      <c r="D1071">
        <v>1582706</v>
      </c>
      <c r="E1071" s="3">
        <f>VLOOKUP(A1071,[1]日报表!$AA:$AK,11,0)</f>
        <v>2.96</v>
      </c>
      <c r="F1071" s="9">
        <f t="shared" si="11"/>
        <v>1.0319615</v>
      </c>
      <c r="G1071" s="9">
        <f t="shared" si="3"/>
        <v>1.020538999999999</v>
      </c>
      <c r="H1071" s="9">
        <f t="shared" si="4"/>
        <v>1.0223759999999993</v>
      </c>
      <c r="I1071" s="9">
        <f t="shared" si="5"/>
        <v>1.0319615000000002</v>
      </c>
      <c r="J1071" s="9">
        <f t="shared" si="6"/>
        <v>1.0278805</v>
      </c>
      <c r="K1071" s="70">
        <f t="shared" si="7"/>
        <v>1.0222584999999991</v>
      </c>
      <c r="L1071" s="70">
        <f t="shared" si="8"/>
        <v>1.0240954999999992</v>
      </c>
      <c r="M1071" s="70">
        <f t="shared" si="9"/>
        <v>1.0336810000000001</v>
      </c>
      <c r="N1071" s="68">
        <f t="shared" si="10"/>
        <v>1.0295999999999998</v>
      </c>
      <c r="O1071">
        <v>30.321429448787381</v>
      </c>
      <c r="P1071" s="55"/>
    </row>
    <row r="1072" spans="1:16" x14ac:dyDescent="0.2">
      <c r="A1072" s="7">
        <v>44053</v>
      </c>
      <c r="B1072">
        <v>1558467.5</v>
      </c>
      <c r="C1072">
        <v>1565066.5</v>
      </c>
      <c r="D1072">
        <v>1593706.5</v>
      </c>
      <c r="E1072" s="3">
        <f>VLOOKUP(A1072,[1]日报表!$AA:$AK,11,0)</f>
        <v>4.24</v>
      </c>
      <c r="F1072" s="9">
        <f t="shared" si="11"/>
        <v>1.0429619999999999</v>
      </c>
      <c r="G1072" s="9">
        <f t="shared" si="3"/>
        <v>1.0416114999999999</v>
      </c>
      <c r="H1072" s="9">
        <f t="shared" si="4"/>
        <v>1.0482104999999999</v>
      </c>
      <c r="I1072" s="9">
        <f t="shared" si="5"/>
        <v>1.0429619999999999</v>
      </c>
      <c r="J1072" s="9">
        <f t="shared" si="6"/>
        <v>1.0406804999999999</v>
      </c>
      <c r="K1072" s="70">
        <f t="shared" si="7"/>
        <v>1.043331</v>
      </c>
      <c r="L1072" s="70">
        <f t="shared" si="8"/>
        <v>1.04993</v>
      </c>
      <c r="M1072" s="70">
        <f t="shared" si="9"/>
        <v>1.0446815</v>
      </c>
      <c r="N1072" s="68">
        <f t="shared" si="10"/>
        <v>1.0424</v>
      </c>
      <c r="O1072">
        <v>30.31127959436693</v>
      </c>
      <c r="P1072" s="55"/>
    </row>
    <row r="1073" spans="1:16" x14ac:dyDescent="0.2">
      <c r="A1073" s="7">
        <v>44054</v>
      </c>
      <c r="B1073">
        <v>1575267.5</v>
      </c>
      <c r="C1073">
        <v>1578311</v>
      </c>
      <c r="D1073">
        <v>1605644</v>
      </c>
      <c r="E1073" s="3">
        <f>VLOOKUP(A1073,[1]日报表!$AA:$AK,11,0)</f>
        <v>4.0999999999999996</v>
      </c>
      <c r="F1073" s="9">
        <f t="shared" si="11"/>
        <v>1.0548995000000001</v>
      </c>
      <c r="G1073" s="9">
        <f t="shared" si="3"/>
        <v>1.0584115000000001</v>
      </c>
      <c r="H1073" s="9">
        <f t="shared" si="4"/>
        <v>1.061455</v>
      </c>
      <c r="I1073" s="9">
        <f t="shared" si="5"/>
        <v>1.0548995000000001</v>
      </c>
      <c r="J1073" s="9">
        <f t="shared" si="6"/>
        <v>1.0392804999999998</v>
      </c>
      <c r="K1073" s="70">
        <f t="shared" si="7"/>
        <v>1.0601309999999999</v>
      </c>
      <c r="L1073" s="70">
        <f t="shared" si="8"/>
        <v>1.0631744999999999</v>
      </c>
      <c r="M1073" s="70">
        <f t="shared" si="9"/>
        <v>1.056619</v>
      </c>
      <c r="N1073" s="68">
        <f t="shared" si="10"/>
        <v>1.0409999999999999</v>
      </c>
      <c r="O1073">
        <v>29.357079437008409</v>
      </c>
      <c r="P1073" s="55"/>
    </row>
    <row r="1074" spans="1:16" x14ac:dyDescent="0.2">
      <c r="A1074" s="7">
        <v>44055</v>
      </c>
      <c r="B1074">
        <v>1574178</v>
      </c>
      <c r="C1074">
        <v>1586779</v>
      </c>
      <c r="D1074">
        <v>1619933</v>
      </c>
      <c r="E1074" s="3">
        <f>VLOOKUP(A1074,[1]日报表!$AA:$AK,11,0)</f>
        <v>5.51</v>
      </c>
      <c r="F1074" s="9">
        <f t="shared" si="11"/>
        <v>1.0691885000000001</v>
      </c>
      <c r="G1074" s="9">
        <f t="shared" si="3"/>
        <v>1.0573220000000001</v>
      </c>
      <c r="H1074" s="9">
        <f t="shared" si="4"/>
        <v>1.069923</v>
      </c>
      <c r="I1074" s="9">
        <f t="shared" si="5"/>
        <v>1.0691885000000001</v>
      </c>
      <c r="J1074" s="9">
        <f t="shared" si="6"/>
        <v>1.0533805000000003</v>
      </c>
      <c r="K1074" s="70">
        <f t="shared" si="7"/>
        <v>1.0590415</v>
      </c>
      <c r="L1074" s="70">
        <f t="shared" si="8"/>
        <v>1.0716425000000001</v>
      </c>
      <c r="M1074" s="70">
        <f t="shared" si="9"/>
        <v>1.070908</v>
      </c>
      <c r="N1074" s="68">
        <f t="shared" si="10"/>
        <v>1.0551000000000001</v>
      </c>
      <c r="O1074">
        <v>28.993471655073009</v>
      </c>
      <c r="P1074" s="55"/>
    </row>
    <row r="1075" spans="1:16" x14ac:dyDescent="0.2">
      <c r="A1075" s="7">
        <v>44056</v>
      </c>
      <c r="B1075">
        <v>1587527.9999999991</v>
      </c>
      <c r="C1075">
        <v>1597880.5</v>
      </c>
      <c r="D1075">
        <v>1624724</v>
      </c>
      <c r="E1075" s="3">
        <f>VLOOKUP(A1075,[1]日报表!$AA:$AK,11,0)</f>
        <v>6.09</v>
      </c>
      <c r="F1075" s="9">
        <f t="shared" si="11"/>
        <v>1.0739795000000001</v>
      </c>
      <c r="G1075" s="9">
        <f t="shared" si="3"/>
        <v>1.070671999999999</v>
      </c>
      <c r="H1075" s="9">
        <f t="shared" si="4"/>
        <v>1.0810245000000001</v>
      </c>
      <c r="I1075" s="9">
        <f t="shared" si="5"/>
        <v>1.0739795000000001</v>
      </c>
      <c r="J1075" s="9">
        <f t="shared" si="6"/>
        <v>1.0591805000000001</v>
      </c>
      <c r="K1075" s="70">
        <f t="shared" si="7"/>
        <v>1.0723914999999991</v>
      </c>
      <c r="L1075" s="70">
        <f t="shared" si="8"/>
        <v>1.0827439999999999</v>
      </c>
      <c r="M1075" s="70">
        <f t="shared" si="9"/>
        <v>1.075699</v>
      </c>
      <c r="N1075" s="68">
        <f t="shared" ref="N1075:N1079" si="12">(100+E1075)/100</f>
        <v>1.0609</v>
      </c>
      <c r="O1075">
        <v>28.524625856667789</v>
      </c>
      <c r="P1075" s="55"/>
    </row>
    <row r="1076" spans="1:16" x14ac:dyDescent="0.2">
      <c r="A1076" s="7">
        <v>44057</v>
      </c>
      <c r="B1076">
        <v>1595866.4999999991</v>
      </c>
      <c r="C1076">
        <v>1602889</v>
      </c>
      <c r="D1076">
        <v>1624183</v>
      </c>
      <c r="E1076" s="3">
        <f>VLOOKUP(A1076,[1]日报表!$AA:$AK,11,0)</f>
        <v>6.33</v>
      </c>
      <c r="F1076" s="9">
        <f t="shared" si="11"/>
        <v>1.0734385</v>
      </c>
      <c r="G1076" s="9">
        <f t="shared" si="3"/>
        <v>1.079010499999999</v>
      </c>
      <c r="H1076" s="9">
        <f t="shared" si="4"/>
        <v>1.086033</v>
      </c>
      <c r="I1076" s="9">
        <f t="shared" si="5"/>
        <v>1.0734385</v>
      </c>
      <c r="J1076" s="9">
        <f t="shared" si="6"/>
        <v>1.0615805</v>
      </c>
      <c r="K1076" s="70">
        <f t="shared" si="7"/>
        <v>1.0807299999999991</v>
      </c>
      <c r="L1076" s="70">
        <f t="shared" si="8"/>
        <v>1.0877524999999999</v>
      </c>
      <c r="M1076" s="70">
        <f t="shared" si="9"/>
        <v>1.0751580000000001</v>
      </c>
      <c r="N1076" s="68">
        <f t="shared" si="12"/>
        <v>1.0632999999999999</v>
      </c>
      <c r="O1076">
        <v>27.903451340814541</v>
      </c>
      <c r="P1076" s="55"/>
    </row>
    <row r="1077" spans="1:16" x14ac:dyDescent="0.2">
      <c r="A1077" s="7">
        <v>44060</v>
      </c>
      <c r="B1077">
        <v>1562949.4999999991</v>
      </c>
      <c r="C1077">
        <v>1580389</v>
      </c>
      <c r="D1077">
        <v>1609860.5</v>
      </c>
      <c r="E1077" s="3">
        <f>VLOOKUP(A1077,[1]日报表!$AA:$AK,11,0)</f>
        <v>3.83</v>
      </c>
      <c r="F1077" s="9">
        <f t="shared" si="11"/>
        <v>1.0591159999999999</v>
      </c>
      <c r="G1077" s="9">
        <f t="shared" si="3"/>
        <v>1.0460934999999989</v>
      </c>
      <c r="H1077" s="9">
        <f t="shared" si="4"/>
        <v>1.0635330000000001</v>
      </c>
      <c r="I1077" s="9">
        <f t="shared" si="5"/>
        <v>1.0591159999999999</v>
      </c>
      <c r="J1077" s="9">
        <f t="shared" si="6"/>
        <v>1.0365804999999999</v>
      </c>
      <c r="K1077" s="70">
        <f t="shared" si="7"/>
        <v>1.047812999999999</v>
      </c>
      <c r="L1077" s="70">
        <f t="shared" si="8"/>
        <v>1.0652524999999999</v>
      </c>
      <c r="M1077" s="70">
        <f t="shared" si="9"/>
        <v>1.0608355</v>
      </c>
      <c r="N1077" s="68">
        <f t="shared" si="12"/>
        <v>1.0383</v>
      </c>
      <c r="O1077">
        <v>30.740652026772249</v>
      </c>
      <c r="P1077" s="55"/>
    </row>
    <row r="1078" spans="1:16" x14ac:dyDescent="0.2">
      <c r="A1078" s="7">
        <v>44061</v>
      </c>
      <c r="B1078">
        <v>1568395.9999999991</v>
      </c>
      <c r="C1078">
        <v>1586323</v>
      </c>
      <c r="D1078">
        <v>1619535.5</v>
      </c>
      <c r="E1078" s="3">
        <f>VLOOKUP(A1078,[1]日报表!$AA:$AK,11,0)</f>
        <v>4.7699999999999996</v>
      </c>
      <c r="F1078" s="9">
        <f t="shared" si="11"/>
        <v>1.068791</v>
      </c>
      <c r="G1078" s="9">
        <f t="shared" si="3"/>
        <v>1.051539999999999</v>
      </c>
      <c r="H1078" s="9">
        <f t="shared" si="4"/>
        <v>1.0694669999999999</v>
      </c>
      <c r="I1078" s="9">
        <f t="shared" si="5"/>
        <v>1.068791</v>
      </c>
      <c r="J1078" s="9">
        <f t="shared" si="6"/>
        <v>1.0459805</v>
      </c>
      <c r="K1078" s="70">
        <f t="shared" si="7"/>
        <v>1.0532594999999991</v>
      </c>
      <c r="L1078" s="70">
        <f t="shared" si="8"/>
        <v>1.0711865</v>
      </c>
      <c r="M1078" s="70">
        <f t="shared" si="9"/>
        <v>1.0705104999999999</v>
      </c>
      <c r="N1078" s="68">
        <f t="shared" si="12"/>
        <v>1.0476999999999999</v>
      </c>
      <c r="O1078">
        <v>30.451447740425781</v>
      </c>
      <c r="P1078" s="55"/>
    </row>
    <row r="1079" spans="1:16" x14ac:dyDescent="0.2">
      <c r="A1079" s="7">
        <v>44062</v>
      </c>
      <c r="B1079">
        <v>1574275.4999999991</v>
      </c>
      <c r="C1079">
        <v>1595001</v>
      </c>
      <c r="D1079">
        <v>1623701.5</v>
      </c>
      <c r="E1079" s="3">
        <f>VLOOKUP(A1079,[1]日报表!$AA:$AK,11,0)</f>
        <v>5.66</v>
      </c>
      <c r="F1079" s="9">
        <f t="shared" si="11"/>
        <v>1.0729569999999999</v>
      </c>
      <c r="G1079" s="9">
        <f t="shared" si="3"/>
        <v>1.0574194999999991</v>
      </c>
      <c r="H1079" s="9">
        <f t="shared" si="4"/>
        <v>1.0781449999999999</v>
      </c>
      <c r="I1079" s="9">
        <f t="shared" si="5"/>
        <v>1.0729569999999999</v>
      </c>
      <c r="J1079" s="9">
        <f t="shared" si="6"/>
        <v>1.0548805000000001</v>
      </c>
      <c r="K1079" s="70">
        <f t="shared" si="7"/>
        <v>1.0591389999999992</v>
      </c>
      <c r="L1079" s="70">
        <f t="shared" si="8"/>
        <v>1.0798645</v>
      </c>
      <c r="M1079" s="70">
        <f t="shared" si="9"/>
        <v>1.0746765</v>
      </c>
      <c r="N1079" s="68">
        <f t="shared" si="12"/>
        <v>1.0566</v>
      </c>
      <c r="O1079">
        <v>31.78520312720358</v>
      </c>
      <c r="P1079" s="55"/>
    </row>
    <row r="1080" spans="1:16" x14ac:dyDescent="0.2">
      <c r="A1080" s="7">
        <v>44063</v>
      </c>
      <c r="B1080">
        <v>1573097.9999999991</v>
      </c>
      <c r="C1080">
        <v>1596286.9999999991</v>
      </c>
      <c r="D1080">
        <v>1630859.5</v>
      </c>
      <c r="E1080" s="3">
        <v>6.39</v>
      </c>
      <c r="F1080" s="9">
        <f t="shared" si="11"/>
        <v>1.0801149999999999</v>
      </c>
      <c r="G1080" s="9">
        <f t="shared" ref="G1080:G1111" si="13">(K1080*1000000+($D$1048-$D$928))/1000000</f>
        <v>1.056241999999999</v>
      </c>
      <c r="H1080" s="9">
        <f t="shared" ref="H1080:H1111" si="14">(L1080*1000000+($D$1048-$D$928))/1000000</f>
        <v>1.0794309999999991</v>
      </c>
      <c r="I1080" s="9">
        <f t="shared" ref="I1080:I1111" si="15">(M1080*1000000+($D$1048-$D$928))/1000000</f>
        <v>1.0801149999999999</v>
      </c>
      <c r="J1080" s="9">
        <f t="shared" ref="J1080:J1111" si="16">(N1080*1000000+($D$1048-$D$928))/1000000</f>
        <v>1.0621805</v>
      </c>
      <c r="K1080" s="70">
        <f t="shared" si="7"/>
        <v>1.0579614999999991</v>
      </c>
      <c r="L1080" s="70">
        <f t="shared" si="8"/>
        <v>1.081150499999999</v>
      </c>
      <c r="M1080" s="70">
        <f t="shared" si="9"/>
        <v>1.0818345</v>
      </c>
      <c r="N1080" s="68">
        <f t="shared" ref="N1080:N1083" si="17">(100+E1080)/100</f>
        <v>1.0639000000000001</v>
      </c>
      <c r="O1080">
        <v>30.70781367897154</v>
      </c>
      <c r="P1080" s="55"/>
    </row>
    <row r="1081" spans="1:16" x14ac:dyDescent="0.2">
      <c r="A1081" s="7">
        <v>44064</v>
      </c>
      <c r="B1081">
        <v>1582235.4999999991</v>
      </c>
      <c r="C1081">
        <v>1601374.5</v>
      </c>
      <c r="D1081">
        <v>1632043</v>
      </c>
      <c r="E1081" s="3">
        <v>6.49</v>
      </c>
      <c r="F1081" s="9">
        <f t="shared" si="11"/>
        <v>1.0812984999999999</v>
      </c>
      <c r="G1081" s="9">
        <f t="shared" si="13"/>
        <v>1.065379499999999</v>
      </c>
      <c r="H1081" s="9">
        <f t="shared" si="14"/>
        <v>1.0845184999999999</v>
      </c>
      <c r="I1081" s="9">
        <f t="shared" si="15"/>
        <v>1.0812984999999999</v>
      </c>
      <c r="J1081" s="9">
        <f t="shared" si="16"/>
        <v>1.0631805000000001</v>
      </c>
      <c r="K1081" s="70">
        <f t="shared" ref="K1081:K1112" si="18">(B1081-B$1048+1000000)/1000000</f>
        <v>1.0670989999999991</v>
      </c>
      <c r="L1081" s="70">
        <f t="shared" ref="L1081:L1112" si="19">(C1081-C$1048+1000000)/1000000</f>
        <v>1.086238</v>
      </c>
      <c r="M1081" s="70">
        <f t="shared" ref="M1081:M1112" si="20">(D1081-D$1048+1000000)/1000000</f>
        <v>1.083018</v>
      </c>
      <c r="N1081" s="68">
        <f t="shared" si="17"/>
        <v>1.0649</v>
      </c>
      <c r="O1081">
        <v>30.120294152285538</v>
      </c>
      <c r="P1081" s="55"/>
    </row>
    <row r="1082" spans="1:16" x14ac:dyDescent="0.2">
      <c r="A1082" s="7">
        <v>44067</v>
      </c>
      <c r="B1082">
        <v>1585904.9999999991</v>
      </c>
      <c r="C1082">
        <v>1612721.4999999991</v>
      </c>
      <c r="D1082">
        <v>1647189.5</v>
      </c>
      <c r="E1082">
        <v>7.93</v>
      </c>
      <c r="F1082" s="9">
        <f t="shared" si="11"/>
        <v>1.0964449999999999</v>
      </c>
      <c r="G1082" s="9">
        <f t="shared" si="13"/>
        <v>1.069048999999999</v>
      </c>
      <c r="H1082" s="9">
        <f t="shared" si="14"/>
        <v>1.095865499999999</v>
      </c>
      <c r="I1082" s="9">
        <f t="shared" si="15"/>
        <v>1.0964449999999999</v>
      </c>
      <c r="J1082" s="9">
        <f t="shared" si="16"/>
        <v>1.0775805000000003</v>
      </c>
      <c r="K1082" s="70">
        <f t="shared" si="18"/>
        <v>1.0707684999999991</v>
      </c>
      <c r="L1082" s="70">
        <f t="shared" si="19"/>
        <v>1.0975849999999991</v>
      </c>
      <c r="M1082" s="70">
        <f t="shared" si="20"/>
        <v>1.0981645</v>
      </c>
      <c r="N1082" s="68">
        <f t="shared" si="17"/>
        <v>1.0793000000000001</v>
      </c>
      <c r="O1082">
        <v>27.900487215006571</v>
      </c>
      <c r="P1082" s="55"/>
    </row>
    <row r="1083" spans="1:16" x14ac:dyDescent="0.2">
      <c r="A1083" s="7">
        <v>44068</v>
      </c>
      <c r="B1083">
        <v>1596398.9999999991</v>
      </c>
      <c r="C1083">
        <v>1621142.4999999991</v>
      </c>
      <c r="D1083">
        <v>1653104</v>
      </c>
      <c r="E1083">
        <v>8.56</v>
      </c>
      <c r="F1083" s="9">
        <f t="shared" si="11"/>
        <v>1.1023594999999999</v>
      </c>
      <c r="G1083" s="9">
        <f t="shared" si="13"/>
        <v>1.079542999999999</v>
      </c>
      <c r="H1083" s="9">
        <f t="shared" si="14"/>
        <v>1.1042864999999991</v>
      </c>
      <c r="I1083" s="9">
        <f t="shared" si="15"/>
        <v>1.1023594999999999</v>
      </c>
      <c r="J1083" s="9">
        <f t="shared" si="16"/>
        <v>1.0838805000000002</v>
      </c>
      <c r="K1083" s="70">
        <f t="shared" si="18"/>
        <v>1.0812624999999991</v>
      </c>
      <c r="L1083" s="70">
        <f t="shared" si="19"/>
        <v>1.1060059999999992</v>
      </c>
      <c r="M1083" s="70">
        <f t="shared" si="20"/>
        <v>1.104079</v>
      </c>
      <c r="N1083" s="68">
        <f t="shared" si="17"/>
        <v>1.0856000000000001</v>
      </c>
      <c r="O1083">
        <v>27.27812816770416</v>
      </c>
      <c r="P1083" s="55"/>
    </row>
    <row r="1084" spans="1:16" x14ac:dyDescent="0.2">
      <c r="A1084" s="7">
        <v>44069</v>
      </c>
      <c r="B1084">
        <v>1593654</v>
      </c>
      <c r="C1084">
        <v>1618813.9999999991</v>
      </c>
      <c r="D1084">
        <v>1649346</v>
      </c>
      <c r="E1084">
        <v>8.4</v>
      </c>
      <c r="F1084" s="9">
        <f t="shared" si="11"/>
        <v>1.0986015</v>
      </c>
      <c r="G1084" s="9">
        <f t="shared" si="13"/>
        <v>1.0767979999999999</v>
      </c>
      <c r="H1084" s="9">
        <f t="shared" si="14"/>
        <v>1.1019579999999991</v>
      </c>
      <c r="I1084" s="9">
        <f t="shared" si="15"/>
        <v>1.0986015</v>
      </c>
      <c r="J1084" s="9">
        <f t="shared" si="16"/>
        <v>1.0822805</v>
      </c>
      <c r="K1084" s="70">
        <f t="shared" si="18"/>
        <v>1.0785175</v>
      </c>
      <c r="L1084" s="70">
        <f t="shared" si="19"/>
        <v>1.103677499999999</v>
      </c>
      <c r="M1084" s="70">
        <f t="shared" si="20"/>
        <v>1.1003210000000001</v>
      </c>
      <c r="N1084" s="68">
        <f>(100+E1084)/100</f>
        <v>1.0840000000000001</v>
      </c>
      <c r="O1084">
        <v>28.27729594331225</v>
      </c>
      <c r="P1084" s="55"/>
    </row>
    <row r="1085" spans="1:16" x14ac:dyDescent="0.2">
      <c r="A1085" s="7">
        <v>44070</v>
      </c>
      <c r="B1085">
        <v>1601124.4999999991</v>
      </c>
      <c r="C1085">
        <v>1627719.5</v>
      </c>
      <c r="D1085">
        <v>1659649.5</v>
      </c>
      <c r="E1085" s="3">
        <v>9.49</v>
      </c>
      <c r="F1085" s="9">
        <f t="shared" si="11"/>
        <v>1.108905</v>
      </c>
      <c r="G1085" s="9">
        <f t="shared" si="13"/>
        <v>1.084268499999999</v>
      </c>
      <c r="H1085" s="9">
        <f t="shared" si="14"/>
        <v>1.1108635</v>
      </c>
      <c r="I1085" s="9">
        <f t="shared" si="15"/>
        <v>1.108905</v>
      </c>
      <c r="J1085" s="9">
        <f t="shared" si="16"/>
        <v>1.0931805000000001</v>
      </c>
      <c r="K1085" s="70">
        <f t="shared" si="18"/>
        <v>1.0859879999999991</v>
      </c>
      <c r="L1085" s="70">
        <f t="shared" si="19"/>
        <v>1.1125830000000001</v>
      </c>
      <c r="M1085" s="70">
        <f t="shared" si="20"/>
        <v>1.1106244999999999</v>
      </c>
      <c r="N1085" s="68">
        <f t="shared" ref="N1085:N1089" si="21">(100+E1085)/100</f>
        <v>1.0949</v>
      </c>
      <c r="O1085">
        <v>26.13749480178636</v>
      </c>
      <c r="P1085" s="55"/>
    </row>
    <row r="1086" spans="1:16" x14ac:dyDescent="0.2">
      <c r="A1086" s="7">
        <v>44071</v>
      </c>
      <c r="B1086">
        <v>1580995.4999999991</v>
      </c>
      <c r="C1086">
        <v>1607673.4999999991</v>
      </c>
      <c r="D1086">
        <v>1642872</v>
      </c>
      <c r="E1086" s="3">
        <v>7.65</v>
      </c>
      <c r="F1086" s="9">
        <f t="shared" si="11"/>
        <v>1.0921274999999999</v>
      </c>
      <c r="G1086" s="9">
        <f t="shared" si="13"/>
        <v>1.0641394999999991</v>
      </c>
      <c r="H1086" s="9">
        <f t="shared" si="14"/>
        <v>1.0908174999999991</v>
      </c>
      <c r="I1086" s="9">
        <f t="shared" si="15"/>
        <v>1.0921274999999999</v>
      </c>
      <c r="J1086" s="9">
        <f t="shared" si="16"/>
        <v>1.0747804999999999</v>
      </c>
      <c r="K1086" s="70">
        <f t="shared" si="18"/>
        <v>1.065858999999999</v>
      </c>
      <c r="L1086" s="70">
        <f t="shared" si="19"/>
        <v>1.092536999999999</v>
      </c>
      <c r="M1086" s="70">
        <f t="shared" si="20"/>
        <v>1.093847</v>
      </c>
      <c r="N1086" s="68">
        <f t="shared" si="21"/>
        <v>1.0765</v>
      </c>
      <c r="O1086">
        <v>26.58042458279774</v>
      </c>
      <c r="P1086" s="55"/>
    </row>
    <row r="1087" spans="1:16" x14ac:dyDescent="0.2">
      <c r="A1087" s="7">
        <v>44074</v>
      </c>
      <c r="B1087">
        <v>1585362.4999999991</v>
      </c>
      <c r="C1087">
        <v>1614098.9999999991</v>
      </c>
      <c r="D1087">
        <v>1645181.5</v>
      </c>
      <c r="E1087" s="3">
        <v>8.0299999999999994</v>
      </c>
      <c r="F1087" s="9">
        <f t="shared" si="11"/>
        <v>1.0944370000000001</v>
      </c>
      <c r="G1087" s="9">
        <f t="shared" si="13"/>
        <v>1.0685064999999991</v>
      </c>
      <c r="H1087" s="9">
        <f t="shared" si="14"/>
        <v>1.0972429999999991</v>
      </c>
      <c r="I1087" s="9">
        <f t="shared" si="15"/>
        <v>1.0944370000000001</v>
      </c>
      <c r="J1087" s="9">
        <f t="shared" si="16"/>
        <v>1.0785804999999999</v>
      </c>
      <c r="K1087" s="70">
        <f t="shared" si="18"/>
        <v>1.070225999999999</v>
      </c>
      <c r="L1087" s="70">
        <f t="shared" si="19"/>
        <v>1.0989624999999992</v>
      </c>
      <c r="M1087" s="70">
        <f t="shared" si="20"/>
        <v>1.0961565</v>
      </c>
      <c r="N1087" s="68">
        <f t="shared" si="21"/>
        <v>1.0803</v>
      </c>
      <c r="O1087">
        <v>26.286731019330119</v>
      </c>
      <c r="P1087" s="55"/>
    </row>
    <row r="1088" spans="1:16" x14ac:dyDescent="0.2">
      <c r="A1088" s="7">
        <v>44075</v>
      </c>
      <c r="B1088">
        <v>1591162.9999999991</v>
      </c>
      <c r="C1088">
        <v>1620943.9999999991</v>
      </c>
      <c r="D1088">
        <v>1651059.5</v>
      </c>
      <c r="E1088" s="3">
        <v>8.8000000000000007</v>
      </c>
      <c r="F1088" s="9">
        <f t="shared" si="11"/>
        <v>1.1003149999999999</v>
      </c>
      <c r="G1088" s="9">
        <f t="shared" si="13"/>
        <v>1.074306999999999</v>
      </c>
      <c r="H1088" s="9">
        <f t="shared" si="14"/>
        <v>1.1040879999999991</v>
      </c>
      <c r="I1088" s="9">
        <f t="shared" si="15"/>
        <v>1.1003149999999999</v>
      </c>
      <c r="J1088" s="9">
        <f t="shared" si="16"/>
        <v>1.0862805</v>
      </c>
      <c r="K1088" s="70">
        <f t="shared" si="18"/>
        <v>1.0760264999999991</v>
      </c>
      <c r="L1088" s="70">
        <f t="shared" si="19"/>
        <v>1.1058074999999992</v>
      </c>
      <c r="M1088" s="70">
        <f t="shared" si="20"/>
        <v>1.1020345</v>
      </c>
      <c r="N1088" s="68">
        <f t="shared" si="21"/>
        <v>1.0880000000000001</v>
      </c>
      <c r="O1088">
        <v>26.179275826559891</v>
      </c>
      <c r="P1088" s="55"/>
    </row>
    <row r="1089" spans="1:15" x14ac:dyDescent="0.2">
      <c r="A1089" s="7">
        <v>44076</v>
      </c>
      <c r="B1089">
        <v>1589822.9999999991</v>
      </c>
      <c r="C1089">
        <v>1618521.9999999991</v>
      </c>
      <c r="D1089">
        <v>1648282</v>
      </c>
      <c r="E1089" s="3">
        <v>8.64</v>
      </c>
      <c r="F1089" s="9">
        <f t="shared" si="11"/>
        <v>1.0975375000000001</v>
      </c>
      <c r="G1089" s="9">
        <f t="shared" si="13"/>
        <v>1.0729669999999991</v>
      </c>
      <c r="H1089" s="9">
        <f t="shared" si="14"/>
        <v>1.1016659999999991</v>
      </c>
      <c r="I1089" s="9">
        <f t="shared" si="15"/>
        <v>1.0975375000000001</v>
      </c>
      <c r="J1089" s="9">
        <f t="shared" si="16"/>
        <v>1.0846804999999999</v>
      </c>
      <c r="K1089" s="70">
        <f t="shared" si="18"/>
        <v>1.074686499999999</v>
      </c>
      <c r="L1089" s="70">
        <f t="shared" si="19"/>
        <v>1.103385499999999</v>
      </c>
      <c r="M1089" s="70">
        <f t="shared" si="20"/>
        <v>1.0992569999999999</v>
      </c>
      <c r="N1089" s="68">
        <f t="shared" si="21"/>
        <v>1.0864</v>
      </c>
      <c r="O1089">
        <v>26.616189754321528</v>
      </c>
    </row>
    <row r="1090" spans="1:15" x14ac:dyDescent="0.2">
      <c r="A1090" s="7">
        <v>44077</v>
      </c>
      <c r="B1090">
        <v>1591745.4999999991</v>
      </c>
      <c r="C1090">
        <v>1617701.9999999991</v>
      </c>
      <c r="D1090">
        <v>1654524.5</v>
      </c>
      <c r="E1090" s="3">
        <v>9.26</v>
      </c>
      <c r="F1090" s="9">
        <f t="shared" si="11"/>
        <v>1.10378</v>
      </c>
      <c r="G1090" s="9">
        <f t="shared" si="13"/>
        <v>1.0748894999999992</v>
      </c>
      <c r="H1090" s="9">
        <f t="shared" si="14"/>
        <v>1.1008459999999991</v>
      </c>
      <c r="I1090" s="9">
        <f t="shared" si="15"/>
        <v>1.10378</v>
      </c>
      <c r="J1090" s="9">
        <f t="shared" si="16"/>
        <v>1.0908804999999999</v>
      </c>
      <c r="K1090" s="70">
        <f t="shared" si="18"/>
        <v>1.076608999999999</v>
      </c>
      <c r="L1090" s="70">
        <f t="shared" si="19"/>
        <v>1.102565499999999</v>
      </c>
      <c r="M1090" s="70">
        <f t="shared" si="20"/>
        <v>1.1054995000000001</v>
      </c>
      <c r="N1090" s="68">
        <f t="shared" ref="N1090:N1094" si="22">(100+E1090)/100</f>
        <v>1.0926</v>
      </c>
      <c r="O1090">
        <v>26.708026147688742</v>
      </c>
    </row>
    <row r="1091" spans="1:15" x14ac:dyDescent="0.2">
      <c r="A1091" s="7">
        <v>44078</v>
      </c>
      <c r="B1091">
        <v>1589477.9999999991</v>
      </c>
      <c r="C1091">
        <v>1623880.4999999991</v>
      </c>
      <c r="D1091">
        <v>1654611</v>
      </c>
      <c r="E1091" s="3">
        <v>9.6199999999999992</v>
      </c>
      <c r="F1091" s="9">
        <f t="shared" si="11"/>
        <v>1.1038665000000001</v>
      </c>
      <c r="G1091" s="9">
        <f t="shared" si="13"/>
        <v>1.0726219999999991</v>
      </c>
      <c r="H1091" s="9">
        <f t="shared" si="14"/>
        <v>1.107024499999999</v>
      </c>
      <c r="I1091" s="9">
        <f t="shared" si="15"/>
        <v>1.1038665000000001</v>
      </c>
      <c r="J1091" s="9">
        <f t="shared" si="16"/>
        <v>1.0944805</v>
      </c>
      <c r="K1091" s="70">
        <f t="shared" si="18"/>
        <v>1.0743414999999992</v>
      </c>
      <c r="L1091" s="70">
        <f t="shared" si="19"/>
        <v>1.1087439999999991</v>
      </c>
      <c r="M1091" s="70">
        <f t="shared" si="20"/>
        <v>1.105586</v>
      </c>
      <c r="N1091" s="68">
        <f t="shared" si="22"/>
        <v>1.0962000000000001</v>
      </c>
      <c r="O1091">
        <v>26.571577977295512</v>
      </c>
    </row>
    <row r="1092" spans="1:15" x14ac:dyDescent="0.2">
      <c r="A1092" s="7">
        <v>44081</v>
      </c>
      <c r="B1092">
        <v>1598459.9999999991</v>
      </c>
      <c r="C1092">
        <v>1626063.4999999991</v>
      </c>
      <c r="D1092">
        <v>1657311</v>
      </c>
      <c r="E1092" s="3">
        <v>10.19</v>
      </c>
      <c r="F1092" s="9">
        <f t="shared" si="11"/>
        <v>1.1065665</v>
      </c>
      <c r="G1092" s="9">
        <f t="shared" si="13"/>
        <v>1.0816039999999991</v>
      </c>
      <c r="H1092" s="9">
        <f t="shared" si="14"/>
        <v>1.109207499999999</v>
      </c>
      <c r="I1092" s="9">
        <f t="shared" si="15"/>
        <v>1.1065665</v>
      </c>
      <c r="J1092" s="9">
        <f t="shared" si="16"/>
        <v>1.1001804999999998</v>
      </c>
      <c r="K1092" s="70">
        <f t="shared" si="18"/>
        <v>1.083323499999999</v>
      </c>
      <c r="L1092" s="70">
        <f t="shared" si="19"/>
        <v>1.1109269999999991</v>
      </c>
      <c r="M1092" s="70">
        <f t="shared" si="20"/>
        <v>1.1082860000000001</v>
      </c>
      <c r="N1092" s="68">
        <f t="shared" si="22"/>
        <v>1.1018999999999999</v>
      </c>
      <c r="O1092">
        <v>26.90666241482057</v>
      </c>
    </row>
    <row r="1093" spans="1:15" x14ac:dyDescent="0.2">
      <c r="A1093" s="7">
        <v>44082</v>
      </c>
      <c r="B1093">
        <v>1607802.4999999991</v>
      </c>
      <c r="C1093">
        <v>1631898.4999999991</v>
      </c>
      <c r="D1093">
        <v>1656596</v>
      </c>
      <c r="E1093" s="3">
        <v>10.42</v>
      </c>
      <c r="F1093" s="9">
        <f t="shared" si="11"/>
        <v>1.1058515</v>
      </c>
      <c r="G1093" s="9">
        <f t="shared" si="13"/>
        <v>1.0909464999999992</v>
      </c>
      <c r="H1093" s="9">
        <f t="shared" si="14"/>
        <v>1.115042499999999</v>
      </c>
      <c r="I1093" s="9">
        <f t="shared" si="15"/>
        <v>1.1058515</v>
      </c>
      <c r="J1093" s="9">
        <f t="shared" si="16"/>
        <v>1.1024805</v>
      </c>
      <c r="K1093" s="70">
        <f t="shared" si="18"/>
        <v>1.092665999999999</v>
      </c>
      <c r="L1093" s="70">
        <f t="shared" si="19"/>
        <v>1.1167619999999991</v>
      </c>
      <c r="M1093" s="70">
        <f t="shared" si="20"/>
        <v>1.1075710000000001</v>
      </c>
      <c r="N1093" s="68">
        <f t="shared" si="22"/>
        <v>1.1042000000000001</v>
      </c>
      <c r="O1093">
        <v>26.27400425823518</v>
      </c>
    </row>
    <row r="1094" spans="1:15" x14ac:dyDescent="0.2">
      <c r="A1094" s="7">
        <v>44083</v>
      </c>
      <c r="B1094">
        <v>1607062.9999999991</v>
      </c>
      <c r="C1094">
        <v>1628374.9999999991</v>
      </c>
      <c r="D1094">
        <v>1647998.5</v>
      </c>
      <c r="E1094" s="3">
        <v>9.56</v>
      </c>
      <c r="F1094" s="9">
        <f t="shared" si="11"/>
        <v>1.097254</v>
      </c>
      <c r="G1094" s="9">
        <f t="shared" si="13"/>
        <v>1.090206999999999</v>
      </c>
      <c r="H1094" s="9">
        <f t="shared" si="14"/>
        <v>1.111518999999999</v>
      </c>
      <c r="I1094" s="9">
        <f t="shared" si="15"/>
        <v>1.097254</v>
      </c>
      <c r="J1094" s="9">
        <f t="shared" si="16"/>
        <v>1.0938805000000003</v>
      </c>
      <c r="K1094" s="70">
        <f t="shared" si="18"/>
        <v>1.0919264999999991</v>
      </c>
      <c r="L1094" s="70">
        <f t="shared" si="19"/>
        <v>1.1132384999999991</v>
      </c>
      <c r="M1094" s="70">
        <f t="shared" si="20"/>
        <v>1.0989735</v>
      </c>
      <c r="N1094" s="68">
        <f t="shared" si="22"/>
        <v>1.0956000000000001</v>
      </c>
      <c r="O1094">
        <v>27.04889536677468</v>
      </c>
    </row>
    <row r="1095" spans="1:15" x14ac:dyDescent="0.2">
      <c r="A1095" s="7">
        <v>44084</v>
      </c>
      <c r="B1095">
        <v>1616119.9999999991</v>
      </c>
      <c r="C1095">
        <v>1638949.9999999991</v>
      </c>
      <c r="D1095">
        <v>1658901.5</v>
      </c>
      <c r="E1095" s="5">
        <v>10.7</v>
      </c>
      <c r="F1095" s="9">
        <f t="shared" si="11"/>
        <v>1.1081570000000001</v>
      </c>
      <c r="G1095" s="9">
        <f t="shared" si="13"/>
        <v>1.0992639999999991</v>
      </c>
      <c r="H1095" s="9">
        <f t="shared" si="14"/>
        <v>1.122093999999999</v>
      </c>
      <c r="I1095" s="9">
        <f t="shared" si="15"/>
        <v>1.1081570000000001</v>
      </c>
      <c r="J1095" s="9">
        <f t="shared" si="16"/>
        <v>1.1052805000000001</v>
      </c>
      <c r="K1095" s="70">
        <f t="shared" si="18"/>
        <v>1.100983499999999</v>
      </c>
      <c r="L1095" s="70">
        <f t="shared" si="19"/>
        <v>1.1238134999999991</v>
      </c>
      <c r="M1095" s="70">
        <f t="shared" si="20"/>
        <v>1.1098764999999999</v>
      </c>
      <c r="N1095" s="68">
        <f t="shared" ref="N1095:N1099" si="23">(100+E1095)/100</f>
        <v>1.107</v>
      </c>
      <c r="O1095">
        <v>25.34117721449897</v>
      </c>
    </row>
    <row r="1096" spans="1:15" x14ac:dyDescent="0.2">
      <c r="A1096" s="7">
        <v>44085</v>
      </c>
      <c r="B1096">
        <v>1625814.9999999991</v>
      </c>
      <c r="C1096">
        <v>1647941.9999999991</v>
      </c>
      <c r="D1096">
        <v>1667661.5</v>
      </c>
      <c r="E1096" s="5">
        <v>11.58</v>
      </c>
      <c r="F1096" s="9">
        <f t="shared" si="11"/>
        <v>1.1169169999999999</v>
      </c>
      <c r="G1096" s="9">
        <f t="shared" si="13"/>
        <v>1.1089589999999991</v>
      </c>
      <c r="H1096" s="9">
        <f t="shared" si="14"/>
        <v>1.1310859999999991</v>
      </c>
      <c r="I1096" s="9">
        <f t="shared" si="15"/>
        <v>1.1169169999999999</v>
      </c>
      <c r="J1096" s="9">
        <f t="shared" si="16"/>
        <v>1.1140805</v>
      </c>
      <c r="K1096" s="70">
        <f t="shared" si="18"/>
        <v>1.110678499999999</v>
      </c>
      <c r="L1096" s="70">
        <f t="shared" si="19"/>
        <v>1.132805499999999</v>
      </c>
      <c r="M1096" s="70">
        <f t="shared" si="20"/>
        <v>1.1186365</v>
      </c>
      <c r="N1096" s="68">
        <f t="shared" si="23"/>
        <v>1.1157999999999999</v>
      </c>
      <c r="O1096">
        <v>24.159201561548631</v>
      </c>
    </row>
    <row r="1097" spans="1:15" x14ac:dyDescent="0.2">
      <c r="A1097" s="7">
        <v>44088</v>
      </c>
      <c r="B1097">
        <v>1632887.4999999991</v>
      </c>
      <c r="C1097">
        <v>1655796.4999999991</v>
      </c>
      <c r="D1097">
        <v>1675211</v>
      </c>
      <c r="E1097" s="5">
        <v>12.39</v>
      </c>
      <c r="F1097" s="9">
        <f t="shared" si="11"/>
        <v>1.1244665</v>
      </c>
      <c r="G1097" s="9">
        <f t="shared" si="13"/>
        <v>1.1160314999999992</v>
      </c>
      <c r="H1097" s="9">
        <f t="shared" si="14"/>
        <v>1.138940499999999</v>
      </c>
      <c r="I1097" s="9">
        <f t="shared" si="15"/>
        <v>1.1244665</v>
      </c>
      <c r="J1097" s="9">
        <f t="shared" si="16"/>
        <v>1.1221805</v>
      </c>
      <c r="K1097" s="70">
        <f t="shared" si="18"/>
        <v>1.1177509999999991</v>
      </c>
      <c r="L1097" s="70">
        <f t="shared" si="19"/>
        <v>1.1406599999999991</v>
      </c>
      <c r="M1097" s="70">
        <f t="shared" si="20"/>
        <v>1.1261859999999999</v>
      </c>
      <c r="N1097" s="68">
        <f t="shared" si="23"/>
        <v>1.1238999999999999</v>
      </c>
      <c r="O1097">
        <v>22.87442436281346</v>
      </c>
    </row>
    <row r="1098" spans="1:15" x14ac:dyDescent="0.2">
      <c r="A1098" s="7">
        <v>44089</v>
      </c>
      <c r="B1098">
        <v>1636522.4999999991</v>
      </c>
      <c r="C1098">
        <v>1658593.9999999991</v>
      </c>
      <c r="D1098">
        <v>1677988</v>
      </c>
      <c r="E1098" s="5">
        <v>12.66</v>
      </c>
      <c r="F1098" s="9">
        <f t="shared" si="11"/>
        <v>1.1272435000000001</v>
      </c>
      <c r="G1098" s="9">
        <f t="shared" si="13"/>
        <v>1.119666499999999</v>
      </c>
      <c r="H1098" s="9">
        <f t="shared" si="14"/>
        <v>1.141737999999999</v>
      </c>
      <c r="I1098" s="9">
        <f t="shared" si="15"/>
        <v>1.1272435000000001</v>
      </c>
      <c r="J1098" s="9">
        <f t="shared" si="16"/>
        <v>1.1248804999999999</v>
      </c>
      <c r="K1098" s="70">
        <f t="shared" si="18"/>
        <v>1.1213859999999991</v>
      </c>
      <c r="L1098" s="70">
        <f t="shared" si="19"/>
        <v>1.1434574999999991</v>
      </c>
      <c r="M1098" s="70">
        <f t="shared" si="20"/>
        <v>1.1289629999999999</v>
      </c>
      <c r="N1098" s="68">
        <f t="shared" si="23"/>
        <v>1.1266</v>
      </c>
      <c r="O1098">
        <v>22.40037266147694</v>
      </c>
    </row>
    <row r="1099" spans="1:15" x14ac:dyDescent="0.2">
      <c r="A1099" s="7">
        <v>44090</v>
      </c>
      <c r="B1099">
        <v>1637822.4999999991</v>
      </c>
      <c r="C1099">
        <v>1660481.9999999991</v>
      </c>
      <c r="D1099">
        <v>1679429.5</v>
      </c>
      <c r="E1099" s="5">
        <v>12.8</v>
      </c>
      <c r="F1099" s="9">
        <f t="shared" si="11"/>
        <v>1.1286849999999999</v>
      </c>
      <c r="G1099" s="9">
        <f t="shared" si="13"/>
        <v>1.1209664999999991</v>
      </c>
      <c r="H1099" s="9">
        <f t="shared" si="14"/>
        <v>1.1436259999999991</v>
      </c>
      <c r="I1099" s="9">
        <f t="shared" si="15"/>
        <v>1.1286849999999999</v>
      </c>
      <c r="J1099" s="9">
        <f t="shared" si="16"/>
        <v>1.1262805</v>
      </c>
      <c r="K1099" s="70">
        <f t="shared" si="18"/>
        <v>1.122685999999999</v>
      </c>
      <c r="L1099" s="70">
        <f t="shared" si="19"/>
        <v>1.145345499999999</v>
      </c>
      <c r="M1099" s="70">
        <f t="shared" si="20"/>
        <v>1.1304045</v>
      </c>
      <c r="N1099" s="68">
        <f t="shared" si="23"/>
        <v>1.1279999999999999</v>
      </c>
      <c r="O1099">
        <v>25.611960430009329</v>
      </c>
    </row>
    <row r="1100" spans="1:15" x14ac:dyDescent="0.2">
      <c r="A1100" s="7">
        <v>44091</v>
      </c>
      <c r="B1100">
        <v>1639060.4999999991</v>
      </c>
      <c r="C1100">
        <v>1657256.9999999991</v>
      </c>
      <c r="D1100">
        <v>1677495</v>
      </c>
      <c r="E1100" s="3">
        <v>12.68</v>
      </c>
      <c r="F1100" s="9">
        <f t="shared" si="11"/>
        <v>1.1267505</v>
      </c>
      <c r="G1100" s="9">
        <f t="shared" si="13"/>
        <v>1.1222044999999992</v>
      </c>
      <c r="H1100" s="9">
        <f t="shared" si="14"/>
        <v>1.1404009999999991</v>
      </c>
      <c r="I1100" s="9">
        <f t="shared" si="15"/>
        <v>1.1267505</v>
      </c>
      <c r="J1100" s="9">
        <f t="shared" si="16"/>
        <v>1.1250804999999999</v>
      </c>
      <c r="K1100" s="70">
        <f t="shared" si="18"/>
        <v>1.123923999999999</v>
      </c>
      <c r="L1100" s="70">
        <f t="shared" si="19"/>
        <v>1.142120499999999</v>
      </c>
      <c r="M1100" s="70">
        <f t="shared" si="20"/>
        <v>1.1284700000000001</v>
      </c>
      <c r="N1100" s="68">
        <f t="shared" ref="N1100:N1104" si="24">(100+E1100)/100</f>
        <v>1.1268</v>
      </c>
      <c r="O1100">
        <v>25.36010735824307</v>
      </c>
    </row>
    <row r="1101" spans="1:15" x14ac:dyDescent="0.2">
      <c r="A1101" s="7">
        <v>44092</v>
      </c>
      <c r="B1101">
        <v>1630082.9999999991</v>
      </c>
      <c r="C1101">
        <v>1650271.4999999991</v>
      </c>
      <c r="D1101">
        <v>1667829.5</v>
      </c>
      <c r="E1101" s="3">
        <v>12</v>
      </c>
      <c r="F1101" s="9">
        <f t="shared" si="11"/>
        <v>1.1170850000000001</v>
      </c>
      <c r="G1101" s="9">
        <f t="shared" si="13"/>
        <v>1.1132269999999991</v>
      </c>
      <c r="H1101" s="9">
        <f t="shared" si="14"/>
        <v>1.133415499999999</v>
      </c>
      <c r="I1101" s="9">
        <f t="shared" si="15"/>
        <v>1.1170850000000001</v>
      </c>
      <c r="J1101" s="9">
        <f t="shared" si="16"/>
        <v>1.1182805</v>
      </c>
      <c r="K1101" s="70">
        <f t="shared" si="18"/>
        <v>1.1149464999999992</v>
      </c>
      <c r="L1101" s="70">
        <f t="shared" si="19"/>
        <v>1.1351349999999991</v>
      </c>
      <c r="M1101" s="70">
        <f t="shared" si="20"/>
        <v>1.1188045</v>
      </c>
      <c r="N1101" s="68">
        <f t="shared" si="24"/>
        <v>1.1200000000000001</v>
      </c>
      <c r="O1101">
        <v>26.51253328673835</v>
      </c>
    </row>
    <row r="1102" spans="1:15" x14ac:dyDescent="0.2">
      <c r="A1102" s="7">
        <v>44095</v>
      </c>
      <c r="B1102">
        <v>1623961.4999999991</v>
      </c>
      <c r="C1102">
        <v>1646718.9999999991</v>
      </c>
      <c r="D1102">
        <v>1665430</v>
      </c>
      <c r="E1102" s="3">
        <v>11.68</v>
      </c>
      <c r="F1102" s="9">
        <f t="shared" si="11"/>
        <v>1.1146855</v>
      </c>
      <c r="G1102" s="9">
        <f t="shared" si="13"/>
        <v>1.107105499999999</v>
      </c>
      <c r="H1102" s="9">
        <f t="shared" si="14"/>
        <v>1.1298629999999992</v>
      </c>
      <c r="I1102" s="9">
        <f t="shared" si="15"/>
        <v>1.1146855</v>
      </c>
      <c r="J1102" s="9">
        <f t="shared" si="16"/>
        <v>1.1150804999999999</v>
      </c>
      <c r="K1102" s="70">
        <f t="shared" si="18"/>
        <v>1.1088249999999991</v>
      </c>
      <c r="L1102" s="70">
        <f t="shared" si="19"/>
        <v>1.131582499999999</v>
      </c>
      <c r="M1102" s="70">
        <f t="shared" si="20"/>
        <v>1.1164050000000001</v>
      </c>
      <c r="N1102" s="68">
        <f t="shared" si="24"/>
        <v>1.1168</v>
      </c>
      <c r="O1102">
        <v>25.968085523333521</v>
      </c>
    </row>
    <row r="1103" spans="1:15" x14ac:dyDescent="0.2">
      <c r="A1103" s="7">
        <v>44096</v>
      </c>
      <c r="B1103">
        <v>1622678.9999999991</v>
      </c>
      <c r="C1103">
        <v>1640016.9999999991</v>
      </c>
      <c r="D1103">
        <v>1663477.5</v>
      </c>
      <c r="E1103" s="3">
        <v>11.13</v>
      </c>
      <c r="F1103" s="9">
        <f t="shared" si="11"/>
        <v>1.112733</v>
      </c>
      <c r="G1103" s="9">
        <f t="shared" si="13"/>
        <v>1.1058229999999991</v>
      </c>
      <c r="H1103" s="9">
        <f t="shared" si="14"/>
        <v>1.123160999999999</v>
      </c>
      <c r="I1103" s="9">
        <f t="shared" si="15"/>
        <v>1.112733</v>
      </c>
      <c r="J1103" s="9">
        <f t="shared" si="16"/>
        <v>1.1095805000000001</v>
      </c>
      <c r="K1103" s="70">
        <f t="shared" si="18"/>
        <v>1.107542499999999</v>
      </c>
      <c r="L1103" s="70">
        <f t="shared" si="19"/>
        <v>1.1248804999999991</v>
      </c>
      <c r="M1103" s="70">
        <f t="shared" si="20"/>
        <v>1.1144525000000001</v>
      </c>
      <c r="N1103" s="68">
        <f t="shared" si="24"/>
        <v>1.1113</v>
      </c>
      <c r="O1103">
        <v>25.88212199978793</v>
      </c>
    </row>
    <row r="1104" spans="1:15" x14ac:dyDescent="0.2">
      <c r="A1104" s="7">
        <v>44097</v>
      </c>
      <c r="B1104">
        <v>1629530.9999999991</v>
      </c>
      <c r="C1104">
        <v>1647761.4999999991</v>
      </c>
      <c r="D1104">
        <v>1668622.5</v>
      </c>
      <c r="E1104" s="3">
        <v>11.84</v>
      </c>
      <c r="F1104" s="9">
        <f t="shared" si="11"/>
        <v>1.1178779999999999</v>
      </c>
      <c r="G1104" s="9">
        <f t="shared" si="13"/>
        <v>1.112674999999999</v>
      </c>
      <c r="H1104" s="9">
        <f t="shared" si="14"/>
        <v>1.130905499999999</v>
      </c>
      <c r="I1104" s="9">
        <f t="shared" si="15"/>
        <v>1.1178779999999999</v>
      </c>
      <c r="J1104" s="9">
        <f t="shared" si="16"/>
        <v>1.1166805</v>
      </c>
      <c r="K1104" s="70">
        <f t="shared" si="18"/>
        <v>1.1143944999999991</v>
      </c>
      <c r="L1104" s="70">
        <f t="shared" si="19"/>
        <v>1.1326249999999991</v>
      </c>
      <c r="M1104" s="70">
        <f t="shared" si="20"/>
        <v>1.1195975</v>
      </c>
      <c r="N1104" s="68">
        <f t="shared" si="24"/>
        <v>1.1184000000000001</v>
      </c>
      <c r="O1104">
        <v>24.85117731728953</v>
      </c>
    </row>
    <row r="1105" spans="1:15" x14ac:dyDescent="0.2">
      <c r="A1105" s="7">
        <v>44098</v>
      </c>
      <c r="B1105">
        <v>1622913.4999999991</v>
      </c>
      <c r="C1105">
        <v>1642532.9999999991</v>
      </c>
      <c r="D1105">
        <v>1661927</v>
      </c>
      <c r="E1105">
        <v>11.21</v>
      </c>
      <c r="F1105" s="9">
        <f t="shared" si="11"/>
        <v>1.1111825</v>
      </c>
      <c r="G1105" s="9">
        <f t="shared" si="13"/>
        <v>1.106057499999999</v>
      </c>
      <c r="H1105" s="9">
        <f t="shared" si="14"/>
        <v>1.1256769999999992</v>
      </c>
      <c r="I1105" s="9">
        <f t="shared" si="15"/>
        <v>1.1111825</v>
      </c>
      <c r="J1105" s="9">
        <f t="shared" si="16"/>
        <v>1.1103805</v>
      </c>
      <c r="K1105" s="70">
        <f t="shared" si="18"/>
        <v>1.1077769999999991</v>
      </c>
      <c r="L1105" s="70">
        <f t="shared" si="19"/>
        <v>1.127396499999999</v>
      </c>
      <c r="M1105" s="70">
        <f t="shared" si="20"/>
        <v>1.1129020000000001</v>
      </c>
      <c r="N1105" s="68">
        <f t="shared" ref="N1105:N1113" si="25">(100+E1105)/100</f>
        <v>1.1121000000000001</v>
      </c>
      <c r="O1105">
        <v>25.7302305642189</v>
      </c>
    </row>
    <row r="1106" spans="1:15" x14ac:dyDescent="0.2">
      <c r="A1106" s="7">
        <v>44099</v>
      </c>
      <c r="B1106">
        <v>1624664.9999999991</v>
      </c>
      <c r="C1106">
        <v>1643896.9999999991</v>
      </c>
      <c r="D1106">
        <v>1662486</v>
      </c>
      <c r="E1106">
        <v>11.32</v>
      </c>
      <c r="F1106" s="9">
        <f t="shared" si="11"/>
        <v>1.1117414999999999</v>
      </c>
      <c r="G1106" s="9">
        <f t="shared" si="13"/>
        <v>1.1078089999999992</v>
      </c>
      <c r="H1106" s="9">
        <f t="shared" si="14"/>
        <v>1.1270409999999991</v>
      </c>
      <c r="I1106" s="9">
        <f t="shared" si="15"/>
        <v>1.1117414999999999</v>
      </c>
      <c r="J1106" s="9">
        <f t="shared" si="16"/>
        <v>1.1114805000000001</v>
      </c>
      <c r="K1106" s="70">
        <f t="shared" si="18"/>
        <v>1.109528499999999</v>
      </c>
      <c r="L1106" s="70">
        <f t="shared" si="19"/>
        <v>1.1287604999999992</v>
      </c>
      <c r="M1106" s="70">
        <f t="shared" si="20"/>
        <v>1.113461</v>
      </c>
      <c r="N1106" s="68">
        <f t="shared" si="25"/>
        <v>1.1132</v>
      </c>
      <c r="O1106">
        <v>25.72538699344161</v>
      </c>
    </row>
    <row r="1107" spans="1:15" x14ac:dyDescent="0.2">
      <c r="A1107" s="7">
        <v>44102</v>
      </c>
      <c r="B1107">
        <v>1623297.4999999991</v>
      </c>
      <c r="C1107">
        <v>1639087.4999999991</v>
      </c>
      <c r="D1107">
        <v>1662504.5</v>
      </c>
      <c r="E1107">
        <v>11.39</v>
      </c>
      <c r="F1107" s="9">
        <f t="shared" si="11"/>
        <v>1.1117600000000001</v>
      </c>
      <c r="G1107" s="9">
        <f t="shared" si="13"/>
        <v>1.106441499999999</v>
      </c>
      <c r="H1107" s="9">
        <f t="shared" si="14"/>
        <v>1.1222314999999992</v>
      </c>
      <c r="I1107" s="9">
        <f t="shared" si="15"/>
        <v>1.1117600000000001</v>
      </c>
      <c r="J1107" s="9">
        <f t="shared" si="16"/>
        <v>1.1121805</v>
      </c>
      <c r="K1107" s="70">
        <f t="shared" si="18"/>
        <v>1.1081609999999991</v>
      </c>
      <c r="L1107" s="70">
        <f t="shared" si="19"/>
        <v>1.123950999999999</v>
      </c>
      <c r="M1107" s="70">
        <f t="shared" si="20"/>
        <v>1.1134795</v>
      </c>
      <c r="N1107" s="68">
        <f t="shared" si="25"/>
        <v>1.1139000000000001</v>
      </c>
      <c r="O1107">
        <v>25.80557416762425</v>
      </c>
    </row>
    <row r="1108" spans="1:15" x14ac:dyDescent="0.2">
      <c r="A1108" s="7">
        <v>44103</v>
      </c>
      <c r="B1108">
        <v>1617304.9999999991</v>
      </c>
      <c r="C1108">
        <v>1633757.9999999991</v>
      </c>
      <c r="D1108">
        <v>1654164</v>
      </c>
      <c r="E1108">
        <v>10.6</v>
      </c>
      <c r="F1108" s="9">
        <f t="shared" si="11"/>
        <v>1.1034195</v>
      </c>
      <c r="G1108" s="9">
        <f t="shared" si="13"/>
        <v>1.1004489999999991</v>
      </c>
      <c r="H1108" s="9">
        <f t="shared" si="14"/>
        <v>1.1169019999999992</v>
      </c>
      <c r="I1108" s="9">
        <f t="shared" si="15"/>
        <v>1.1034195</v>
      </c>
      <c r="J1108" s="9">
        <f t="shared" si="16"/>
        <v>1.1042804999999998</v>
      </c>
      <c r="K1108" s="70">
        <f t="shared" si="18"/>
        <v>1.102168499999999</v>
      </c>
      <c r="L1108" s="70">
        <f t="shared" si="19"/>
        <v>1.118621499999999</v>
      </c>
      <c r="M1108" s="70">
        <f t="shared" si="20"/>
        <v>1.1051390000000001</v>
      </c>
      <c r="N1108" s="68">
        <f t="shared" si="25"/>
        <v>1.1059999999999999</v>
      </c>
      <c r="O1108">
        <v>26.955455258500638</v>
      </c>
    </row>
    <row r="1109" spans="1:15" x14ac:dyDescent="0.2">
      <c r="A1109" s="7">
        <v>44104</v>
      </c>
      <c r="B1109">
        <v>1618699.4999999991</v>
      </c>
      <c r="C1109">
        <v>1633838</v>
      </c>
      <c r="D1109">
        <v>1651293</v>
      </c>
      <c r="E1109">
        <v>10.33</v>
      </c>
      <c r="F1109" s="9">
        <f t="shared" si="11"/>
        <v>1.1005484999999999</v>
      </c>
      <c r="G1109" s="9">
        <f t="shared" si="13"/>
        <v>1.1018434999999991</v>
      </c>
      <c r="H1109" s="9">
        <f t="shared" si="14"/>
        <v>1.1169819999999999</v>
      </c>
      <c r="I1109" s="9">
        <f t="shared" si="15"/>
        <v>1.1005484999999999</v>
      </c>
      <c r="J1109" s="9">
        <f t="shared" si="16"/>
        <v>1.1015805000000001</v>
      </c>
      <c r="K1109" s="70">
        <f t="shared" si="18"/>
        <v>1.103562999999999</v>
      </c>
      <c r="L1109" s="70">
        <f t="shared" si="19"/>
        <v>1.1187015</v>
      </c>
      <c r="M1109" s="70">
        <f t="shared" si="20"/>
        <v>1.102268</v>
      </c>
      <c r="N1109" s="68">
        <f t="shared" si="25"/>
        <v>1.1032999999999999</v>
      </c>
      <c r="O1109">
        <v>27.50452734421696</v>
      </c>
    </row>
    <row r="1110" spans="1:15" x14ac:dyDescent="0.2">
      <c r="A1110" s="7">
        <v>44113</v>
      </c>
      <c r="B1110">
        <v>1671797.4999999979</v>
      </c>
      <c r="C1110">
        <v>1662602</v>
      </c>
      <c r="D1110">
        <v>1710569</v>
      </c>
      <c r="E1110">
        <v>13.39</v>
      </c>
      <c r="F1110" s="9">
        <f t="shared" si="11"/>
        <v>1.1598245</v>
      </c>
      <c r="G1110" s="9">
        <f t="shared" si="13"/>
        <v>1.1549414999999978</v>
      </c>
      <c r="H1110" s="9">
        <f t="shared" si="14"/>
        <v>1.1457459999999999</v>
      </c>
      <c r="I1110" s="9">
        <f t="shared" si="15"/>
        <v>1.1598245</v>
      </c>
      <c r="J1110" s="9">
        <f t="shared" si="16"/>
        <v>1.1321805</v>
      </c>
      <c r="K1110" s="70">
        <f t="shared" si="18"/>
        <v>1.1566609999999979</v>
      </c>
      <c r="L1110" s="70">
        <f t="shared" si="19"/>
        <v>1.1474655</v>
      </c>
      <c r="M1110" s="70">
        <f t="shared" si="20"/>
        <v>1.1615439999999999</v>
      </c>
      <c r="N1110" s="68">
        <f t="shared" si="25"/>
        <v>1.1338999999999999</v>
      </c>
      <c r="O1110">
        <v>22.448810530326</v>
      </c>
    </row>
    <row r="1111" spans="1:15" x14ac:dyDescent="0.2">
      <c r="A1111" s="7">
        <v>44116</v>
      </c>
      <c r="B1111">
        <v>1664367.9999999979</v>
      </c>
      <c r="C1111">
        <v>1649599.5</v>
      </c>
      <c r="D1111">
        <v>1699054.5000000009</v>
      </c>
      <c r="E1111">
        <v>12.29</v>
      </c>
      <c r="F1111" s="9">
        <f t="shared" si="11"/>
        <v>1.1483100000000008</v>
      </c>
      <c r="G1111" s="9">
        <f t="shared" si="13"/>
        <v>1.1475119999999979</v>
      </c>
      <c r="H1111" s="9">
        <f t="shared" si="14"/>
        <v>1.1327434999999999</v>
      </c>
      <c r="I1111" s="9">
        <f t="shared" si="15"/>
        <v>1.1483100000000008</v>
      </c>
      <c r="J1111" s="9">
        <f t="shared" si="16"/>
        <v>1.1211804999999999</v>
      </c>
      <c r="K1111" s="70">
        <f t="shared" si="18"/>
        <v>1.149231499999998</v>
      </c>
      <c r="L1111" s="70">
        <f t="shared" si="19"/>
        <v>1.134463</v>
      </c>
      <c r="M1111" s="70">
        <f t="shared" si="20"/>
        <v>1.1500295000000009</v>
      </c>
      <c r="N1111" s="68">
        <f t="shared" si="25"/>
        <v>1.1229</v>
      </c>
      <c r="O1111">
        <v>24.223265402418519</v>
      </c>
    </row>
    <row r="1112" spans="1:15" x14ac:dyDescent="0.2">
      <c r="A1112" s="7">
        <v>44117</v>
      </c>
      <c r="B1112">
        <v>1666107.4999999979</v>
      </c>
      <c r="C1112">
        <v>1654381</v>
      </c>
      <c r="D1112">
        <v>1703197.5000000009</v>
      </c>
      <c r="E1112">
        <v>12.74</v>
      </c>
      <c r="F1112" s="9">
        <f t="shared" si="11"/>
        <v>1.1524530000000008</v>
      </c>
      <c r="G1112" s="9">
        <f t="shared" ref="G1112:G1143" si="26">(K1112*1000000+($D$1048-$D$928))/1000000</f>
        <v>1.1492514999999979</v>
      </c>
      <c r="H1112" s="9">
        <f t="shared" ref="H1112:H1143" si="27">(L1112*1000000+($D$1048-$D$928))/1000000</f>
        <v>1.1375249999999999</v>
      </c>
      <c r="I1112" s="9">
        <f t="shared" ref="I1112:I1143" si="28">(M1112*1000000+($D$1048-$D$928))/1000000</f>
        <v>1.1524530000000008</v>
      </c>
      <c r="J1112" s="9">
        <f t="shared" ref="J1112:J1143" si="29">(N1112*1000000+($D$1048-$D$928))/1000000</f>
        <v>1.1256805000000001</v>
      </c>
      <c r="K1112" s="70">
        <f t="shared" si="18"/>
        <v>1.150970999999998</v>
      </c>
      <c r="L1112" s="70">
        <f t="shared" si="19"/>
        <v>1.1392445</v>
      </c>
      <c r="M1112" s="70">
        <f t="shared" si="20"/>
        <v>1.1541725000000009</v>
      </c>
      <c r="N1112" s="68">
        <f t="shared" si="25"/>
        <v>1.1274</v>
      </c>
      <c r="O1112">
        <v>24.08230760813775</v>
      </c>
    </row>
    <row r="1113" spans="1:15" x14ac:dyDescent="0.2">
      <c r="A1113" s="7">
        <v>44118</v>
      </c>
      <c r="B1113">
        <v>1670436.4999999979</v>
      </c>
      <c r="C1113">
        <v>1657981</v>
      </c>
      <c r="D1113">
        <v>1706991.0000000009</v>
      </c>
      <c r="E1113">
        <v>13.11</v>
      </c>
      <c r="F1113" s="9">
        <f t="shared" si="11"/>
        <v>1.1562465000000008</v>
      </c>
      <c r="G1113" s="9">
        <f t="shared" si="26"/>
        <v>1.1535804999999979</v>
      </c>
      <c r="H1113" s="9">
        <f t="shared" si="27"/>
        <v>1.1411249999999999</v>
      </c>
      <c r="I1113" s="9">
        <f t="shared" si="28"/>
        <v>1.1562465000000008</v>
      </c>
      <c r="J1113" s="9">
        <f t="shared" si="29"/>
        <v>1.1293804999999999</v>
      </c>
      <c r="K1113" s="70">
        <f t="shared" ref="K1113:K1144" si="30">(B1113-B$1048+1000000)/1000000</f>
        <v>1.155299999999998</v>
      </c>
      <c r="L1113" s="70">
        <f t="shared" ref="L1113:L1144" si="31">(C1113-C$1048+1000000)/1000000</f>
        <v>1.1428445</v>
      </c>
      <c r="M1113" s="70">
        <f t="shared" ref="M1113:M1144" si="32">(D1113-D$1048+1000000)/1000000</f>
        <v>1.1579660000000009</v>
      </c>
      <c r="N1113" s="68">
        <f t="shared" si="25"/>
        <v>1.1311</v>
      </c>
      <c r="O1113">
        <v>23.343479712151211</v>
      </c>
    </row>
    <row r="1114" spans="1:15" x14ac:dyDescent="0.2">
      <c r="A1114" s="7">
        <v>44119</v>
      </c>
      <c r="B1114">
        <v>1672629.9999999979</v>
      </c>
      <c r="C1114">
        <v>1660333</v>
      </c>
      <c r="D1114">
        <v>1709865.0000000009</v>
      </c>
      <c r="E1114">
        <v>13.43</v>
      </c>
      <c r="F1114" s="9">
        <f t="shared" si="11"/>
        <v>1.1591205000000009</v>
      </c>
      <c r="G1114" s="9">
        <f t="shared" si="26"/>
        <v>1.1557739999999979</v>
      </c>
      <c r="H1114" s="9">
        <f t="shared" si="27"/>
        <v>1.1434770000000001</v>
      </c>
      <c r="I1114" s="9">
        <f t="shared" si="28"/>
        <v>1.1591205000000009</v>
      </c>
      <c r="J1114" s="9">
        <f t="shared" si="29"/>
        <v>1.1325805</v>
      </c>
      <c r="K1114" s="70">
        <f t="shared" si="30"/>
        <v>1.157493499999998</v>
      </c>
      <c r="L1114" s="70">
        <f t="shared" si="31"/>
        <v>1.1451965</v>
      </c>
      <c r="M1114" s="70">
        <f t="shared" si="32"/>
        <v>1.160840000000001</v>
      </c>
      <c r="N1114" s="68">
        <f t="shared" ref="N1114:N1123" si="33">(100+E1114)/100</f>
        <v>1.1343000000000001</v>
      </c>
      <c r="O1114">
        <v>23.836209258322121</v>
      </c>
    </row>
    <row r="1115" spans="1:15" x14ac:dyDescent="0.2">
      <c r="A1115" s="7">
        <v>44120</v>
      </c>
      <c r="B1115">
        <v>1677570.9999999979</v>
      </c>
      <c r="C1115">
        <v>1666238.5</v>
      </c>
      <c r="D1115">
        <v>1714899.5000000009</v>
      </c>
      <c r="E1115">
        <v>13.97</v>
      </c>
      <c r="F1115" s="9">
        <f t="shared" si="11"/>
        <v>1.1641550000000009</v>
      </c>
      <c r="G1115" s="9">
        <f t="shared" si="26"/>
        <v>1.1607149999999979</v>
      </c>
      <c r="H1115" s="9">
        <f t="shared" si="27"/>
        <v>1.1493825</v>
      </c>
      <c r="I1115" s="9">
        <f t="shared" si="28"/>
        <v>1.1641550000000009</v>
      </c>
      <c r="J1115" s="9">
        <f t="shared" si="29"/>
        <v>1.1379805000000001</v>
      </c>
      <c r="K1115" s="70">
        <f t="shared" si="30"/>
        <v>1.1624344999999978</v>
      </c>
      <c r="L1115" s="70">
        <f t="shared" si="31"/>
        <v>1.1511020000000001</v>
      </c>
      <c r="M1115" s="70">
        <f t="shared" si="32"/>
        <v>1.165874500000001</v>
      </c>
      <c r="N1115" s="68">
        <f t="shared" si="33"/>
        <v>1.1396999999999999</v>
      </c>
      <c r="O1115">
        <v>23.67294744296585</v>
      </c>
    </row>
    <row r="1116" spans="1:15" x14ac:dyDescent="0.2">
      <c r="A1116" s="7">
        <v>44123</v>
      </c>
      <c r="B1116">
        <v>1687148.4999999979</v>
      </c>
      <c r="C1116">
        <v>1674134.5</v>
      </c>
      <c r="D1116">
        <v>1723744.0000000009</v>
      </c>
      <c r="E1116">
        <v>14.69</v>
      </c>
      <c r="F1116" s="9">
        <f t="shared" si="11"/>
        <v>1.1729995000000009</v>
      </c>
      <c r="G1116" s="9">
        <f t="shared" si="26"/>
        <v>1.170292499999998</v>
      </c>
      <c r="H1116" s="9">
        <f t="shared" si="27"/>
        <v>1.1572785000000001</v>
      </c>
      <c r="I1116" s="9">
        <f t="shared" si="28"/>
        <v>1.1729995000000009</v>
      </c>
      <c r="J1116" s="9">
        <f t="shared" si="29"/>
        <v>1.1451804999999999</v>
      </c>
      <c r="K1116" s="70">
        <f t="shared" si="30"/>
        <v>1.1720119999999978</v>
      </c>
      <c r="L1116" s="70">
        <f t="shared" si="31"/>
        <v>1.158998</v>
      </c>
      <c r="M1116" s="70">
        <f t="shared" si="32"/>
        <v>1.174719000000001</v>
      </c>
      <c r="N1116" s="68">
        <f t="shared" si="33"/>
        <v>1.1469</v>
      </c>
      <c r="O1116">
        <v>22.843606726403909</v>
      </c>
    </row>
    <row r="1117" spans="1:15" x14ac:dyDescent="0.2">
      <c r="A1117" s="7">
        <v>44124</v>
      </c>
      <c r="B1117">
        <v>1692245.4999999979</v>
      </c>
      <c r="C1117">
        <v>1677932</v>
      </c>
      <c r="D1117">
        <v>1728073.5000000009</v>
      </c>
      <c r="E1117">
        <v>15.14</v>
      </c>
      <c r="F1117" s="9">
        <f t="shared" si="11"/>
        <v>1.177329000000001</v>
      </c>
      <c r="G1117" s="9">
        <f t="shared" si="26"/>
        <v>1.1753894999999979</v>
      </c>
      <c r="H1117" s="9">
        <f t="shared" si="27"/>
        <v>1.161076</v>
      </c>
      <c r="I1117" s="9">
        <f t="shared" si="28"/>
        <v>1.177329000000001</v>
      </c>
      <c r="J1117" s="9">
        <f t="shared" si="29"/>
        <v>1.1496805000000001</v>
      </c>
      <c r="K1117" s="70">
        <f t="shared" si="30"/>
        <v>1.177108999999998</v>
      </c>
      <c r="L1117" s="70">
        <f t="shared" si="31"/>
        <v>1.1627955000000001</v>
      </c>
      <c r="M1117" s="70">
        <f t="shared" si="32"/>
        <v>1.1790485000000008</v>
      </c>
      <c r="N1117" s="68">
        <f t="shared" si="33"/>
        <v>1.1514</v>
      </c>
      <c r="O1117">
        <v>22.211776073212281</v>
      </c>
    </row>
    <row r="1118" spans="1:15" x14ac:dyDescent="0.2">
      <c r="A1118" s="7">
        <v>44125</v>
      </c>
      <c r="B1118">
        <v>1691456.9999999979</v>
      </c>
      <c r="C1118">
        <v>1677777</v>
      </c>
      <c r="D1118">
        <v>1728016.5000000009</v>
      </c>
      <c r="E1118">
        <v>15.16</v>
      </c>
      <c r="F1118" s="9">
        <f t="shared" si="11"/>
        <v>1.177272000000001</v>
      </c>
      <c r="G1118" s="9">
        <f t="shared" si="26"/>
        <v>1.174600999999998</v>
      </c>
      <c r="H1118" s="9">
        <f t="shared" si="27"/>
        <v>1.1609210000000001</v>
      </c>
      <c r="I1118" s="9">
        <f t="shared" si="28"/>
        <v>1.177272000000001</v>
      </c>
      <c r="J1118" s="9">
        <f t="shared" si="29"/>
        <v>1.1498805000000001</v>
      </c>
      <c r="K1118" s="70">
        <f t="shared" si="30"/>
        <v>1.1763204999999979</v>
      </c>
      <c r="L1118" s="70">
        <f t="shared" si="31"/>
        <v>1.1626405</v>
      </c>
      <c r="M1118" s="70">
        <f t="shared" si="32"/>
        <v>1.1789915000000009</v>
      </c>
      <c r="N1118" s="68">
        <f t="shared" si="33"/>
        <v>1.1516</v>
      </c>
      <c r="O1118">
        <v>24.20937019084268</v>
      </c>
    </row>
    <row r="1119" spans="1:15" x14ac:dyDescent="0.2">
      <c r="A1119" s="7">
        <v>44126</v>
      </c>
      <c r="B1119">
        <v>1691216.9999999979</v>
      </c>
      <c r="C1119">
        <v>1677364.5</v>
      </c>
      <c r="D1119">
        <v>1727460.0000000009</v>
      </c>
      <c r="E1119">
        <v>15.12</v>
      </c>
      <c r="F1119" s="9">
        <f t="shared" si="11"/>
        <v>1.1767155000000009</v>
      </c>
      <c r="G1119" s="9">
        <f t="shared" si="26"/>
        <v>1.174360999999998</v>
      </c>
      <c r="H1119" s="9">
        <f t="shared" si="27"/>
        <v>1.1605084999999999</v>
      </c>
      <c r="I1119" s="9">
        <f t="shared" si="28"/>
        <v>1.1767155000000009</v>
      </c>
      <c r="J1119" s="9">
        <f t="shared" si="29"/>
        <v>1.1494804999999999</v>
      </c>
      <c r="K1119" s="70">
        <f t="shared" si="30"/>
        <v>1.1760804999999979</v>
      </c>
      <c r="L1119" s="70">
        <f t="shared" si="31"/>
        <v>1.162228</v>
      </c>
      <c r="M1119" s="70">
        <f t="shared" si="32"/>
        <v>1.178435000000001</v>
      </c>
      <c r="N1119" s="68">
        <f t="shared" si="33"/>
        <v>1.1512</v>
      </c>
      <c r="O1119">
        <v>24.042301747667508</v>
      </c>
    </row>
    <row r="1120" spans="1:15" x14ac:dyDescent="0.2">
      <c r="A1120" s="7">
        <v>44127</v>
      </c>
      <c r="B1120">
        <v>1688443.9999999979</v>
      </c>
      <c r="C1120">
        <v>1676234.5</v>
      </c>
      <c r="D1120">
        <v>1727402.5000000009</v>
      </c>
      <c r="E1120">
        <v>15.12</v>
      </c>
      <c r="F1120" s="9">
        <f t="shared" si="11"/>
        <v>1.1766580000000009</v>
      </c>
      <c r="G1120" s="9">
        <f t="shared" si="26"/>
        <v>1.1715879999999979</v>
      </c>
      <c r="H1120" s="9">
        <f t="shared" si="27"/>
        <v>1.1593785000000001</v>
      </c>
      <c r="I1120" s="9">
        <f t="shared" si="28"/>
        <v>1.1766580000000009</v>
      </c>
      <c r="J1120" s="9">
        <f t="shared" si="29"/>
        <v>1.1494804999999999</v>
      </c>
      <c r="K1120" s="70">
        <f t="shared" si="30"/>
        <v>1.1733074999999979</v>
      </c>
      <c r="L1120" s="70">
        <f t="shared" si="31"/>
        <v>1.161098</v>
      </c>
      <c r="M1120" s="70">
        <f t="shared" si="32"/>
        <v>1.178377500000001</v>
      </c>
      <c r="N1120" s="68">
        <f t="shared" si="33"/>
        <v>1.1512</v>
      </c>
      <c r="O1120">
        <v>24.115991682105282</v>
      </c>
    </row>
    <row r="1121" spans="1:15" x14ac:dyDescent="0.2">
      <c r="A1121" s="7">
        <v>44130</v>
      </c>
      <c r="B1121">
        <v>1688805.4999999979</v>
      </c>
      <c r="C1121">
        <v>1678501.5</v>
      </c>
      <c r="D1121">
        <v>1728655.5000000009</v>
      </c>
      <c r="E1121">
        <v>15.31</v>
      </c>
      <c r="F1121" s="9">
        <f t="shared" si="11"/>
        <v>1.177911000000001</v>
      </c>
      <c r="G1121" s="9">
        <f t="shared" si="26"/>
        <v>1.171949499999998</v>
      </c>
      <c r="H1121" s="9">
        <f t="shared" si="27"/>
        <v>1.1616455000000001</v>
      </c>
      <c r="I1121" s="9">
        <f t="shared" si="28"/>
        <v>1.177911000000001</v>
      </c>
      <c r="J1121" s="9">
        <f t="shared" si="29"/>
        <v>1.1513804999999999</v>
      </c>
      <c r="K1121" s="70">
        <f t="shared" si="30"/>
        <v>1.1736689999999979</v>
      </c>
      <c r="L1121" s="70">
        <f t="shared" si="31"/>
        <v>1.163365</v>
      </c>
      <c r="M1121" s="70">
        <f t="shared" si="32"/>
        <v>1.1796305000000009</v>
      </c>
      <c r="N1121" s="68">
        <f t="shared" si="33"/>
        <v>1.1531</v>
      </c>
      <c r="O1121">
        <v>23.010969337976078</v>
      </c>
    </row>
    <row r="1122" spans="1:15" x14ac:dyDescent="0.2">
      <c r="A1122" s="7">
        <v>44131</v>
      </c>
      <c r="B1122">
        <v>1691690.9999999979</v>
      </c>
      <c r="C1122">
        <v>1679359.5</v>
      </c>
      <c r="D1122">
        <v>1729227.5000000009</v>
      </c>
      <c r="E1122">
        <v>15.38</v>
      </c>
      <c r="F1122" s="9">
        <f t="shared" si="11"/>
        <v>1.1784830000000008</v>
      </c>
      <c r="G1122" s="9">
        <f t="shared" si="26"/>
        <v>1.1748349999999979</v>
      </c>
      <c r="H1122" s="9">
        <f t="shared" si="27"/>
        <v>1.1625034999999999</v>
      </c>
      <c r="I1122" s="9">
        <f t="shared" si="28"/>
        <v>1.1784830000000008</v>
      </c>
      <c r="J1122" s="9">
        <f t="shared" si="29"/>
        <v>1.1520805000000001</v>
      </c>
      <c r="K1122" s="70">
        <f t="shared" si="30"/>
        <v>1.1765544999999979</v>
      </c>
      <c r="L1122" s="70">
        <f t="shared" si="31"/>
        <v>1.164223</v>
      </c>
      <c r="M1122" s="70">
        <f t="shared" si="32"/>
        <v>1.1802025000000009</v>
      </c>
      <c r="N1122" s="68">
        <f t="shared" si="33"/>
        <v>1.1537999999999999</v>
      </c>
      <c r="O1122">
        <v>23.23959377255013</v>
      </c>
    </row>
    <row r="1123" spans="1:15" x14ac:dyDescent="0.2">
      <c r="A1123" s="7">
        <v>44132</v>
      </c>
      <c r="B1123">
        <v>1692705.4999999979</v>
      </c>
      <c r="C1123">
        <v>1680918</v>
      </c>
      <c r="D1123">
        <v>1730637.5000000009</v>
      </c>
      <c r="E1123">
        <v>15.51</v>
      </c>
      <c r="F1123" s="9">
        <f t="shared" si="11"/>
        <v>1.179893000000001</v>
      </c>
      <c r="G1123" s="9">
        <f t="shared" si="26"/>
        <v>1.175849499999998</v>
      </c>
      <c r="H1123" s="9">
        <f t="shared" si="27"/>
        <v>1.1640619999999999</v>
      </c>
      <c r="I1123" s="9">
        <f t="shared" si="28"/>
        <v>1.179893000000001</v>
      </c>
      <c r="J1123" s="9">
        <f t="shared" si="29"/>
        <v>1.1533804999999999</v>
      </c>
      <c r="K1123" s="70">
        <f t="shared" si="30"/>
        <v>1.1775689999999979</v>
      </c>
      <c r="L1123" s="70">
        <f t="shared" si="31"/>
        <v>1.1657815</v>
      </c>
      <c r="M1123" s="70">
        <f t="shared" si="32"/>
        <v>1.1816125000000008</v>
      </c>
      <c r="N1123" s="68">
        <f t="shared" si="33"/>
        <v>1.1551</v>
      </c>
      <c r="O1123">
        <v>22.816553803467599</v>
      </c>
    </row>
    <row r="1124" spans="1:15" x14ac:dyDescent="0.2">
      <c r="A1124" s="7">
        <v>44133</v>
      </c>
      <c r="B1124">
        <v>1694358.4999999979</v>
      </c>
      <c r="C1124">
        <v>1682484.5</v>
      </c>
      <c r="D1124">
        <v>1731200.5000000009</v>
      </c>
      <c r="E1124" s="3">
        <v>15.57</v>
      </c>
      <c r="F1124" s="9">
        <f t="shared" si="11"/>
        <v>1.1804560000000008</v>
      </c>
      <c r="G1124" s="9">
        <f t="shared" si="26"/>
        <v>1.1775024999999979</v>
      </c>
      <c r="H1124" s="9">
        <f t="shared" si="27"/>
        <v>1.1656285</v>
      </c>
      <c r="I1124" s="9">
        <f t="shared" si="28"/>
        <v>1.1804560000000008</v>
      </c>
      <c r="J1124" s="9">
        <f t="shared" si="29"/>
        <v>1.1539805000000001</v>
      </c>
      <c r="K1124" s="70">
        <f t="shared" si="30"/>
        <v>1.179221999999998</v>
      </c>
      <c r="L1124" s="70">
        <f t="shared" si="31"/>
        <v>1.1673480000000001</v>
      </c>
      <c r="M1124" s="70">
        <f t="shared" si="32"/>
        <v>1.1821755000000009</v>
      </c>
      <c r="N1124" s="68">
        <f t="shared" ref="N1124:N1128" si="34">(100+E1124)/100</f>
        <v>1.1556999999999999</v>
      </c>
      <c r="O1124">
        <v>22.59913727981569</v>
      </c>
    </row>
    <row r="1125" spans="1:15" x14ac:dyDescent="0.2">
      <c r="A1125" s="7">
        <v>44134</v>
      </c>
      <c r="B1125">
        <v>1686829.9999999979</v>
      </c>
      <c r="C1125">
        <v>1675556</v>
      </c>
      <c r="D1125">
        <v>1727873.0000000009</v>
      </c>
      <c r="E1125" s="3">
        <v>15.05</v>
      </c>
      <c r="F1125" s="9">
        <f t="shared" si="11"/>
        <v>1.1771285000000009</v>
      </c>
      <c r="G1125" s="9">
        <f t="shared" si="26"/>
        <v>1.1699739999999978</v>
      </c>
      <c r="H1125" s="9">
        <f t="shared" si="27"/>
        <v>1.1587000000000001</v>
      </c>
      <c r="I1125" s="9">
        <f t="shared" si="28"/>
        <v>1.1771285000000009</v>
      </c>
      <c r="J1125" s="9">
        <f t="shared" si="29"/>
        <v>1.1487805</v>
      </c>
      <c r="K1125" s="70">
        <f t="shared" si="30"/>
        <v>1.1716934999999979</v>
      </c>
      <c r="L1125" s="70">
        <f t="shared" si="31"/>
        <v>1.1604194999999999</v>
      </c>
      <c r="M1125" s="70">
        <f t="shared" si="32"/>
        <v>1.178848000000001</v>
      </c>
      <c r="N1125" s="68">
        <f t="shared" si="34"/>
        <v>1.1505000000000001</v>
      </c>
      <c r="O1125">
        <v>23.491191956302512</v>
      </c>
    </row>
    <row r="1126" spans="1:15" x14ac:dyDescent="0.2">
      <c r="A1126" s="7">
        <v>44137</v>
      </c>
      <c r="B1126">
        <v>1688963.4999999979</v>
      </c>
      <c r="C1126">
        <v>1676941.5</v>
      </c>
      <c r="D1126">
        <v>1728195.5000000009</v>
      </c>
      <c r="E1126" s="3">
        <v>15.07</v>
      </c>
      <c r="F1126" s="9">
        <f t="shared" si="11"/>
        <v>1.1774510000000009</v>
      </c>
      <c r="G1126" s="9">
        <f t="shared" si="26"/>
        <v>1.1721074999999979</v>
      </c>
      <c r="H1126" s="9">
        <f t="shared" si="27"/>
        <v>1.1600855000000001</v>
      </c>
      <c r="I1126" s="9">
        <f t="shared" si="28"/>
        <v>1.1774510000000009</v>
      </c>
      <c r="J1126" s="9">
        <f t="shared" si="29"/>
        <v>1.1489804999999997</v>
      </c>
      <c r="K1126" s="70">
        <f t="shared" si="30"/>
        <v>1.173826999999998</v>
      </c>
      <c r="L1126" s="70">
        <f t="shared" si="31"/>
        <v>1.161805</v>
      </c>
      <c r="M1126" s="70">
        <f t="shared" si="32"/>
        <v>1.179170500000001</v>
      </c>
      <c r="N1126" s="68">
        <f t="shared" si="34"/>
        <v>1.1506999999999998</v>
      </c>
      <c r="O1126">
        <v>24.294368086822821</v>
      </c>
    </row>
    <row r="1127" spans="1:15" x14ac:dyDescent="0.2">
      <c r="A1127" s="7">
        <v>44138</v>
      </c>
      <c r="B1127">
        <v>1687802.4999999979</v>
      </c>
      <c r="C1127">
        <v>1676102.5</v>
      </c>
      <c r="D1127">
        <v>1726771.5000000009</v>
      </c>
      <c r="E1127" s="3">
        <v>14.92</v>
      </c>
      <c r="F1127" s="9">
        <f t="shared" si="11"/>
        <v>1.1760270000000008</v>
      </c>
      <c r="G1127" s="9">
        <f t="shared" si="26"/>
        <v>1.1709464999999979</v>
      </c>
      <c r="H1127" s="9">
        <f t="shared" si="27"/>
        <v>1.1592465000000001</v>
      </c>
      <c r="I1127" s="9">
        <f t="shared" si="28"/>
        <v>1.1760270000000008</v>
      </c>
      <c r="J1127" s="9">
        <f t="shared" si="29"/>
        <v>1.1474804999999999</v>
      </c>
      <c r="K1127" s="70">
        <f t="shared" si="30"/>
        <v>1.172665999999998</v>
      </c>
      <c r="L1127" s="70">
        <f t="shared" si="31"/>
        <v>1.1609659999999999</v>
      </c>
      <c r="M1127" s="70">
        <f t="shared" si="32"/>
        <v>1.1777465000000009</v>
      </c>
      <c r="N1127" s="68">
        <f t="shared" si="34"/>
        <v>1.1492</v>
      </c>
      <c r="O1127">
        <v>24.24986783805851</v>
      </c>
    </row>
    <row r="1128" spans="1:15" x14ac:dyDescent="0.2">
      <c r="A1128" s="7">
        <v>44139</v>
      </c>
      <c r="B1128">
        <v>1693067.4999999979</v>
      </c>
      <c r="C1128">
        <v>1681846</v>
      </c>
      <c r="D1128">
        <v>1733174.5000000009</v>
      </c>
      <c r="E1128" s="3">
        <v>15.57</v>
      </c>
      <c r="F1128" s="9">
        <f t="shared" si="11"/>
        <v>1.182430000000001</v>
      </c>
      <c r="G1128" s="9">
        <f t="shared" si="26"/>
        <v>1.176211499999998</v>
      </c>
      <c r="H1128" s="9">
        <f t="shared" si="27"/>
        <v>1.16499</v>
      </c>
      <c r="I1128" s="9">
        <f t="shared" si="28"/>
        <v>1.182430000000001</v>
      </c>
      <c r="J1128" s="9">
        <f t="shared" si="29"/>
        <v>1.1539805000000001</v>
      </c>
      <c r="K1128" s="70">
        <f t="shared" si="30"/>
        <v>1.1779309999999978</v>
      </c>
      <c r="L1128" s="70">
        <f t="shared" si="31"/>
        <v>1.1667095000000001</v>
      </c>
      <c r="M1128" s="70">
        <f t="shared" si="32"/>
        <v>1.1841495000000009</v>
      </c>
      <c r="N1128" s="68">
        <f t="shared" si="34"/>
        <v>1.1556999999999999</v>
      </c>
      <c r="O1128">
        <v>22.69653896811424</v>
      </c>
    </row>
    <row r="1129" spans="1:15" x14ac:dyDescent="0.2">
      <c r="A1129" s="7">
        <v>44140</v>
      </c>
      <c r="B1129">
        <v>1694655.4999999979</v>
      </c>
      <c r="C1129">
        <v>1683701.5</v>
      </c>
      <c r="D1129">
        <v>1736098.0000000009</v>
      </c>
      <c r="E1129" s="3">
        <v>15.91</v>
      </c>
      <c r="F1129" s="9">
        <f t="shared" si="11"/>
        <v>1.1853535000000008</v>
      </c>
      <c r="G1129" s="9">
        <f t="shared" si="26"/>
        <v>1.1777994999999979</v>
      </c>
      <c r="H1129" s="9">
        <f t="shared" si="27"/>
        <v>1.1668455</v>
      </c>
      <c r="I1129" s="9">
        <f t="shared" si="28"/>
        <v>1.1853535000000008</v>
      </c>
      <c r="J1129" s="9">
        <f t="shared" si="29"/>
        <v>1.1573804999999999</v>
      </c>
      <c r="K1129" s="70">
        <f t="shared" si="30"/>
        <v>1.179518999999998</v>
      </c>
      <c r="L1129" s="70">
        <f t="shared" si="31"/>
        <v>1.1685650000000001</v>
      </c>
      <c r="M1129" s="70">
        <f t="shared" si="32"/>
        <v>1.1870730000000009</v>
      </c>
      <c r="N1129" s="68">
        <f t="shared" ref="N1129:N1133" si="35">(100+E1129)/100</f>
        <v>1.1591</v>
      </c>
      <c r="O1129">
        <v>22.143404903181811</v>
      </c>
    </row>
    <row r="1130" spans="1:15" x14ac:dyDescent="0.2">
      <c r="A1130" s="7">
        <v>44141</v>
      </c>
      <c r="B1130">
        <v>1697706.4999999979</v>
      </c>
      <c r="C1130">
        <v>1686718.5</v>
      </c>
      <c r="D1130">
        <v>1738528</v>
      </c>
      <c r="E1130" s="3">
        <v>16.16</v>
      </c>
      <c r="F1130" s="9">
        <f t="shared" si="11"/>
        <v>1.1877835000000001</v>
      </c>
      <c r="G1130" s="9">
        <f t="shared" si="26"/>
        <v>1.1808504999999978</v>
      </c>
      <c r="H1130" s="9">
        <f t="shared" si="27"/>
        <v>1.1698625</v>
      </c>
      <c r="I1130" s="9">
        <f t="shared" si="28"/>
        <v>1.1877835000000001</v>
      </c>
      <c r="J1130" s="9">
        <f t="shared" si="29"/>
        <v>1.1598805000000001</v>
      </c>
      <c r="K1130" s="70">
        <f t="shared" si="30"/>
        <v>1.1825699999999979</v>
      </c>
      <c r="L1130" s="70">
        <f t="shared" si="31"/>
        <v>1.1715819999999999</v>
      </c>
      <c r="M1130" s="70">
        <f t="shared" si="32"/>
        <v>1.189503</v>
      </c>
      <c r="N1130" s="68">
        <f t="shared" si="35"/>
        <v>1.1616</v>
      </c>
      <c r="O1130">
        <v>21.76197739559035</v>
      </c>
    </row>
    <row r="1131" spans="1:15" x14ac:dyDescent="0.2">
      <c r="A1131" s="7">
        <v>44144</v>
      </c>
      <c r="B1131">
        <v>1692661.4999999979</v>
      </c>
      <c r="C1131">
        <v>1685926.5</v>
      </c>
      <c r="D1131">
        <v>1737401.0000000009</v>
      </c>
      <c r="E1131" s="3">
        <v>16.2</v>
      </c>
      <c r="F1131" s="9">
        <f t="shared" si="11"/>
        <v>1.1866565000000009</v>
      </c>
      <c r="G1131" s="9">
        <f t="shared" si="26"/>
        <v>1.1758054999999978</v>
      </c>
      <c r="H1131" s="9">
        <f t="shared" si="27"/>
        <v>1.1690704999999999</v>
      </c>
      <c r="I1131" s="9">
        <f t="shared" si="28"/>
        <v>1.1866565000000009</v>
      </c>
      <c r="J1131" s="9">
        <f t="shared" si="29"/>
        <v>1.1602805</v>
      </c>
      <c r="K1131" s="70">
        <f t="shared" si="30"/>
        <v>1.1775249999999979</v>
      </c>
      <c r="L1131" s="70">
        <f t="shared" si="31"/>
        <v>1.17079</v>
      </c>
      <c r="M1131" s="70">
        <f t="shared" si="32"/>
        <v>1.188376000000001</v>
      </c>
      <c r="N1131" s="68">
        <f>(100+E1131)/100</f>
        <v>1.1619999999999999</v>
      </c>
      <c r="O1131">
        <v>22.890944658916059</v>
      </c>
    </row>
    <row r="1132" spans="1:15" x14ac:dyDescent="0.2">
      <c r="A1132" s="7">
        <v>44145</v>
      </c>
      <c r="B1132">
        <v>1697755.9999999979</v>
      </c>
      <c r="C1132">
        <v>1687592</v>
      </c>
      <c r="D1132">
        <v>1738220.5000000009</v>
      </c>
      <c r="E1132" s="3">
        <v>16.3</v>
      </c>
      <c r="F1132" s="9">
        <f t="shared" si="11"/>
        <v>1.1874760000000009</v>
      </c>
      <c r="G1132" s="9">
        <f t="shared" si="26"/>
        <v>1.1808999999999978</v>
      </c>
      <c r="H1132" s="9">
        <f t="shared" si="27"/>
        <v>1.170736</v>
      </c>
      <c r="I1132" s="9">
        <f t="shared" si="28"/>
        <v>1.1874760000000009</v>
      </c>
      <c r="J1132" s="9">
        <f t="shared" si="29"/>
        <v>1.1612804999999999</v>
      </c>
      <c r="K1132" s="70">
        <f t="shared" si="30"/>
        <v>1.1826194999999979</v>
      </c>
      <c r="L1132" s="70">
        <f t="shared" si="31"/>
        <v>1.1724555000000001</v>
      </c>
      <c r="M1132" s="70">
        <f t="shared" si="32"/>
        <v>1.189195500000001</v>
      </c>
      <c r="N1132" s="68">
        <f t="shared" si="35"/>
        <v>1.163</v>
      </c>
      <c r="O1132">
        <v>22.733896506882878</v>
      </c>
    </row>
    <row r="1133" spans="1:15" x14ac:dyDescent="0.2">
      <c r="A1133" s="7">
        <v>44146</v>
      </c>
      <c r="B1133">
        <v>1699673.9999999979</v>
      </c>
      <c r="C1133">
        <v>1690962.5</v>
      </c>
      <c r="D1133">
        <v>1741750</v>
      </c>
      <c r="E1133" s="3">
        <v>16.670000000000002</v>
      </c>
      <c r="F1133" s="9">
        <f t="shared" si="11"/>
        <v>1.1910054999999999</v>
      </c>
      <c r="G1133" s="9">
        <f t="shared" si="26"/>
        <v>1.1828179999999979</v>
      </c>
      <c r="H1133" s="9">
        <f t="shared" si="27"/>
        <v>1.1741064999999999</v>
      </c>
      <c r="I1133" s="9">
        <f t="shared" si="28"/>
        <v>1.1910054999999999</v>
      </c>
      <c r="J1133" s="9">
        <f t="shared" si="29"/>
        <v>1.1649805</v>
      </c>
      <c r="K1133" s="70">
        <f t="shared" si="30"/>
        <v>1.1845374999999978</v>
      </c>
      <c r="L1133" s="70">
        <f t="shared" si="31"/>
        <v>1.175826</v>
      </c>
      <c r="M1133" s="70">
        <f t="shared" si="32"/>
        <v>1.192725</v>
      </c>
      <c r="N1133" s="68">
        <f t="shared" si="35"/>
        <v>1.1667000000000001</v>
      </c>
      <c r="O1133">
        <v>22.200075173204048</v>
      </c>
    </row>
    <row r="1134" spans="1:15" x14ac:dyDescent="0.2">
      <c r="A1134" s="7">
        <v>44147</v>
      </c>
      <c r="B1134">
        <v>1701652.4999999979</v>
      </c>
      <c r="C1134">
        <v>1694784.9999999991</v>
      </c>
      <c r="D1134">
        <v>1745618.0000000009</v>
      </c>
      <c r="E1134">
        <v>17.05</v>
      </c>
      <c r="F1134" s="9">
        <f t="shared" ref="F1134:F1174" si="36">(D1134-D$928+1000000)/1000000</f>
        <v>1.194873500000001</v>
      </c>
      <c r="G1134" s="9">
        <f t="shared" si="26"/>
        <v>1.1847964999999978</v>
      </c>
      <c r="H1134" s="9">
        <f t="shared" si="27"/>
        <v>1.1779289999999991</v>
      </c>
      <c r="I1134" s="9">
        <f t="shared" si="28"/>
        <v>1.194873500000001</v>
      </c>
      <c r="J1134" s="9">
        <f t="shared" si="29"/>
        <v>1.1687804999999998</v>
      </c>
      <c r="K1134" s="70">
        <f t="shared" si="30"/>
        <v>1.1865159999999979</v>
      </c>
      <c r="L1134" s="70">
        <f t="shared" si="31"/>
        <v>1.179648499999999</v>
      </c>
      <c r="M1134" s="70">
        <f t="shared" si="32"/>
        <v>1.1965930000000009</v>
      </c>
      <c r="N1134" s="68">
        <f t="shared" ref="N1134:N1148" si="37">(100+E1134)/100</f>
        <v>1.1704999999999999</v>
      </c>
      <c r="O1134">
        <v>21.729731419418631</v>
      </c>
    </row>
    <row r="1135" spans="1:15" x14ac:dyDescent="0.2">
      <c r="A1135" s="7">
        <v>44148</v>
      </c>
      <c r="B1135">
        <v>1691171.4999999979</v>
      </c>
      <c r="C1135">
        <v>1687794.9999999991</v>
      </c>
      <c r="D1135">
        <v>1740300.5000000009</v>
      </c>
      <c r="E1135">
        <v>16.16</v>
      </c>
      <c r="F1135" s="9">
        <f t="shared" si="36"/>
        <v>1.1895560000000009</v>
      </c>
      <c r="G1135" s="9">
        <f t="shared" si="26"/>
        <v>1.1743154999999978</v>
      </c>
      <c r="H1135" s="9">
        <f t="shared" si="27"/>
        <v>1.1709389999999991</v>
      </c>
      <c r="I1135" s="9">
        <f t="shared" si="28"/>
        <v>1.1895560000000009</v>
      </c>
      <c r="J1135" s="9">
        <f t="shared" si="29"/>
        <v>1.1598805000000001</v>
      </c>
      <c r="K1135" s="70">
        <f t="shared" si="30"/>
        <v>1.1760349999999979</v>
      </c>
      <c r="L1135" s="70">
        <f t="shared" si="31"/>
        <v>1.1726584999999992</v>
      </c>
      <c r="M1135" s="70">
        <f t="shared" si="32"/>
        <v>1.191275500000001</v>
      </c>
      <c r="N1135" s="68">
        <f t="shared" si="37"/>
        <v>1.1616</v>
      </c>
      <c r="O1135">
        <v>21.04418744786296</v>
      </c>
    </row>
    <row r="1136" spans="1:15" x14ac:dyDescent="0.2">
      <c r="A1136" s="7">
        <v>44151</v>
      </c>
      <c r="B1136">
        <v>1698434.4999999979</v>
      </c>
      <c r="C1136">
        <v>1692857.4999999991</v>
      </c>
      <c r="D1136">
        <v>1743362.0000000009</v>
      </c>
      <c r="E1136" s="3">
        <v>16.5</v>
      </c>
      <c r="F1136" s="9">
        <f t="shared" si="36"/>
        <v>1.192617500000001</v>
      </c>
      <c r="G1136" s="9">
        <f t="shared" si="26"/>
        <v>1.1815784999999979</v>
      </c>
      <c r="H1136" s="9">
        <f t="shared" si="27"/>
        <v>1.176001499999999</v>
      </c>
      <c r="I1136" s="9">
        <f t="shared" si="28"/>
        <v>1.192617500000001</v>
      </c>
      <c r="J1136" s="9">
        <f t="shared" si="29"/>
        <v>1.1632804999999999</v>
      </c>
      <c r="K1136" s="70">
        <f t="shared" si="30"/>
        <v>1.183297999999998</v>
      </c>
      <c r="L1136" s="70">
        <f t="shared" si="31"/>
        <v>1.1777209999999991</v>
      </c>
      <c r="M1136" s="70">
        <f t="shared" si="32"/>
        <v>1.1943370000000009</v>
      </c>
      <c r="N1136" s="68">
        <f t="shared" si="37"/>
        <v>1.165</v>
      </c>
      <c r="O1136">
        <v>20.99726068378467</v>
      </c>
    </row>
    <row r="1137" spans="1:15" x14ac:dyDescent="0.2">
      <c r="A1137" s="7">
        <v>44152</v>
      </c>
      <c r="B1137">
        <v>1699587.4999999979</v>
      </c>
      <c r="C1137">
        <v>1695494.4999999991</v>
      </c>
      <c r="D1137">
        <v>1746234.0000000009</v>
      </c>
      <c r="E1137" s="3">
        <v>16.79</v>
      </c>
      <c r="F1137" s="9">
        <f t="shared" si="36"/>
        <v>1.195489500000001</v>
      </c>
      <c r="G1137" s="9">
        <f t="shared" si="26"/>
        <v>1.1827314999999978</v>
      </c>
      <c r="H1137" s="9">
        <f t="shared" si="27"/>
        <v>1.178638499999999</v>
      </c>
      <c r="I1137" s="9">
        <f t="shared" si="28"/>
        <v>1.195489500000001</v>
      </c>
      <c r="J1137" s="9">
        <f t="shared" si="29"/>
        <v>1.1661805000000001</v>
      </c>
      <c r="K1137" s="70">
        <f t="shared" si="30"/>
        <v>1.1844509999999979</v>
      </c>
      <c r="L1137" s="70">
        <f t="shared" si="31"/>
        <v>1.1803579999999991</v>
      </c>
      <c r="M1137" s="70">
        <f t="shared" si="32"/>
        <v>1.1972090000000009</v>
      </c>
      <c r="N1137" s="68">
        <f t="shared" si="37"/>
        <v>1.1678999999999999</v>
      </c>
      <c r="O1137">
        <v>20.70021152363557</v>
      </c>
    </row>
    <row r="1138" spans="1:15" x14ac:dyDescent="0.2">
      <c r="A1138" s="7">
        <v>44153</v>
      </c>
      <c r="B1138">
        <v>1700370.9999999979</v>
      </c>
      <c r="C1138">
        <v>1694636.9999999991</v>
      </c>
      <c r="D1138">
        <v>1745578.5000000009</v>
      </c>
      <c r="E1138">
        <v>16.739999999999998</v>
      </c>
      <c r="F1138" s="9">
        <f t="shared" si="36"/>
        <v>1.1948340000000008</v>
      </c>
      <c r="G1138" s="9">
        <f t="shared" si="26"/>
        <v>1.1835149999999979</v>
      </c>
      <c r="H1138" s="9">
        <f t="shared" si="27"/>
        <v>1.1777809999999991</v>
      </c>
      <c r="I1138" s="9">
        <f t="shared" si="28"/>
        <v>1.1948340000000008</v>
      </c>
      <c r="J1138" s="9">
        <f t="shared" si="29"/>
        <v>1.1656804999999999</v>
      </c>
      <c r="K1138" s="70">
        <f t="shared" si="30"/>
        <v>1.185234499999998</v>
      </c>
      <c r="L1138" s="70">
        <f t="shared" si="31"/>
        <v>1.1795004999999992</v>
      </c>
      <c r="M1138" s="70">
        <f t="shared" si="32"/>
        <v>1.1965535000000009</v>
      </c>
      <c r="N1138" s="68">
        <f t="shared" si="37"/>
        <v>1.1674</v>
      </c>
      <c r="O1138">
        <v>23.01364508333587</v>
      </c>
    </row>
    <row r="1139" spans="1:15" x14ac:dyDescent="0.2">
      <c r="A1139" s="7">
        <v>44154</v>
      </c>
      <c r="B1139">
        <v>1699094.4999999979</v>
      </c>
      <c r="C1139">
        <v>1694868.9999999991</v>
      </c>
      <c r="D1139">
        <v>1745091.5000000009</v>
      </c>
      <c r="E1139">
        <v>16.71</v>
      </c>
      <c r="F1139" s="9">
        <f t="shared" si="36"/>
        <v>1.1943470000000009</v>
      </c>
      <c r="G1139" s="9">
        <f t="shared" si="26"/>
        <v>1.182238499999998</v>
      </c>
      <c r="H1139" s="9">
        <f t="shared" si="27"/>
        <v>1.1780129999999991</v>
      </c>
      <c r="I1139" s="9">
        <f t="shared" si="28"/>
        <v>1.1943470000000009</v>
      </c>
      <c r="J1139" s="9">
        <f t="shared" si="29"/>
        <v>1.1653804999999999</v>
      </c>
      <c r="K1139" s="70">
        <f t="shared" si="30"/>
        <v>1.1839579999999978</v>
      </c>
      <c r="L1139" s="70">
        <f t="shared" si="31"/>
        <v>1.179732499999999</v>
      </c>
      <c r="M1139" s="70">
        <f t="shared" si="32"/>
        <v>1.196066500000001</v>
      </c>
      <c r="N1139" s="68">
        <f t="shared" si="37"/>
        <v>1.1671</v>
      </c>
      <c r="O1139">
        <v>23.013309759800709</v>
      </c>
    </row>
    <row r="1140" spans="1:15" x14ac:dyDescent="0.2">
      <c r="A1140" s="7">
        <v>44155</v>
      </c>
      <c r="B1140">
        <v>1702693.4999999979</v>
      </c>
      <c r="C1140">
        <v>1698861.4999999991</v>
      </c>
      <c r="D1140">
        <v>1749227.5000000009</v>
      </c>
      <c r="E1140">
        <v>17.149999999999999</v>
      </c>
      <c r="F1140" s="9">
        <f t="shared" si="36"/>
        <v>1.1984830000000009</v>
      </c>
      <c r="G1140" s="9">
        <f t="shared" si="26"/>
        <v>1.1858374999999979</v>
      </c>
      <c r="H1140" s="9">
        <f t="shared" si="27"/>
        <v>1.1820054999999992</v>
      </c>
      <c r="I1140" s="9">
        <f t="shared" si="28"/>
        <v>1.1984830000000009</v>
      </c>
      <c r="J1140" s="9">
        <f t="shared" si="29"/>
        <v>1.1697804999999999</v>
      </c>
      <c r="K1140" s="70">
        <f t="shared" si="30"/>
        <v>1.187556999999998</v>
      </c>
      <c r="L1140" s="70">
        <f t="shared" si="31"/>
        <v>1.183724999999999</v>
      </c>
      <c r="M1140" s="70">
        <f t="shared" si="32"/>
        <v>1.2002025000000009</v>
      </c>
      <c r="N1140" s="68">
        <f t="shared" si="37"/>
        <v>1.1715</v>
      </c>
      <c r="O1140">
        <v>21.665708896591209</v>
      </c>
    </row>
    <row r="1141" spans="1:15" x14ac:dyDescent="0.2">
      <c r="A1141" s="7">
        <v>44158</v>
      </c>
      <c r="B1141">
        <v>1700687.9999999979</v>
      </c>
      <c r="C1141">
        <v>1699186.9999999991</v>
      </c>
      <c r="D1141">
        <v>1747887.0000000009</v>
      </c>
      <c r="E1141">
        <v>16.97</v>
      </c>
      <c r="F1141" s="9">
        <f t="shared" si="36"/>
        <v>1.1971425000000009</v>
      </c>
      <c r="G1141" s="9">
        <f t="shared" si="26"/>
        <v>1.183831999999998</v>
      </c>
      <c r="H1141" s="9">
        <f t="shared" si="27"/>
        <v>1.1823309999999991</v>
      </c>
      <c r="I1141" s="9">
        <f t="shared" si="28"/>
        <v>1.1971425000000009</v>
      </c>
      <c r="J1141" s="9">
        <f t="shared" si="29"/>
        <v>1.1679805000000001</v>
      </c>
      <c r="K1141" s="70">
        <f t="shared" si="30"/>
        <v>1.1855514999999979</v>
      </c>
      <c r="L1141" s="70">
        <f t="shared" si="31"/>
        <v>1.184050499999999</v>
      </c>
      <c r="M1141" s="70">
        <f t="shared" si="32"/>
        <v>1.198862000000001</v>
      </c>
      <c r="N1141" s="68">
        <f t="shared" si="37"/>
        <v>1.1697</v>
      </c>
      <c r="O1141">
        <v>21.955319254261649</v>
      </c>
    </row>
    <row r="1142" spans="1:15" x14ac:dyDescent="0.2">
      <c r="A1142" s="7">
        <v>44159</v>
      </c>
      <c r="B1142">
        <v>1702514.9999999979</v>
      </c>
      <c r="C1142">
        <v>1699408.9999999991</v>
      </c>
      <c r="D1142">
        <v>1748566.0000000009</v>
      </c>
      <c r="E1142">
        <v>17.079999999999998</v>
      </c>
      <c r="F1142" s="9">
        <f t="shared" si="36"/>
        <v>1.197821500000001</v>
      </c>
      <c r="G1142" s="9">
        <f t="shared" si="26"/>
        <v>1.1856589999999978</v>
      </c>
      <c r="H1142" s="9">
        <f t="shared" si="27"/>
        <v>1.1825529999999991</v>
      </c>
      <c r="I1142" s="9">
        <f t="shared" si="28"/>
        <v>1.197821500000001</v>
      </c>
      <c r="J1142" s="9">
        <f t="shared" si="29"/>
        <v>1.1690805</v>
      </c>
      <c r="K1142" s="70">
        <f t="shared" si="30"/>
        <v>1.1873784999999979</v>
      </c>
      <c r="L1142" s="70">
        <f t="shared" si="31"/>
        <v>1.1842724999999992</v>
      </c>
      <c r="M1142" s="70">
        <f t="shared" si="32"/>
        <v>1.1995410000000009</v>
      </c>
      <c r="N1142" s="68">
        <f t="shared" si="37"/>
        <v>1.1708000000000001</v>
      </c>
      <c r="O1142">
        <v>21.162240647671581</v>
      </c>
    </row>
    <row r="1143" spans="1:15" x14ac:dyDescent="0.2">
      <c r="A1143" s="7">
        <v>44160</v>
      </c>
      <c r="B1143">
        <v>1702659.4999999979</v>
      </c>
      <c r="C1143">
        <v>1700606.4999999991</v>
      </c>
      <c r="D1143">
        <v>1750225.0000000009</v>
      </c>
      <c r="E1143">
        <v>17.239999999999998</v>
      </c>
      <c r="F1143" s="9">
        <f t="shared" si="36"/>
        <v>1.1994805000000008</v>
      </c>
      <c r="G1143" s="9">
        <f t="shared" si="26"/>
        <v>1.185803499999998</v>
      </c>
      <c r="H1143" s="9">
        <f t="shared" si="27"/>
        <v>1.183750499999999</v>
      </c>
      <c r="I1143" s="9">
        <f t="shared" si="28"/>
        <v>1.1994805000000008</v>
      </c>
      <c r="J1143" s="9">
        <f t="shared" si="29"/>
        <v>1.1706805</v>
      </c>
      <c r="K1143" s="70">
        <f t="shared" si="30"/>
        <v>1.1875229999999979</v>
      </c>
      <c r="L1143" s="70">
        <f t="shared" si="31"/>
        <v>1.1854699999999991</v>
      </c>
      <c r="M1143" s="70">
        <f t="shared" si="32"/>
        <v>1.2012000000000009</v>
      </c>
      <c r="N1143" s="68">
        <f t="shared" si="37"/>
        <v>1.1723999999999999</v>
      </c>
      <c r="O1143">
        <v>20.808332248803321</v>
      </c>
    </row>
    <row r="1144" spans="1:15" x14ac:dyDescent="0.2">
      <c r="A1144" s="7">
        <v>44161</v>
      </c>
      <c r="B1144">
        <v>1708129.9999999979</v>
      </c>
      <c r="C1144">
        <v>1704906.4999999991</v>
      </c>
      <c r="D1144">
        <v>1755362.0000000009</v>
      </c>
      <c r="E1144">
        <v>17.850000000000001</v>
      </c>
      <c r="F1144" s="9">
        <f t="shared" si="36"/>
        <v>1.204617500000001</v>
      </c>
      <c r="G1144" s="9">
        <f t="shared" ref="G1144:G1174" si="38">(K1144*1000000+($D$1048-$D$928))/1000000</f>
        <v>1.1912739999999979</v>
      </c>
      <c r="H1144" s="9">
        <f t="shared" ref="H1144:H1174" si="39">(L1144*1000000+($D$1048-$D$928))/1000000</f>
        <v>1.188050499999999</v>
      </c>
      <c r="I1144" s="9">
        <f t="shared" ref="I1144:I1174" si="40">(M1144*1000000+($D$1048-$D$928))/1000000</f>
        <v>1.204617500000001</v>
      </c>
      <c r="J1144" s="9">
        <f t="shared" ref="J1144:J1174" si="41">(N1144*1000000+($D$1048-$D$928))/1000000</f>
        <v>1.1767804999999998</v>
      </c>
      <c r="K1144" s="70">
        <f t="shared" si="30"/>
        <v>1.1929934999999978</v>
      </c>
      <c r="L1144" s="70">
        <f t="shared" si="31"/>
        <v>1.1897699999999991</v>
      </c>
      <c r="M1144" s="70">
        <f t="shared" si="32"/>
        <v>1.2063370000000009</v>
      </c>
      <c r="N1144" s="68">
        <f t="shared" si="37"/>
        <v>1.1784999999999999</v>
      </c>
      <c r="O1144">
        <v>19.662028000966991</v>
      </c>
    </row>
    <row r="1145" spans="1:15" x14ac:dyDescent="0.2">
      <c r="A1145" s="7">
        <v>44162</v>
      </c>
      <c r="B1145">
        <v>1706773.9999999979</v>
      </c>
      <c r="C1145">
        <v>1700962.4999999991</v>
      </c>
      <c r="D1145">
        <v>1751500.0000000009</v>
      </c>
      <c r="E1145">
        <v>17.63</v>
      </c>
      <c r="F1145" s="9">
        <f t="shared" si="36"/>
        <v>1.200755500000001</v>
      </c>
      <c r="G1145" s="9">
        <f t="shared" si="38"/>
        <v>1.1899179999999978</v>
      </c>
      <c r="H1145" s="9">
        <f t="shared" si="39"/>
        <v>1.1841064999999991</v>
      </c>
      <c r="I1145" s="9">
        <f t="shared" si="40"/>
        <v>1.200755500000001</v>
      </c>
      <c r="J1145" s="9">
        <f t="shared" si="41"/>
        <v>1.1745805</v>
      </c>
      <c r="K1145" s="70">
        <f t="shared" ref="K1145:K1174" si="42">(B1145-B$1048+1000000)/1000000</f>
        <v>1.1916374999999979</v>
      </c>
      <c r="L1145" s="70">
        <f t="shared" ref="L1145:L1174" si="43">(C1145-C$1048+1000000)/1000000</f>
        <v>1.1858259999999992</v>
      </c>
      <c r="M1145" s="70">
        <f t="shared" ref="M1145:M1174" si="44">(D1145-D$1048+1000000)/1000000</f>
        <v>1.2024750000000008</v>
      </c>
      <c r="N1145" s="68">
        <f t="shared" si="37"/>
        <v>1.1762999999999999</v>
      </c>
      <c r="O1145">
        <v>20.367125485230272</v>
      </c>
    </row>
    <row r="1146" spans="1:15" x14ac:dyDescent="0.2">
      <c r="A1146" s="7">
        <v>44165</v>
      </c>
      <c r="B1146">
        <v>1707924.9999999979</v>
      </c>
      <c r="C1146">
        <v>1703394.9999999991</v>
      </c>
      <c r="D1146">
        <v>1752272.5000000009</v>
      </c>
      <c r="E1146">
        <v>17.97</v>
      </c>
      <c r="F1146" s="9">
        <f t="shared" si="36"/>
        <v>1.201528000000001</v>
      </c>
      <c r="G1146" s="9">
        <f t="shared" si="38"/>
        <v>1.1910689999999979</v>
      </c>
      <c r="H1146" s="9">
        <f t="shared" si="39"/>
        <v>1.1865389999999991</v>
      </c>
      <c r="I1146" s="9">
        <f t="shared" si="40"/>
        <v>1.201528000000001</v>
      </c>
      <c r="J1146" s="9">
        <f t="shared" si="41"/>
        <v>1.1779805000000001</v>
      </c>
      <c r="K1146" s="70">
        <f t="shared" si="42"/>
        <v>1.1927884999999978</v>
      </c>
      <c r="L1146" s="70">
        <f t="shared" si="43"/>
        <v>1.188258499999999</v>
      </c>
      <c r="M1146" s="70">
        <f t="shared" si="44"/>
        <v>1.2032475000000009</v>
      </c>
      <c r="N1146" s="68">
        <f t="shared" si="37"/>
        <v>1.1797</v>
      </c>
      <c r="O1146">
        <v>20.542446002447271</v>
      </c>
    </row>
    <row r="1147" spans="1:15" x14ac:dyDescent="0.2">
      <c r="A1147" s="7">
        <v>44166</v>
      </c>
      <c r="B1147">
        <v>1691255.099999998</v>
      </c>
      <c r="C1147">
        <v>1689380.046499999</v>
      </c>
      <c r="D1147">
        <v>1739790.057500001</v>
      </c>
      <c r="E1147">
        <v>15.7</v>
      </c>
      <c r="F1147" s="9">
        <f t="shared" si="36"/>
        <v>1.189045557500001</v>
      </c>
      <c r="G1147" s="9">
        <f t="shared" si="38"/>
        <v>1.174399099999998</v>
      </c>
      <c r="H1147" s="9">
        <f t="shared" si="39"/>
        <v>1.1725240464999991</v>
      </c>
      <c r="I1147" s="9">
        <f t="shared" si="40"/>
        <v>1.189045557500001</v>
      </c>
      <c r="J1147" s="9">
        <f t="shared" si="41"/>
        <v>1.1552804999999999</v>
      </c>
      <c r="K1147" s="70">
        <f t="shared" si="42"/>
        <v>1.1761185999999979</v>
      </c>
      <c r="L1147" s="70">
        <f t="shared" si="43"/>
        <v>1.174243546499999</v>
      </c>
      <c r="M1147" s="70">
        <f t="shared" si="44"/>
        <v>1.1907650575000011</v>
      </c>
      <c r="N1147" s="68">
        <f t="shared" si="37"/>
        <v>1.157</v>
      </c>
      <c r="O1147">
        <v>22.931993463092589</v>
      </c>
    </row>
    <row r="1148" spans="1:15" x14ac:dyDescent="0.2">
      <c r="A1148" s="7">
        <v>44167</v>
      </c>
      <c r="B1148">
        <v>1688066.099999998</v>
      </c>
      <c r="C1148">
        <v>1686249.046499999</v>
      </c>
      <c r="D1148">
        <v>1740705.0295000011</v>
      </c>
      <c r="E1148">
        <v>15.81</v>
      </c>
      <c r="F1148" s="9">
        <f t="shared" si="36"/>
        <v>1.1899605295000011</v>
      </c>
      <c r="G1148" s="9">
        <f t="shared" si="38"/>
        <v>1.1712100999999979</v>
      </c>
      <c r="H1148" s="9">
        <f t="shared" si="39"/>
        <v>1.1693930464999991</v>
      </c>
      <c r="I1148" s="9">
        <f t="shared" si="40"/>
        <v>1.1899605295000011</v>
      </c>
      <c r="J1148" s="9">
        <f t="shared" si="41"/>
        <v>1.1563805000000003</v>
      </c>
      <c r="K1148" s="70">
        <f t="shared" si="42"/>
        <v>1.172929599999998</v>
      </c>
      <c r="L1148" s="70">
        <f t="shared" si="43"/>
        <v>1.171112546499999</v>
      </c>
      <c r="M1148" s="70">
        <f t="shared" si="44"/>
        <v>1.1916800295000012</v>
      </c>
      <c r="N1148" s="68">
        <f t="shared" si="37"/>
        <v>1.1581000000000001</v>
      </c>
      <c r="O1148">
        <v>23.62676367810008</v>
      </c>
    </row>
    <row r="1149" spans="1:15" x14ac:dyDescent="0.2">
      <c r="A1149" s="7">
        <v>44168</v>
      </c>
      <c r="B1149">
        <v>1690323.599999998</v>
      </c>
      <c r="C1149">
        <v>1687852.046499999</v>
      </c>
      <c r="D1149">
        <v>1742660.951000001</v>
      </c>
      <c r="E1149" s="3">
        <v>17.02</v>
      </c>
      <c r="F1149" s="9">
        <f t="shared" si="36"/>
        <v>1.1919164510000011</v>
      </c>
      <c r="G1149" s="9">
        <f t="shared" si="38"/>
        <v>1.1734675999999979</v>
      </c>
      <c r="H1149" s="9">
        <f t="shared" si="39"/>
        <v>1.1709960464999991</v>
      </c>
      <c r="I1149" s="9">
        <f t="shared" si="40"/>
        <v>1.1919164510000011</v>
      </c>
      <c r="J1149" s="9">
        <f t="shared" si="41"/>
        <v>1.1684805</v>
      </c>
      <c r="K1149" s="70">
        <f t="shared" si="42"/>
        <v>1.175187099999998</v>
      </c>
      <c r="L1149" s="70">
        <f t="shared" si="43"/>
        <v>1.172715546499999</v>
      </c>
      <c r="M1149" s="70">
        <f t="shared" si="44"/>
        <v>1.193635951000001</v>
      </c>
      <c r="N1149" s="68">
        <f t="shared" ref="N1149:N1168" si="45">(100+E1149)/100</f>
        <v>1.1701999999999999</v>
      </c>
      <c r="O1149">
        <v>23.363193494906049</v>
      </c>
    </row>
    <row r="1150" spans="1:15" x14ac:dyDescent="0.2">
      <c r="A1150" s="7">
        <v>44169</v>
      </c>
      <c r="B1150">
        <v>1696156.099999998</v>
      </c>
      <c r="C1150">
        <v>1694056.546499999</v>
      </c>
      <c r="D1150">
        <v>1747343.921000001</v>
      </c>
      <c r="E1150" s="3">
        <v>17.05</v>
      </c>
      <c r="F1150" s="9">
        <f t="shared" si="36"/>
        <v>1.1965994210000011</v>
      </c>
      <c r="G1150" s="9">
        <f t="shared" si="38"/>
        <v>1.1793000999999981</v>
      </c>
      <c r="H1150" s="9">
        <f t="shared" si="39"/>
        <v>1.1772005464999991</v>
      </c>
      <c r="I1150" s="9">
        <f t="shared" si="40"/>
        <v>1.1965994210000011</v>
      </c>
      <c r="J1150" s="9">
        <f t="shared" si="41"/>
        <v>1.1687804999999998</v>
      </c>
      <c r="K1150" s="70">
        <f t="shared" si="42"/>
        <v>1.1810195999999979</v>
      </c>
      <c r="L1150" s="70">
        <f t="shared" si="43"/>
        <v>1.1789200464999989</v>
      </c>
      <c r="M1150" s="70">
        <f t="shared" si="44"/>
        <v>1.1983189210000009</v>
      </c>
      <c r="N1150" s="68">
        <f t="shared" si="45"/>
        <v>1.1704999999999999</v>
      </c>
      <c r="O1150">
        <v>22.5247411698791</v>
      </c>
    </row>
    <row r="1151" spans="1:15" x14ac:dyDescent="0.2">
      <c r="A1151" s="7">
        <v>44172</v>
      </c>
      <c r="B1151">
        <v>1702906.099999998</v>
      </c>
      <c r="C1151">
        <v>1700032.046499999</v>
      </c>
      <c r="D1151">
        <v>1753113.022000001</v>
      </c>
      <c r="E1151" s="3">
        <v>17.350000000000001</v>
      </c>
      <c r="F1151" s="9">
        <f t="shared" si="36"/>
        <v>1.2023685220000011</v>
      </c>
      <c r="G1151" s="9">
        <f t="shared" si="38"/>
        <v>1.1860500999999981</v>
      </c>
      <c r="H1151" s="9">
        <f t="shared" si="39"/>
        <v>1.183176046499999</v>
      </c>
      <c r="I1151" s="9">
        <f t="shared" si="40"/>
        <v>1.2023685220000011</v>
      </c>
      <c r="J1151" s="9">
        <f t="shared" si="41"/>
        <v>1.1717804999999999</v>
      </c>
      <c r="K1151" s="70">
        <f t="shared" si="42"/>
        <v>1.187769599999998</v>
      </c>
      <c r="L1151" s="70">
        <f t="shared" si="43"/>
        <v>1.1848955464999991</v>
      </c>
      <c r="M1151" s="70">
        <f t="shared" si="44"/>
        <v>1.204088022000001</v>
      </c>
      <c r="N1151" s="68">
        <f t="shared" si="45"/>
        <v>1.1735</v>
      </c>
      <c r="O1151">
        <v>21.36058090433168</v>
      </c>
    </row>
    <row r="1152" spans="1:15" x14ac:dyDescent="0.2">
      <c r="A1152" s="7">
        <v>44173</v>
      </c>
      <c r="B1152">
        <v>1709547.599999998</v>
      </c>
      <c r="C1152">
        <v>1706135.046499999</v>
      </c>
      <c r="D1152">
        <v>1758732.9555000011</v>
      </c>
      <c r="E1152" s="3">
        <v>17.34</v>
      </c>
      <c r="F1152" s="9">
        <f t="shared" si="36"/>
        <v>1.2079884555000011</v>
      </c>
      <c r="G1152" s="9">
        <f t="shared" si="38"/>
        <v>1.1926915999999981</v>
      </c>
      <c r="H1152" s="9">
        <f t="shared" si="39"/>
        <v>1.1892790464999989</v>
      </c>
      <c r="I1152" s="9">
        <f t="shared" si="40"/>
        <v>1.2079884555000011</v>
      </c>
      <c r="J1152" s="9">
        <f t="shared" si="41"/>
        <v>1.1716804999999999</v>
      </c>
      <c r="K1152" s="70">
        <f t="shared" si="42"/>
        <v>1.1944110999999979</v>
      </c>
      <c r="L1152" s="70">
        <f t="shared" si="43"/>
        <v>1.190998546499999</v>
      </c>
      <c r="M1152" s="70">
        <f t="shared" si="44"/>
        <v>1.209707955500001</v>
      </c>
      <c r="N1152" s="68">
        <f t="shared" si="45"/>
        <v>1.1734</v>
      </c>
      <c r="O1152">
        <v>20.32594436376435</v>
      </c>
    </row>
    <row r="1153" spans="1:15" x14ac:dyDescent="0.2">
      <c r="A1153" s="7">
        <v>44174</v>
      </c>
      <c r="B1153">
        <v>1713226.599999998</v>
      </c>
      <c r="C1153">
        <v>1708640.046499999</v>
      </c>
      <c r="D1153">
        <v>1763845.9290000009</v>
      </c>
      <c r="E1153" s="3">
        <v>17.23</v>
      </c>
      <c r="F1153" s="9">
        <f t="shared" si="36"/>
        <v>1.2131014290000008</v>
      </c>
      <c r="G1153" s="9">
        <f t="shared" si="38"/>
        <v>1.1963705999999981</v>
      </c>
      <c r="H1153" s="9">
        <f t="shared" si="39"/>
        <v>1.1917840464999989</v>
      </c>
      <c r="I1153" s="9">
        <f t="shared" si="40"/>
        <v>1.2131014290000008</v>
      </c>
      <c r="J1153" s="9">
        <f t="shared" si="41"/>
        <v>1.1705805000000002</v>
      </c>
      <c r="K1153" s="70">
        <f t="shared" si="42"/>
        <v>1.1980900999999979</v>
      </c>
      <c r="L1153" s="70">
        <f t="shared" si="43"/>
        <v>1.193503546499999</v>
      </c>
      <c r="M1153" s="70">
        <f t="shared" si="44"/>
        <v>1.2148209290000009</v>
      </c>
      <c r="N1153" s="68">
        <f t="shared" si="45"/>
        <v>1.1723000000000001</v>
      </c>
      <c r="O1153">
        <v>19.651181031431779</v>
      </c>
    </row>
    <row r="1154" spans="1:15" x14ac:dyDescent="0.2">
      <c r="A1154" s="7">
        <v>44175</v>
      </c>
      <c r="B1154">
        <v>1716479.599999998</v>
      </c>
      <c r="C1154">
        <v>1714370.546499999</v>
      </c>
      <c r="D1154">
        <v>1767081.3170000019</v>
      </c>
      <c r="E1154" s="3">
        <v>17.170000000000002</v>
      </c>
      <c r="F1154" s="9">
        <f t="shared" si="36"/>
        <v>1.216336817000002</v>
      </c>
      <c r="G1154" s="9">
        <f t="shared" si="38"/>
        <v>1.199623599999998</v>
      </c>
      <c r="H1154" s="9">
        <f t="shared" si="39"/>
        <v>1.197514546499999</v>
      </c>
      <c r="I1154" s="9">
        <f t="shared" si="40"/>
        <v>1.216336817000002</v>
      </c>
      <c r="J1154" s="9">
        <f t="shared" si="41"/>
        <v>1.1699805000000001</v>
      </c>
      <c r="K1154" s="70">
        <f t="shared" si="42"/>
        <v>1.2013430999999979</v>
      </c>
      <c r="L1154" s="70">
        <f t="shared" si="43"/>
        <v>1.1992340464999991</v>
      </c>
      <c r="M1154" s="70">
        <f t="shared" si="44"/>
        <v>1.2180563170000018</v>
      </c>
      <c r="N1154" s="68">
        <f t="shared" si="45"/>
        <v>1.1717</v>
      </c>
      <c r="O1154">
        <v>18.745733880843812</v>
      </c>
    </row>
    <row r="1155" spans="1:15" x14ac:dyDescent="0.2">
      <c r="A1155" s="7">
        <v>44176</v>
      </c>
      <c r="B1155">
        <v>1711547.099999998</v>
      </c>
      <c r="C1155">
        <v>1713666.546499999</v>
      </c>
      <c r="D1155">
        <v>1766444.612500001</v>
      </c>
      <c r="E1155" s="3">
        <v>17.57</v>
      </c>
      <c r="F1155" s="9">
        <f t="shared" si="36"/>
        <v>1.2157001125000009</v>
      </c>
      <c r="G1155" s="9">
        <f t="shared" si="38"/>
        <v>1.194691099999998</v>
      </c>
      <c r="H1155" s="9">
        <f t="shared" si="39"/>
        <v>1.196810546499999</v>
      </c>
      <c r="I1155" s="9">
        <f t="shared" si="40"/>
        <v>1.2157001125000009</v>
      </c>
      <c r="J1155" s="9">
        <f t="shared" si="41"/>
        <v>1.1739805000000001</v>
      </c>
      <c r="K1155" s="70">
        <f t="shared" si="42"/>
        <v>1.1964105999999981</v>
      </c>
      <c r="L1155" s="70">
        <f t="shared" si="43"/>
        <v>1.1985300464999991</v>
      </c>
      <c r="M1155" s="70">
        <f t="shared" si="44"/>
        <v>1.217419612500001</v>
      </c>
      <c r="N1155" s="68">
        <f t="shared" si="45"/>
        <v>1.1757</v>
      </c>
      <c r="O1155">
        <v>19.27655676492175</v>
      </c>
    </row>
    <row r="1156" spans="1:15" x14ac:dyDescent="0.2">
      <c r="A1156" s="7">
        <v>44179</v>
      </c>
      <c r="B1156">
        <v>1721611.099999998</v>
      </c>
      <c r="C1156">
        <v>1721652.046499999</v>
      </c>
      <c r="D1156">
        <v>1769569.5285000009</v>
      </c>
      <c r="E1156" s="3">
        <v>20.65</v>
      </c>
      <c r="F1156" s="9">
        <f t="shared" si="36"/>
        <v>1.2188250285000009</v>
      </c>
      <c r="G1156" s="9">
        <f t="shared" si="38"/>
        <v>1.2047550999999981</v>
      </c>
      <c r="H1156" s="9">
        <f t="shared" si="39"/>
        <v>1.2047960464999989</v>
      </c>
      <c r="I1156" s="9">
        <f t="shared" si="40"/>
        <v>1.2188250285000009</v>
      </c>
      <c r="J1156" s="9">
        <f t="shared" si="41"/>
        <v>1.2047805000000003</v>
      </c>
      <c r="K1156" s="70">
        <f t="shared" si="42"/>
        <v>1.206474599999998</v>
      </c>
      <c r="L1156" s="70">
        <f t="shared" si="43"/>
        <v>1.206515546499999</v>
      </c>
      <c r="M1156" s="70">
        <f t="shared" si="44"/>
        <v>1.2205445285000009</v>
      </c>
      <c r="N1156" s="68">
        <f t="shared" si="45"/>
        <v>1.2065000000000001</v>
      </c>
      <c r="O1156">
        <v>18.516943193677179</v>
      </c>
    </row>
    <row r="1157" spans="1:15" x14ac:dyDescent="0.2">
      <c r="A1157" s="7">
        <v>44180</v>
      </c>
      <c r="B1157">
        <v>1721936.099999998</v>
      </c>
      <c r="C1157">
        <v>1721602.546499999</v>
      </c>
      <c r="D1157">
        <v>1770483.5580000009</v>
      </c>
      <c r="E1157" s="3">
        <v>20.62</v>
      </c>
      <c r="F1157" s="9">
        <f t="shared" si="36"/>
        <v>1.2197390580000009</v>
      </c>
      <c r="G1157" s="9">
        <f t="shared" si="38"/>
        <v>1.205080099999998</v>
      </c>
      <c r="H1157" s="9">
        <f t="shared" si="39"/>
        <v>1.2047465464999989</v>
      </c>
      <c r="I1157" s="9">
        <f t="shared" si="40"/>
        <v>1.2197390580000009</v>
      </c>
      <c r="J1157" s="9">
        <f t="shared" si="41"/>
        <v>1.2044805000000001</v>
      </c>
      <c r="K1157" s="70">
        <f t="shared" si="42"/>
        <v>1.2067995999999981</v>
      </c>
      <c r="L1157" s="70">
        <f t="shared" si="43"/>
        <v>1.206466046499999</v>
      </c>
      <c r="M1157" s="70">
        <f t="shared" si="44"/>
        <v>1.2214585580000008</v>
      </c>
      <c r="N1157" s="68">
        <f t="shared" si="45"/>
        <v>1.2061999999999999</v>
      </c>
      <c r="O1157">
        <v>18.472803111500919</v>
      </c>
    </row>
    <row r="1158" spans="1:15" x14ac:dyDescent="0.2">
      <c r="A1158" s="7">
        <v>44181</v>
      </c>
      <c r="B1158">
        <v>1721394.599999998</v>
      </c>
      <c r="C1158">
        <v>1722205.046499999</v>
      </c>
      <c r="D1158">
        <v>1770403.921000001</v>
      </c>
      <c r="E1158" s="3">
        <v>20.61</v>
      </c>
      <c r="F1158" s="9">
        <f t="shared" si="36"/>
        <v>1.2196594210000011</v>
      </c>
      <c r="G1158" s="9">
        <f t="shared" si="38"/>
        <v>1.204538599999998</v>
      </c>
      <c r="H1158" s="9">
        <f t="shared" si="39"/>
        <v>1.205349046499999</v>
      </c>
      <c r="I1158" s="9">
        <f t="shared" si="40"/>
        <v>1.2196594210000011</v>
      </c>
      <c r="J1158" s="9">
        <f t="shared" si="41"/>
        <v>1.2043805000000001</v>
      </c>
      <c r="K1158" s="70">
        <f t="shared" si="42"/>
        <v>1.2062580999999979</v>
      </c>
      <c r="L1158" s="70">
        <f t="shared" si="43"/>
        <v>1.2070685464999991</v>
      </c>
      <c r="M1158" s="70">
        <f t="shared" si="44"/>
        <v>1.221378921000001</v>
      </c>
      <c r="N1158" s="68">
        <f t="shared" si="45"/>
        <v>1.2060999999999999</v>
      </c>
      <c r="O1158">
        <v>21.936201923851652</v>
      </c>
    </row>
    <row r="1159" spans="1:15" x14ac:dyDescent="0.2">
      <c r="A1159" s="7">
        <v>44182</v>
      </c>
      <c r="B1159">
        <v>1719294.099999998</v>
      </c>
      <c r="C1159">
        <v>1719086.546499999</v>
      </c>
      <c r="D1159">
        <v>1768588.547000001</v>
      </c>
      <c r="E1159" s="3">
        <v>20.39</v>
      </c>
      <c r="F1159" s="9">
        <f t="shared" si="36"/>
        <v>1.2178440470000009</v>
      </c>
      <c r="G1159" s="9">
        <f t="shared" si="38"/>
        <v>1.202438099999998</v>
      </c>
      <c r="H1159" s="9">
        <f t="shared" si="39"/>
        <v>1.2022305464999989</v>
      </c>
      <c r="I1159" s="9">
        <f t="shared" si="40"/>
        <v>1.2178440470000009</v>
      </c>
      <c r="J1159" s="9">
        <f t="shared" si="41"/>
        <v>1.2021805000000001</v>
      </c>
      <c r="K1159" s="70">
        <f t="shared" si="42"/>
        <v>1.2041575999999981</v>
      </c>
      <c r="L1159" s="70">
        <f t="shared" si="43"/>
        <v>1.203950046499999</v>
      </c>
      <c r="M1159" s="70">
        <f t="shared" si="44"/>
        <v>1.219563547000001</v>
      </c>
      <c r="N1159" s="68">
        <f t="shared" si="45"/>
        <v>1.2039</v>
      </c>
      <c r="O1159">
        <v>22.066231245114121</v>
      </c>
    </row>
    <row r="1160" spans="1:15" x14ac:dyDescent="0.2">
      <c r="A1160" s="7">
        <v>44183</v>
      </c>
      <c r="B1160">
        <v>1721099.599999998</v>
      </c>
      <c r="C1160">
        <v>1720676.046499999</v>
      </c>
      <c r="D1160">
        <v>1770457.040000001</v>
      </c>
      <c r="E1160" s="3">
        <v>20.47</v>
      </c>
      <c r="F1160" s="9">
        <f t="shared" si="36"/>
        <v>1.2197125400000011</v>
      </c>
      <c r="G1160" s="9">
        <f t="shared" si="38"/>
        <v>1.2042435999999981</v>
      </c>
      <c r="H1160" s="9">
        <f t="shared" si="39"/>
        <v>1.2038200464999991</v>
      </c>
      <c r="I1160" s="9">
        <f t="shared" si="40"/>
        <v>1.2197125400000011</v>
      </c>
      <c r="J1160" s="9">
        <f t="shared" si="41"/>
        <v>1.2029804999999998</v>
      </c>
      <c r="K1160" s="70">
        <f t="shared" si="42"/>
        <v>1.205963099999998</v>
      </c>
      <c r="L1160" s="70">
        <f t="shared" si="43"/>
        <v>1.2055395464999989</v>
      </c>
      <c r="M1160" s="70">
        <f t="shared" si="44"/>
        <v>1.2214320400000009</v>
      </c>
      <c r="N1160" s="68">
        <f t="shared" si="45"/>
        <v>1.2046999999999999</v>
      </c>
      <c r="O1160">
        <v>21.147334735799529</v>
      </c>
    </row>
    <row r="1161" spans="1:15" x14ac:dyDescent="0.2">
      <c r="A1161" s="7">
        <v>44186</v>
      </c>
      <c r="B1161">
        <v>1720190.099999998</v>
      </c>
      <c r="C1161">
        <v>1719472.046499999</v>
      </c>
      <c r="D1161">
        <v>1768814.276000001</v>
      </c>
      <c r="E1161" s="3">
        <v>20.45</v>
      </c>
      <c r="F1161" s="9">
        <f t="shared" si="36"/>
        <v>1.218069776000001</v>
      </c>
      <c r="G1161" s="9">
        <f t="shared" si="38"/>
        <v>1.203334099999998</v>
      </c>
      <c r="H1161" s="9">
        <f t="shared" si="39"/>
        <v>1.2026160464999991</v>
      </c>
      <c r="I1161" s="9">
        <f t="shared" si="40"/>
        <v>1.218069776000001</v>
      </c>
      <c r="J1161" s="9">
        <f t="shared" si="41"/>
        <v>1.2027805000000003</v>
      </c>
      <c r="K1161" s="70">
        <f t="shared" si="42"/>
        <v>1.2050535999999981</v>
      </c>
      <c r="L1161" s="70">
        <f t="shared" si="43"/>
        <v>1.204335546499999</v>
      </c>
      <c r="M1161" s="70">
        <f t="shared" si="44"/>
        <v>1.2197892760000011</v>
      </c>
      <c r="N1161" s="68">
        <f t="shared" si="45"/>
        <v>1.2045000000000001</v>
      </c>
      <c r="O1161">
        <v>21.629198359418329</v>
      </c>
    </row>
    <row r="1162" spans="1:15" x14ac:dyDescent="0.2">
      <c r="A1162" s="7">
        <v>44187</v>
      </c>
      <c r="B1162">
        <v>1718950.599999998</v>
      </c>
      <c r="C1162">
        <v>1718060.546499999</v>
      </c>
      <c r="D1162">
        <v>1769308.1940000011</v>
      </c>
      <c r="E1162" s="3">
        <v>20.399999999999999</v>
      </c>
      <c r="F1162" s="9">
        <f t="shared" si="36"/>
        <v>1.2185636940000011</v>
      </c>
      <c r="G1162" s="9">
        <f t="shared" si="38"/>
        <v>1.2020945999999979</v>
      </c>
      <c r="H1162" s="9">
        <f t="shared" si="39"/>
        <v>1.201204546499999</v>
      </c>
      <c r="I1162" s="9">
        <f t="shared" si="40"/>
        <v>1.2185636940000011</v>
      </c>
      <c r="J1162" s="9">
        <f t="shared" si="41"/>
        <v>1.2022805000000001</v>
      </c>
      <c r="K1162" s="70">
        <f t="shared" si="42"/>
        <v>1.203814099999998</v>
      </c>
      <c r="L1162" s="70">
        <f t="shared" si="43"/>
        <v>1.2029240464999991</v>
      </c>
      <c r="M1162" s="70">
        <f t="shared" si="44"/>
        <v>1.220283194000001</v>
      </c>
      <c r="N1162" s="68">
        <f t="shared" si="45"/>
        <v>1.204</v>
      </c>
      <c r="O1162">
        <v>21.057410122506329</v>
      </c>
    </row>
    <row r="1163" spans="1:15" x14ac:dyDescent="0.2">
      <c r="A1163" s="7">
        <v>44188</v>
      </c>
      <c r="B1163">
        <v>1720507.099999998</v>
      </c>
      <c r="C1163">
        <v>1718943.546499999</v>
      </c>
      <c r="D1163">
        <v>1769423.0875000011</v>
      </c>
      <c r="E1163" s="3">
        <v>20.41</v>
      </c>
      <c r="F1163" s="9">
        <f t="shared" si="36"/>
        <v>1.218678587500001</v>
      </c>
      <c r="G1163" s="9">
        <f t="shared" si="38"/>
        <v>1.2036510999999981</v>
      </c>
      <c r="H1163" s="9">
        <f t="shared" si="39"/>
        <v>1.2020875464999989</v>
      </c>
      <c r="I1163" s="9">
        <f t="shared" si="40"/>
        <v>1.218678587500001</v>
      </c>
      <c r="J1163" s="9">
        <f t="shared" si="41"/>
        <v>1.2023805000000001</v>
      </c>
      <c r="K1163" s="70">
        <f t="shared" si="42"/>
        <v>1.205370599999998</v>
      </c>
      <c r="L1163" s="70">
        <f t="shared" si="43"/>
        <v>1.203807046499999</v>
      </c>
      <c r="M1163" s="70">
        <f t="shared" si="44"/>
        <v>1.2203980875000011</v>
      </c>
      <c r="N1163" s="68">
        <f t="shared" si="45"/>
        <v>1.2040999999999999</v>
      </c>
      <c r="O1163">
        <v>20.648635938159831</v>
      </c>
    </row>
    <row r="1164" spans="1:15" x14ac:dyDescent="0.2">
      <c r="A1164" s="7">
        <v>44189</v>
      </c>
      <c r="B1164">
        <v>1722642.099999998</v>
      </c>
      <c r="C1164">
        <v>1720959.046499999</v>
      </c>
      <c r="D1164">
        <v>1771384.9870000009</v>
      </c>
      <c r="E1164" s="3">
        <v>20.41</v>
      </c>
      <c r="F1164" s="9">
        <f t="shared" si="36"/>
        <v>1.2206404870000009</v>
      </c>
      <c r="G1164" s="9">
        <f t="shared" si="38"/>
        <v>1.2057860999999981</v>
      </c>
      <c r="H1164" s="9">
        <f t="shared" si="39"/>
        <v>1.2041030464999991</v>
      </c>
      <c r="I1164" s="9">
        <f t="shared" si="40"/>
        <v>1.2206404870000009</v>
      </c>
      <c r="J1164" s="9">
        <f t="shared" si="41"/>
        <v>1.2023805000000001</v>
      </c>
      <c r="K1164" s="70">
        <f t="shared" si="42"/>
        <v>1.207505599999998</v>
      </c>
      <c r="L1164" s="70">
        <f t="shared" si="43"/>
        <v>1.205822546499999</v>
      </c>
      <c r="M1164" s="70">
        <f t="shared" si="44"/>
        <v>1.2223599870000008</v>
      </c>
      <c r="N1164" s="68">
        <f t="shared" si="45"/>
        <v>1.2040999999999999</v>
      </c>
      <c r="O1164">
        <v>19.488301655812979</v>
      </c>
    </row>
    <row r="1165" spans="1:15" x14ac:dyDescent="0.2">
      <c r="A1165" s="7">
        <v>44190</v>
      </c>
      <c r="B1165">
        <v>1723633.099999998</v>
      </c>
      <c r="C1165">
        <v>1721706.546499999</v>
      </c>
      <c r="D1165">
        <v>1771834.2670000009</v>
      </c>
      <c r="E1165" s="3">
        <v>20.39</v>
      </c>
      <c r="F1165" s="9">
        <f t="shared" si="36"/>
        <v>1.2210897670000009</v>
      </c>
      <c r="G1165" s="9">
        <f t="shared" si="38"/>
        <v>1.206777099999998</v>
      </c>
      <c r="H1165" s="9">
        <f t="shared" si="39"/>
        <v>1.204850546499999</v>
      </c>
      <c r="I1165" s="9">
        <f t="shared" si="40"/>
        <v>1.2210897670000009</v>
      </c>
      <c r="J1165" s="9">
        <f t="shared" si="41"/>
        <v>1.2021805000000001</v>
      </c>
      <c r="K1165" s="70">
        <f t="shared" si="42"/>
        <v>1.2084965999999979</v>
      </c>
      <c r="L1165" s="70">
        <f t="shared" si="43"/>
        <v>1.2065700464999991</v>
      </c>
      <c r="M1165" s="70">
        <f t="shared" si="44"/>
        <v>1.222809267000001</v>
      </c>
      <c r="N1165" s="68">
        <f t="shared" si="45"/>
        <v>1.2039</v>
      </c>
      <c r="O1165">
        <v>18.999229746116011</v>
      </c>
    </row>
    <row r="1166" spans="1:15" x14ac:dyDescent="0.2">
      <c r="A1166" s="7">
        <v>44193</v>
      </c>
      <c r="B1166">
        <v>1726422.099999998</v>
      </c>
      <c r="C1166">
        <v>1723529.546499999</v>
      </c>
      <c r="D1166">
        <v>1772547.462000001</v>
      </c>
      <c r="E1166" s="3">
        <v>20.38</v>
      </c>
      <c r="F1166" s="9">
        <f t="shared" si="36"/>
        <v>1.221802962000001</v>
      </c>
      <c r="G1166" s="9">
        <f t="shared" si="38"/>
        <v>1.209566099999998</v>
      </c>
      <c r="H1166" s="9">
        <f t="shared" si="39"/>
        <v>1.2066735464999989</v>
      </c>
      <c r="I1166" s="9">
        <f t="shared" si="40"/>
        <v>1.221802962000001</v>
      </c>
      <c r="J1166" s="9">
        <f t="shared" si="41"/>
        <v>1.2020805000000001</v>
      </c>
      <c r="K1166" s="70">
        <f t="shared" si="42"/>
        <v>1.2112855999999981</v>
      </c>
      <c r="L1166" s="70">
        <f t="shared" si="43"/>
        <v>1.208393046499999</v>
      </c>
      <c r="M1166" s="70">
        <f t="shared" si="44"/>
        <v>1.2235224620000009</v>
      </c>
      <c r="N1166" s="68">
        <f t="shared" si="45"/>
        <v>1.2038</v>
      </c>
      <c r="O1166">
        <v>18.502444072094718</v>
      </c>
    </row>
    <row r="1167" spans="1:15" x14ac:dyDescent="0.2">
      <c r="A1167" s="7">
        <v>44194</v>
      </c>
      <c r="B1167">
        <v>1724774.099999998</v>
      </c>
      <c r="C1167">
        <v>1722839.546499999</v>
      </c>
      <c r="D1167">
        <v>1772422.9700000009</v>
      </c>
      <c r="E1167" s="3">
        <v>20.38</v>
      </c>
      <c r="F1167" s="9">
        <f t="shared" si="36"/>
        <v>1.221678470000001</v>
      </c>
      <c r="G1167" s="9">
        <f t="shared" si="38"/>
        <v>1.2079180999999981</v>
      </c>
      <c r="H1167" s="9">
        <f t="shared" si="39"/>
        <v>1.2059835464999991</v>
      </c>
      <c r="I1167" s="9">
        <f t="shared" si="40"/>
        <v>1.221678470000001</v>
      </c>
      <c r="J1167" s="9">
        <f t="shared" si="41"/>
        <v>1.2020805000000001</v>
      </c>
      <c r="K1167" s="70">
        <f t="shared" si="42"/>
        <v>1.209637599999998</v>
      </c>
      <c r="L1167" s="70">
        <f t="shared" si="43"/>
        <v>1.2077030464999989</v>
      </c>
      <c r="M1167" s="70">
        <f t="shared" si="44"/>
        <v>1.2233979700000008</v>
      </c>
      <c r="N1167" s="68">
        <f t="shared" si="45"/>
        <v>1.2038</v>
      </c>
      <c r="O1167">
        <v>18.928182366355099</v>
      </c>
    </row>
    <row r="1168" spans="1:15" x14ac:dyDescent="0.2">
      <c r="A1168" s="7">
        <v>44195</v>
      </c>
      <c r="B1168">
        <v>1723019.599999998</v>
      </c>
      <c r="C1168">
        <v>1720944.046499999</v>
      </c>
      <c r="D1168">
        <v>1771236.912500001</v>
      </c>
      <c r="E1168" s="3">
        <v>20.11</v>
      </c>
      <c r="F1168" s="9">
        <f t="shared" si="36"/>
        <v>1.220492412500001</v>
      </c>
      <c r="G1168" s="9">
        <f t="shared" si="38"/>
        <v>1.206163599999998</v>
      </c>
      <c r="H1168" s="9">
        <f t="shared" si="39"/>
        <v>1.204088046499999</v>
      </c>
      <c r="I1168" s="9">
        <f t="shared" si="40"/>
        <v>1.220492412500001</v>
      </c>
      <c r="J1168" s="9">
        <f t="shared" si="41"/>
        <v>1.1993805</v>
      </c>
      <c r="K1168" s="70">
        <f t="shared" si="42"/>
        <v>1.2078830999999981</v>
      </c>
      <c r="L1168" s="70">
        <f t="shared" si="43"/>
        <v>1.2058075464999991</v>
      </c>
      <c r="M1168" s="70">
        <f t="shared" si="44"/>
        <v>1.2222119125000011</v>
      </c>
      <c r="N1168" s="68">
        <f t="shared" si="45"/>
        <v>1.2011000000000001</v>
      </c>
      <c r="O1168">
        <v>18.982090066192661</v>
      </c>
    </row>
    <row r="1169" spans="1:15" x14ac:dyDescent="0.2">
      <c r="A1169" s="7">
        <v>44196</v>
      </c>
      <c r="B1169">
        <v>1718038.599999998</v>
      </c>
      <c r="C1169">
        <v>1717985.546499999</v>
      </c>
      <c r="D1169">
        <v>1768079.3190000011</v>
      </c>
      <c r="E1169">
        <v>19.260000000000002</v>
      </c>
      <c r="F1169" s="9">
        <f t="shared" si="36"/>
        <v>1.2173348190000011</v>
      </c>
      <c r="G1169" s="9">
        <f t="shared" si="38"/>
        <v>1.2011825999999981</v>
      </c>
      <c r="H1169" s="9">
        <f t="shared" si="39"/>
        <v>1.2011295464999989</v>
      </c>
      <c r="I1169" s="9">
        <f t="shared" si="40"/>
        <v>1.2173348190000011</v>
      </c>
      <c r="J1169" s="9">
        <f t="shared" si="41"/>
        <v>1.1908805</v>
      </c>
      <c r="K1169" s="70">
        <f t="shared" si="42"/>
        <v>1.202902099999998</v>
      </c>
      <c r="L1169" s="70">
        <f t="shared" si="43"/>
        <v>1.202849046499999</v>
      </c>
      <c r="M1169" s="70">
        <f t="shared" si="44"/>
        <v>1.2190543190000012</v>
      </c>
      <c r="N1169" s="68">
        <f>(100+E1169)/100</f>
        <v>1.1926000000000001</v>
      </c>
      <c r="O1169">
        <v>20.058617303667379</v>
      </c>
    </row>
    <row r="1170" spans="1:15" x14ac:dyDescent="0.2">
      <c r="A1170" s="7">
        <v>44200</v>
      </c>
      <c r="B1170">
        <v>1721148.099999998</v>
      </c>
      <c r="C1170">
        <v>1718912.046499999</v>
      </c>
      <c r="D1170">
        <v>1768542.186500001</v>
      </c>
      <c r="E1170">
        <v>0.18</v>
      </c>
      <c r="F1170" s="9">
        <f t="shared" si="36"/>
        <v>1.2177976865000011</v>
      </c>
      <c r="G1170" s="9">
        <f t="shared" si="38"/>
        <v>1.204292099999998</v>
      </c>
      <c r="H1170" s="9">
        <f t="shared" si="39"/>
        <v>1.202056046499999</v>
      </c>
      <c r="I1170" s="9">
        <f t="shared" si="40"/>
        <v>1.2177976865000011</v>
      </c>
      <c r="J1170" s="9">
        <f t="shared" si="41"/>
        <v>1.1926805000000003</v>
      </c>
      <c r="K1170" s="70">
        <f t="shared" si="42"/>
        <v>1.2060115999999981</v>
      </c>
      <c r="L1170" s="70">
        <f t="shared" si="43"/>
        <v>1.2037755464999991</v>
      </c>
      <c r="M1170" s="70">
        <f t="shared" si="44"/>
        <v>1.219517186500001</v>
      </c>
      <c r="N1170" s="68">
        <f>E1170/100+N1169</f>
        <v>1.1944000000000001</v>
      </c>
      <c r="O1170">
        <v>20.685229928695861</v>
      </c>
    </row>
    <row r="1171" spans="1:15" x14ac:dyDescent="0.2">
      <c r="A1171" s="7">
        <v>44201</v>
      </c>
      <c r="B1171">
        <v>1722983.599999998</v>
      </c>
      <c r="C1171">
        <v>1720305.046499999</v>
      </c>
      <c r="D1171">
        <v>1768263.889500001</v>
      </c>
      <c r="E1171">
        <v>0.19</v>
      </c>
      <c r="F1171" s="9">
        <f t="shared" si="36"/>
        <v>1.2175193895000009</v>
      </c>
      <c r="G1171" s="9">
        <f t="shared" si="38"/>
        <v>1.2061275999999981</v>
      </c>
      <c r="H1171" s="9">
        <f t="shared" si="39"/>
        <v>1.203449046499999</v>
      </c>
      <c r="I1171" s="9">
        <f t="shared" si="40"/>
        <v>1.2175193895000009</v>
      </c>
      <c r="J1171" s="9">
        <f t="shared" si="41"/>
        <v>1.1945805000000003</v>
      </c>
      <c r="K1171" s="70">
        <f t="shared" si="42"/>
        <v>1.207847099999998</v>
      </c>
      <c r="L1171" s="70">
        <f t="shared" si="43"/>
        <v>1.205168546499999</v>
      </c>
      <c r="M1171" s="70">
        <f t="shared" si="44"/>
        <v>1.219238889500001</v>
      </c>
      <c r="N1171" s="68">
        <f t="shared" ref="N1171:N1172" si="46">E1171/100+N1170</f>
        <v>1.1963000000000001</v>
      </c>
      <c r="O1171">
        <v>20.650444476174801</v>
      </c>
    </row>
    <row r="1172" spans="1:15" x14ac:dyDescent="0.2">
      <c r="A1172" s="7">
        <v>44202</v>
      </c>
      <c r="B1172">
        <v>1718665.099999998</v>
      </c>
      <c r="C1172">
        <v>1716325.546499999</v>
      </c>
      <c r="D1172">
        <v>1762806.243500001</v>
      </c>
      <c r="E1172" s="3">
        <v>-0.24</v>
      </c>
      <c r="F1172" s="9">
        <f t="shared" si="36"/>
        <v>1.212061743500001</v>
      </c>
      <c r="G1172" s="9">
        <f t="shared" si="38"/>
        <v>1.201809099999998</v>
      </c>
      <c r="H1172" s="9">
        <f t="shared" si="39"/>
        <v>1.1994695464999989</v>
      </c>
      <c r="I1172" s="9">
        <f t="shared" si="40"/>
        <v>1.212061743500001</v>
      </c>
      <c r="J1172" s="9">
        <f t="shared" si="41"/>
        <v>1.1921805000000003</v>
      </c>
      <c r="K1172" s="70">
        <f t="shared" si="42"/>
        <v>1.2035285999999981</v>
      </c>
      <c r="L1172" s="70">
        <f t="shared" si="43"/>
        <v>1.201189046499999</v>
      </c>
      <c r="M1172" s="70">
        <f t="shared" si="44"/>
        <v>1.2137812435000011</v>
      </c>
      <c r="N1172" s="68">
        <f t="shared" si="46"/>
        <v>1.1939000000000002</v>
      </c>
      <c r="O1172">
        <v>22.26722376161759</v>
      </c>
    </row>
    <row r="1173" spans="1:15" x14ac:dyDescent="0.2">
      <c r="A1173" s="16">
        <v>44203</v>
      </c>
      <c r="B1173" s="10">
        <v>1714098.599999998</v>
      </c>
      <c r="C1173" s="10">
        <v>1699403.046499999</v>
      </c>
      <c r="D1173" s="10">
        <v>1743710.531500001</v>
      </c>
      <c r="E1173" s="11">
        <v>-3.41</v>
      </c>
      <c r="F1173" s="12">
        <f t="shared" si="36"/>
        <v>1.192966031500001</v>
      </c>
      <c r="G1173" s="12">
        <f t="shared" si="38"/>
        <v>1.197242599999998</v>
      </c>
      <c r="H1173" s="12">
        <f t="shared" si="39"/>
        <v>1.182547046499999</v>
      </c>
      <c r="I1173" s="12">
        <f t="shared" si="40"/>
        <v>1.192966031500001</v>
      </c>
      <c r="J1173" s="12">
        <f t="shared" si="41"/>
        <v>1.1887705000000002</v>
      </c>
      <c r="K1173" s="72">
        <f t="shared" si="42"/>
        <v>1.1989620999999979</v>
      </c>
      <c r="L1173" s="72">
        <f t="shared" si="43"/>
        <v>1.1842665464999991</v>
      </c>
      <c r="M1173" s="72">
        <f t="shared" si="44"/>
        <v>1.1946855315000009</v>
      </c>
      <c r="N1173" s="68">
        <f>E1173/1000+N1172</f>
        <v>1.1904900000000003</v>
      </c>
      <c r="O1173" s="10">
        <v>25.348979233660181</v>
      </c>
    </row>
    <row r="1174" spans="1:15" x14ac:dyDescent="0.2">
      <c r="A1174" s="7">
        <v>44204</v>
      </c>
      <c r="B1174">
        <v>1710259.599999998</v>
      </c>
      <c r="C1174">
        <v>1705685.046499999</v>
      </c>
      <c r="D1174">
        <v>1750144.031500001</v>
      </c>
      <c r="E1174">
        <v>-2.2000000000000002</v>
      </c>
      <c r="F1174" s="9">
        <f t="shared" si="36"/>
        <v>1.199399531500001</v>
      </c>
      <c r="G1174" s="9">
        <f t="shared" si="38"/>
        <v>1.1934035999999979</v>
      </c>
      <c r="H1174" s="9">
        <f t="shared" si="39"/>
        <v>1.1888290464999991</v>
      </c>
      <c r="I1174" s="9">
        <f t="shared" si="40"/>
        <v>1.199399531500001</v>
      </c>
      <c r="J1174" s="9">
        <f t="shared" si="41"/>
        <v>1.1865705000000002</v>
      </c>
      <c r="K1174" s="70">
        <f t="shared" si="42"/>
        <v>1.195123099999998</v>
      </c>
      <c r="L1174" s="70">
        <f t="shared" si="43"/>
        <v>1.190548546499999</v>
      </c>
      <c r="M1174" s="70">
        <f t="shared" si="44"/>
        <v>1.2011190315000009</v>
      </c>
      <c r="N1174" s="68">
        <f t="shared" ref="N1174:N1205" si="47">E1174/1000+N$1173</f>
        <v>1.1882900000000003</v>
      </c>
      <c r="O1174">
        <v>25.444737930772831</v>
      </c>
    </row>
    <row r="1175" spans="1:15" x14ac:dyDescent="0.2">
      <c r="A1175" s="7">
        <v>44207</v>
      </c>
      <c r="B1175">
        <v>1.6486274602424069</v>
      </c>
      <c r="C1175">
        <v>1.6486274602424069</v>
      </c>
      <c r="D1175" s="13">
        <v>1.6486274602424069</v>
      </c>
      <c r="E1175">
        <v>6.47</v>
      </c>
      <c r="F1175" s="9">
        <f t="shared" ref="F1175:F1206" si="48">D1175-1.61729667326044+F$1174</f>
        <v>1.230730318481968</v>
      </c>
      <c r="G1175" s="9">
        <f t="shared" ref="G1175:G1206" si="49">B1175-1.61729667326044+G$1174</f>
        <v>1.2247343869819649</v>
      </c>
      <c r="H1175" s="9">
        <f t="shared" ref="H1175:H1206" si="50">C1175-1.61729667326044+H$1174</f>
        <v>1.2201598334819661</v>
      </c>
      <c r="I1175" s="9">
        <f t="shared" ref="I1175:I1206" si="51">D1175-1.61729667326044+I$1174</f>
        <v>1.230730318481968</v>
      </c>
      <c r="J1175" s="9">
        <f t="shared" ref="J1175:J1206" si="52">(N1175*1000000+($D$1048-$D$928))/1000000</f>
        <v>1.1952405000000002</v>
      </c>
      <c r="K1175" s="70">
        <f t="shared" ref="K1175:K1206" si="53">B1175-1.61729667326044+K$1174</f>
        <v>1.226453886981965</v>
      </c>
      <c r="L1175" s="70">
        <f t="shared" ref="L1175:L1206" si="54">C1175-1.61729667326044+L$1174</f>
        <v>1.221879333481966</v>
      </c>
      <c r="M1175" s="70">
        <f t="shared" ref="M1175:M1206" si="55">D1175-1.61729667326044+M$1174</f>
        <v>1.2324498184819679</v>
      </c>
      <c r="N1175" s="68">
        <f t="shared" si="47"/>
        <v>1.1969600000000002</v>
      </c>
      <c r="O1175">
        <v>23.173195746605519</v>
      </c>
    </row>
    <row r="1176" spans="1:15" x14ac:dyDescent="0.2">
      <c r="A1176" s="7">
        <v>44208</v>
      </c>
      <c r="B1176">
        <v>1.587381406701202</v>
      </c>
      <c r="C1176">
        <v>1.587381406701202</v>
      </c>
      <c r="D1176" s="13">
        <v>1.587381406701202</v>
      </c>
      <c r="E1176">
        <v>-29.83</v>
      </c>
      <c r="F1176" s="9">
        <f t="shared" si="48"/>
        <v>1.1694842649407631</v>
      </c>
      <c r="G1176" s="9">
        <f t="shared" si="49"/>
        <v>1.16348833344076</v>
      </c>
      <c r="H1176" s="9">
        <f t="shared" si="50"/>
        <v>1.1589137799407612</v>
      </c>
      <c r="I1176" s="9">
        <f t="shared" si="51"/>
        <v>1.1694842649407631</v>
      </c>
      <c r="J1176" s="9">
        <f t="shared" si="52"/>
        <v>1.1589405000000002</v>
      </c>
      <c r="K1176" s="70">
        <f t="shared" si="53"/>
        <v>1.1652078334407601</v>
      </c>
      <c r="L1176" s="70">
        <f t="shared" si="54"/>
        <v>1.160633279940761</v>
      </c>
      <c r="M1176" s="70">
        <f t="shared" si="55"/>
        <v>1.1712037649407629</v>
      </c>
      <c r="N1176" s="68">
        <f t="shared" si="47"/>
        <v>1.1606600000000002</v>
      </c>
      <c r="O1176">
        <v>24.478496626594641</v>
      </c>
    </row>
    <row r="1177" spans="1:15" x14ac:dyDescent="0.2">
      <c r="A1177" s="7">
        <v>44209</v>
      </c>
      <c r="B1177">
        <v>1.5971905202485051</v>
      </c>
      <c r="C1177">
        <v>1.5971905202485051</v>
      </c>
      <c r="D1177" s="13">
        <v>1.5971905202485051</v>
      </c>
      <c r="E1177">
        <v>-32.130000000000003</v>
      </c>
      <c r="F1177" s="9">
        <f t="shared" si="48"/>
        <v>1.1792933784880661</v>
      </c>
      <c r="G1177" s="9">
        <f t="shared" si="49"/>
        <v>1.173297446988063</v>
      </c>
      <c r="H1177" s="9">
        <f t="shared" si="50"/>
        <v>1.1687228934880642</v>
      </c>
      <c r="I1177" s="9">
        <f t="shared" si="51"/>
        <v>1.1792933784880661</v>
      </c>
      <c r="J1177" s="9">
        <f t="shared" si="52"/>
        <v>1.1566405000000002</v>
      </c>
      <c r="K1177" s="70">
        <f t="shared" si="53"/>
        <v>1.1750169469880631</v>
      </c>
      <c r="L1177" s="70">
        <f t="shared" si="54"/>
        <v>1.1704423934880641</v>
      </c>
      <c r="M1177" s="70">
        <f t="shared" si="55"/>
        <v>1.181012878488066</v>
      </c>
      <c r="N1177" s="68">
        <f t="shared" si="47"/>
        <v>1.1583600000000003</v>
      </c>
      <c r="O1177">
        <v>24.222310673292519</v>
      </c>
    </row>
    <row r="1178" spans="1:15" x14ac:dyDescent="0.2">
      <c r="A1178" s="7">
        <v>44210</v>
      </c>
      <c r="B1178">
        <v>1.5980180433573361</v>
      </c>
      <c r="C1178">
        <v>1.5980180433573361</v>
      </c>
      <c r="D1178" s="13">
        <v>1.5980180433573361</v>
      </c>
      <c r="E1178">
        <v>-35.06</v>
      </c>
      <c r="F1178" s="9">
        <f t="shared" si="48"/>
        <v>1.1801209015968972</v>
      </c>
      <c r="G1178" s="9">
        <f t="shared" si="49"/>
        <v>1.1741249700968941</v>
      </c>
      <c r="H1178" s="9">
        <f t="shared" si="50"/>
        <v>1.1695504165968953</v>
      </c>
      <c r="I1178" s="9">
        <f t="shared" si="51"/>
        <v>1.1801209015968972</v>
      </c>
      <c r="J1178" s="9">
        <f t="shared" si="52"/>
        <v>1.1537105000000003</v>
      </c>
      <c r="K1178" s="70">
        <f t="shared" si="53"/>
        <v>1.1758444700968942</v>
      </c>
      <c r="L1178" s="70">
        <f t="shared" si="54"/>
        <v>1.1712699165968952</v>
      </c>
      <c r="M1178" s="70">
        <f t="shared" si="55"/>
        <v>1.1818404015968971</v>
      </c>
      <c r="N1178" s="68">
        <f t="shared" si="47"/>
        <v>1.1554300000000002</v>
      </c>
      <c r="O1178">
        <v>23.86651353503829</v>
      </c>
    </row>
    <row r="1179" spans="1:15" x14ac:dyDescent="0.2">
      <c r="A1179" s="7">
        <v>44211</v>
      </c>
      <c r="B1179">
        <v>1.6109070272484169</v>
      </c>
      <c r="C1179">
        <v>1.6109070272484169</v>
      </c>
      <c r="D1179" s="13">
        <v>1.6109070272484169</v>
      </c>
      <c r="E1179">
        <v>-24.16</v>
      </c>
      <c r="F1179" s="9">
        <f t="shared" si="48"/>
        <v>1.193009885487978</v>
      </c>
      <c r="G1179" s="9">
        <f t="shared" si="49"/>
        <v>1.1870139539879749</v>
      </c>
      <c r="H1179" s="9">
        <f t="shared" si="50"/>
        <v>1.1824394004879761</v>
      </c>
      <c r="I1179" s="9">
        <f t="shared" si="51"/>
        <v>1.193009885487978</v>
      </c>
      <c r="J1179" s="9">
        <f t="shared" si="52"/>
        <v>1.1646105000000002</v>
      </c>
      <c r="K1179" s="70">
        <f t="shared" si="53"/>
        <v>1.188733453987975</v>
      </c>
      <c r="L1179" s="70">
        <f t="shared" si="54"/>
        <v>1.184158900487976</v>
      </c>
      <c r="M1179" s="70">
        <f t="shared" si="55"/>
        <v>1.1947293854879779</v>
      </c>
      <c r="N1179" s="68">
        <f t="shared" si="47"/>
        <v>1.1663300000000003</v>
      </c>
      <c r="O1179">
        <v>22.066867438759171</v>
      </c>
    </row>
    <row r="1180" spans="1:15" x14ac:dyDescent="0.2">
      <c r="A1180" s="7">
        <v>44214</v>
      </c>
      <c r="B1180">
        <v>1.615483297717061</v>
      </c>
      <c r="C1180">
        <v>1.615483297717061</v>
      </c>
      <c r="D1180" s="13">
        <v>1.615483297717061</v>
      </c>
      <c r="E1180">
        <v>-19.89</v>
      </c>
      <c r="F1180" s="9">
        <f t="shared" si="48"/>
        <v>1.1975861559566221</v>
      </c>
      <c r="G1180" s="9">
        <f t="shared" si="49"/>
        <v>1.191590224456619</v>
      </c>
      <c r="H1180" s="9">
        <f t="shared" si="50"/>
        <v>1.1870156709566202</v>
      </c>
      <c r="I1180" s="9">
        <f t="shared" si="51"/>
        <v>1.1975861559566221</v>
      </c>
      <c r="J1180" s="9">
        <f t="shared" si="52"/>
        <v>1.1688805000000002</v>
      </c>
      <c r="K1180" s="70">
        <f t="shared" si="53"/>
        <v>1.1933097244566191</v>
      </c>
      <c r="L1180" s="70">
        <f t="shared" si="54"/>
        <v>1.1887351709566201</v>
      </c>
      <c r="M1180" s="70">
        <f t="shared" si="55"/>
        <v>1.199305655956622</v>
      </c>
      <c r="N1180" s="68">
        <f t="shared" si="47"/>
        <v>1.1706000000000003</v>
      </c>
      <c r="O1180">
        <v>22.424011969394801</v>
      </c>
    </row>
    <row r="1181" spans="1:15" x14ac:dyDescent="0.2">
      <c r="A1181" s="7">
        <v>44215</v>
      </c>
      <c r="B1181">
        <v>1.615206815385019</v>
      </c>
      <c r="C1181">
        <v>1.615206815385019</v>
      </c>
      <c r="D1181" s="13">
        <v>1.615206815385019</v>
      </c>
      <c r="E1181">
        <v>-23.85</v>
      </c>
      <c r="F1181" s="9">
        <f t="shared" si="48"/>
        <v>1.1973096736245801</v>
      </c>
      <c r="G1181" s="9">
        <f t="shared" si="49"/>
        <v>1.191313742124577</v>
      </c>
      <c r="H1181" s="9">
        <f t="shared" si="50"/>
        <v>1.1867391886245782</v>
      </c>
      <c r="I1181" s="9">
        <f t="shared" si="51"/>
        <v>1.1973096736245801</v>
      </c>
      <c r="J1181" s="9">
        <f t="shared" si="52"/>
        <v>1.1649205000000002</v>
      </c>
      <c r="K1181" s="70">
        <f t="shared" si="53"/>
        <v>1.1930332421245771</v>
      </c>
      <c r="L1181" s="70">
        <f t="shared" si="54"/>
        <v>1.188458688624578</v>
      </c>
      <c r="M1181" s="70">
        <f t="shared" si="55"/>
        <v>1.1990291736245799</v>
      </c>
      <c r="N1181" s="68">
        <f t="shared" si="47"/>
        <v>1.1666400000000003</v>
      </c>
      <c r="O1181">
        <v>22.602378128992129</v>
      </c>
    </row>
    <row r="1182" spans="1:15" x14ac:dyDescent="0.2">
      <c r="A1182" s="7">
        <v>44216</v>
      </c>
      <c r="B1182">
        <v>1.6173735109918981</v>
      </c>
      <c r="C1182">
        <v>1.6173735109918981</v>
      </c>
      <c r="D1182" s="13">
        <v>1.6173735109918981</v>
      </c>
      <c r="E1182">
        <v>-22.6</v>
      </c>
      <c r="F1182" s="9">
        <f t="shared" si="48"/>
        <v>1.1994763692314592</v>
      </c>
      <c r="G1182" s="9">
        <f t="shared" si="49"/>
        <v>1.1934804377314561</v>
      </c>
      <c r="H1182" s="9">
        <f t="shared" si="50"/>
        <v>1.1889058842314573</v>
      </c>
      <c r="I1182" s="9">
        <f t="shared" si="51"/>
        <v>1.1994763692314592</v>
      </c>
      <c r="J1182" s="9">
        <f t="shared" si="52"/>
        <v>1.1661705000000002</v>
      </c>
      <c r="K1182" s="70">
        <f t="shared" si="53"/>
        <v>1.1951999377314562</v>
      </c>
      <c r="L1182" s="70">
        <f t="shared" si="54"/>
        <v>1.1906253842314571</v>
      </c>
      <c r="M1182" s="70">
        <f t="shared" si="55"/>
        <v>1.201195869231459</v>
      </c>
      <c r="N1182" s="68">
        <f t="shared" si="47"/>
        <v>1.1678900000000003</v>
      </c>
      <c r="O1182">
        <v>24.315748142359329</v>
      </c>
    </row>
    <row r="1183" spans="1:15" x14ac:dyDescent="0.2">
      <c r="A1183" s="7">
        <v>44217</v>
      </c>
      <c r="B1183">
        <v>1.614438151493462</v>
      </c>
      <c r="C1183">
        <v>1.614438151493462</v>
      </c>
      <c r="D1183">
        <v>1.614438151493462</v>
      </c>
      <c r="E1183">
        <v>-25.78</v>
      </c>
      <c r="F1183" s="9">
        <f t="shared" si="48"/>
        <v>1.1965410097330231</v>
      </c>
      <c r="G1183" s="9">
        <f t="shared" si="49"/>
        <v>1.19054507823302</v>
      </c>
      <c r="H1183" s="9">
        <f t="shared" si="50"/>
        <v>1.1859705247330212</v>
      </c>
      <c r="I1183" s="9">
        <f t="shared" si="51"/>
        <v>1.1965410097330231</v>
      </c>
      <c r="J1183" s="9">
        <f t="shared" si="52"/>
        <v>1.1629905000000005</v>
      </c>
      <c r="K1183" s="70">
        <f t="shared" si="53"/>
        <v>1.1922645782330201</v>
      </c>
      <c r="L1183" s="70">
        <f t="shared" si="54"/>
        <v>1.1876900247330211</v>
      </c>
      <c r="M1183" s="70">
        <f t="shared" si="55"/>
        <v>1.198260509733023</v>
      </c>
      <c r="N1183" s="68">
        <f t="shared" si="47"/>
        <v>1.1647100000000004</v>
      </c>
      <c r="O1183">
        <v>25.023125671361861</v>
      </c>
    </row>
    <row r="1184" spans="1:15" x14ac:dyDescent="0.2">
      <c r="A1184" s="7">
        <v>44218</v>
      </c>
      <c r="B1184">
        <v>1.6238330778919099</v>
      </c>
      <c r="C1184">
        <v>1.6238330778919099</v>
      </c>
      <c r="D1184">
        <v>1.6237597428105539</v>
      </c>
      <c r="E1184">
        <v>-20.71</v>
      </c>
      <c r="F1184" s="9">
        <f t="shared" si="48"/>
        <v>1.205862601050115</v>
      </c>
      <c r="G1184" s="9">
        <f t="shared" si="49"/>
        <v>1.1999400046314679</v>
      </c>
      <c r="H1184" s="9">
        <f t="shared" si="50"/>
        <v>1.1953654511314691</v>
      </c>
      <c r="I1184" s="9">
        <f t="shared" si="51"/>
        <v>1.205862601050115</v>
      </c>
      <c r="J1184" s="9">
        <f t="shared" si="52"/>
        <v>1.1680605000000002</v>
      </c>
      <c r="K1184" s="70">
        <f t="shared" si="53"/>
        <v>1.201659504631468</v>
      </c>
      <c r="L1184" s="70">
        <f t="shared" si="54"/>
        <v>1.197084951131469</v>
      </c>
      <c r="M1184" s="70">
        <f t="shared" si="55"/>
        <v>1.2075821010501149</v>
      </c>
      <c r="N1184" s="68">
        <f t="shared" si="47"/>
        <v>1.1697800000000003</v>
      </c>
      <c r="O1184">
        <v>23.57170316946706</v>
      </c>
    </row>
    <row r="1185" spans="1:15" x14ac:dyDescent="0.2">
      <c r="A1185" s="7">
        <v>44221</v>
      </c>
      <c r="B1185">
        <v>1.626408873811112</v>
      </c>
      <c r="C1185">
        <v>1.625357971103681</v>
      </c>
      <c r="D1185">
        <v>1.6233084209504389</v>
      </c>
      <c r="E1185">
        <v>-20.93</v>
      </c>
      <c r="F1185" s="9">
        <f t="shared" si="48"/>
        <v>1.20541127919</v>
      </c>
      <c r="G1185" s="9">
        <f t="shared" si="49"/>
        <v>1.20251580055067</v>
      </c>
      <c r="H1185" s="9">
        <f t="shared" si="50"/>
        <v>1.1968903443432402</v>
      </c>
      <c r="I1185" s="9">
        <f t="shared" si="51"/>
        <v>1.20541127919</v>
      </c>
      <c r="J1185" s="9">
        <f t="shared" si="52"/>
        <v>1.1678405000000005</v>
      </c>
      <c r="K1185" s="70">
        <f t="shared" si="53"/>
        <v>1.2042353005506701</v>
      </c>
      <c r="L1185" s="70">
        <f t="shared" si="54"/>
        <v>1.19860984434324</v>
      </c>
      <c r="M1185" s="70">
        <f t="shared" si="55"/>
        <v>1.2071307791899999</v>
      </c>
      <c r="N1185" s="68">
        <f t="shared" si="47"/>
        <v>1.1695600000000004</v>
      </c>
      <c r="O1185">
        <v>23.281271184680548</v>
      </c>
    </row>
    <row r="1186" spans="1:15" x14ac:dyDescent="0.2">
      <c r="A1186" s="7">
        <v>44222</v>
      </c>
      <c r="B1186">
        <v>1.626498205067699</v>
      </c>
      <c r="C1186">
        <v>1.6228007697582481</v>
      </c>
      <c r="D1186">
        <v>1.61911875242209</v>
      </c>
      <c r="E1186">
        <v>-22.4</v>
      </c>
      <c r="F1186" s="9">
        <f t="shared" si="48"/>
        <v>1.2012216106616511</v>
      </c>
      <c r="G1186" s="9">
        <f t="shared" si="49"/>
        <v>1.202605131807257</v>
      </c>
      <c r="H1186" s="9">
        <f t="shared" si="50"/>
        <v>1.1943331429978072</v>
      </c>
      <c r="I1186" s="9">
        <f t="shared" si="51"/>
        <v>1.2012216106616511</v>
      </c>
      <c r="J1186" s="9">
        <f t="shared" si="52"/>
        <v>1.1663705000000002</v>
      </c>
      <c r="K1186" s="70">
        <f t="shared" si="53"/>
        <v>1.2043246318072571</v>
      </c>
      <c r="L1186" s="70">
        <f t="shared" si="54"/>
        <v>1.1960526429978071</v>
      </c>
      <c r="M1186" s="70">
        <f t="shared" si="55"/>
        <v>1.202941110661651</v>
      </c>
      <c r="N1186" s="68">
        <f t="shared" si="47"/>
        <v>1.1680900000000003</v>
      </c>
      <c r="O1186">
        <v>23.132794369580161</v>
      </c>
    </row>
    <row r="1187" spans="1:15" x14ac:dyDescent="0.2">
      <c r="A1187" s="7">
        <v>44223</v>
      </c>
      <c r="B1187">
        <v>1.628512488707031</v>
      </c>
      <c r="C1187">
        <v>1.6258619848748861</v>
      </c>
      <c r="D1187">
        <v>1.6211150817815061</v>
      </c>
      <c r="E1187">
        <v>-20.51</v>
      </c>
      <c r="F1187" s="9">
        <f t="shared" si="48"/>
        <v>1.2032179400210672</v>
      </c>
      <c r="G1187" s="9">
        <f t="shared" si="49"/>
        <v>1.204619415446589</v>
      </c>
      <c r="H1187" s="9">
        <f t="shared" si="50"/>
        <v>1.1973943581144453</v>
      </c>
      <c r="I1187" s="9">
        <f t="shared" si="51"/>
        <v>1.2032179400210672</v>
      </c>
      <c r="J1187" s="9">
        <f t="shared" si="52"/>
        <v>1.1682605000000001</v>
      </c>
      <c r="K1187" s="70">
        <f t="shared" si="53"/>
        <v>1.2063389154465891</v>
      </c>
      <c r="L1187" s="70">
        <f t="shared" si="54"/>
        <v>1.1991138581144452</v>
      </c>
      <c r="M1187" s="70">
        <f t="shared" si="55"/>
        <v>1.2049374400210671</v>
      </c>
      <c r="N1187" s="68">
        <f t="shared" si="47"/>
        <v>1.1699800000000002</v>
      </c>
      <c r="O1187">
        <v>22.655763243320461</v>
      </c>
    </row>
    <row r="1188" spans="1:15" x14ac:dyDescent="0.2">
      <c r="A1188" s="7">
        <v>44224</v>
      </c>
      <c r="B1188">
        <v>1.6223153764289411</v>
      </c>
      <c r="C1188">
        <v>1.616058213896542</v>
      </c>
      <c r="D1188">
        <v>1.6162664367555759</v>
      </c>
      <c r="E1188">
        <v>-25.69</v>
      </c>
      <c r="F1188" s="9">
        <f t="shared" si="48"/>
        <v>1.198369294995137</v>
      </c>
      <c r="G1188" s="9">
        <f t="shared" si="49"/>
        <v>1.1984223031684991</v>
      </c>
      <c r="H1188" s="9">
        <f t="shared" si="50"/>
        <v>1.1875905871361012</v>
      </c>
      <c r="I1188" s="9">
        <f t="shared" si="51"/>
        <v>1.198369294995137</v>
      </c>
      <c r="J1188" s="9">
        <f t="shared" si="52"/>
        <v>1.1630805000000002</v>
      </c>
      <c r="K1188" s="70">
        <f t="shared" si="53"/>
        <v>1.2001418031684992</v>
      </c>
      <c r="L1188" s="70">
        <f t="shared" si="54"/>
        <v>1.1893100871361011</v>
      </c>
      <c r="M1188" s="70">
        <f t="shared" si="55"/>
        <v>1.2000887949951369</v>
      </c>
      <c r="N1188" s="68">
        <f t="shared" si="47"/>
        <v>1.1648000000000003</v>
      </c>
      <c r="O1188">
        <v>24.169812546479079</v>
      </c>
    </row>
    <row r="1189" spans="1:15" x14ac:dyDescent="0.2">
      <c r="A1189" s="26">
        <v>44225</v>
      </c>
      <c r="B1189" s="27">
        <v>1.6168344420020719</v>
      </c>
      <c r="C1189" s="27">
        <v>1.615936082828471</v>
      </c>
      <c r="D1189" s="27">
        <v>1.615583195328441</v>
      </c>
      <c r="E1189" s="27">
        <v>-29.19</v>
      </c>
      <c r="F1189" s="9">
        <f t="shared" si="48"/>
        <v>1.1976860535680021</v>
      </c>
      <c r="G1189" s="28">
        <f t="shared" si="49"/>
        <v>1.1929413687416299</v>
      </c>
      <c r="H1189" s="28">
        <f t="shared" si="50"/>
        <v>1.1874684560680302</v>
      </c>
      <c r="I1189" s="9">
        <f t="shared" si="51"/>
        <v>1.1976860535680021</v>
      </c>
      <c r="J1189" s="28">
        <f t="shared" si="52"/>
        <v>1.1595805000000001</v>
      </c>
      <c r="K1189" s="73">
        <f t="shared" si="53"/>
        <v>1.19466086874163</v>
      </c>
      <c r="L1189" s="73">
        <f t="shared" si="54"/>
        <v>1.1891879560680301</v>
      </c>
      <c r="M1189" s="70">
        <f t="shared" si="55"/>
        <v>1.1994055535680019</v>
      </c>
      <c r="N1189" s="68">
        <f t="shared" si="47"/>
        <v>1.1613000000000002</v>
      </c>
      <c r="O1189" s="27">
        <v>24.335989680997351</v>
      </c>
    </row>
    <row r="1190" spans="1:15" x14ac:dyDescent="0.2">
      <c r="A1190" s="7">
        <v>44228</v>
      </c>
      <c r="B1190">
        <v>1.6227819913954269</v>
      </c>
      <c r="C1190">
        <v>1.6204124789047589</v>
      </c>
      <c r="D1190">
        <v>1.6195715062592091</v>
      </c>
      <c r="E1190">
        <v>-20.57</v>
      </c>
      <c r="F1190" s="9">
        <f t="shared" si="48"/>
        <v>1.2016743644987702</v>
      </c>
      <c r="G1190" s="9">
        <f t="shared" si="49"/>
        <v>1.1988889181349849</v>
      </c>
      <c r="H1190" s="9">
        <f t="shared" si="50"/>
        <v>1.1919448521443181</v>
      </c>
      <c r="I1190" s="9">
        <f t="shared" si="51"/>
        <v>1.2016743644987702</v>
      </c>
      <c r="J1190" s="9">
        <f t="shared" si="52"/>
        <v>1.1682005000000002</v>
      </c>
      <c r="K1190" s="70">
        <f t="shared" si="53"/>
        <v>1.200608418134985</v>
      </c>
      <c r="L1190" s="70">
        <f t="shared" si="54"/>
        <v>1.193664352144318</v>
      </c>
      <c r="M1190" s="70">
        <f t="shared" si="55"/>
        <v>1.2033938644987701</v>
      </c>
      <c r="N1190" s="68">
        <f t="shared" si="47"/>
        <v>1.1699200000000003</v>
      </c>
      <c r="O1190">
        <v>24.725508378653711</v>
      </c>
    </row>
    <row r="1191" spans="1:15" x14ac:dyDescent="0.2">
      <c r="A1191" s="7">
        <v>44229</v>
      </c>
      <c r="B1191">
        <v>1.6313624423453481</v>
      </c>
      <c r="C1191">
        <v>1.6288055728455559</v>
      </c>
      <c r="D1191">
        <v>1.6276143524101321</v>
      </c>
      <c r="E1191">
        <v>-6.16</v>
      </c>
      <c r="F1191" s="9">
        <f t="shared" si="48"/>
        <v>1.2097172106496932</v>
      </c>
      <c r="G1191" s="9">
        <f t="shared" si="49"/>
        <v>1.2074693690849061</v>
      </c>
      <c r="H1191" s="9">
        <f t="shared" si="50"/>
        <v>1.2003379460851151</v>
      </c>
      <c r="I1191" s="9">
        <f t="shared" si="51"/>
        <v>1.2097172106496932</v>
      </c>
      <c r="J1191" s="9">
        <f t="shared" si="52"/>
        <v>1.1826105000000002</v>
      </c>
      <c r="K1191" s="70">
        <f t="shared" si="53"/>
        <v>1.2091888690849062</v>
      </c>
      <c r="L1191" s="70">
        <f t="shared" si="54"/>
        <v>1.202057446085115</v>
      </c>
      <c r="M1191" s="70">
        <f t="shared" si="55"/>
        <v>1.211436710649693</v>
      </c>
      <c r="N1191" s="68">
        <f t="shared" si="47"/>
        <v>1.1843300000000003</v>
      </c>
      <c r="O1191">
        <v>22.968525066565441</v>
      </c>
    </row>
    <row r="1192" spans="1:15" x14ac:dyDescent="0.2">
      <c r="A1192" s="7">
        <v>44230</v>
      </c>
      <c r="B1192">
        <v>1.6363652999141121</v>
      </c>
      <c r="C1192">
        <v>1.634377685607151</v>
      </c>
      <c r="D1192">
        <v>1.6333268690613301</v>
      </c>
      <c r="E1192">
        <v>0.25</v>
      </c>
      <c r="F1192" s="9">
        <f t="shared" si="48"/>
        <v>1.2154297273008912</v>
      </c>
      <c r="G1192" s="9">
        <f t="shared" si="49"/>
        <v>1.21247222665367</v>
      </c>
      <c r="H1192" s="9">
        <f t="shared" si="50"/>
        <v>1.2059100588467102</v>
      </c>
      <c r="I1192" s="9">
        <f t="shared" si="51"/>
        <v>1.2154297273008912</v>
      </c>
      <c r="J1192" s="9">
        <f t="shared" si="52"/>
        <v>1.1890205000000005</v>
      </c>
      <c r="K1192" s="70">
        <f t="shared" si="53"/>
        <v>1.2141917266536701</v>
      </c>
      <c r="L1192" s="70">
        <f t="shared" si="54"/>
        <v>1.2076295588467101</v>
      </c>
      <c r="M1192" s="70">
        <f t="shared" si="55"/>
        <v>1.217149227300891</v>
      </c>
      <c r="N1192" s="68">
        <f t="shared" si="47"/>
        <v>1.1907400000000004</v>
      </c>
      <c r="O1192">
        <v>21.762769003877221</v>
      </c>
    </row>
    <row r="1193" spans="1:15" x14ac:dyDescent="0.2">
      <c r="A1193" s="7">
        <v>44231</v>
      </c>
      <c r="B1193">
        <v>1.6347480268982499</v>
      </c>
      <c r="C1193">
        <v>1.6338019659123419</v>
      </c>
      <c r="D1193">
        <v>1.632738429253455</v>
      </c>
      <c r="E1193">
        <v>7.0000000000000007E-2</v>
      </c>
      <c r="F1193" s="9">
        <f t="shared" si="48"/>
        <v>1.2148412874930161</v>
      </c>
      <c r="G1193" s="9">
        <f t="shared" si="49"/>
        <v>1.2108549536378079</v>
      </c>
      <c r="H1193" s="9">
        <f t="shared" si="50"/>
        <v>1.2053343391519011</v>
      </c>
      <c r="I1193" s="9">
        <f t="shared" si="51"/>
        <v>1.2148412874930161</v>
      </c>
      <c r="J1193" s="9">
        <f t="shared" si="52"/>
        <v>1.1888405000000002</v>
      </c>
      <c r="K1193" s="70">
        <f t="shared" si="53"/>
        <v>1.212574453637808</v>
      </c>
      <c r="L1193" s="70">
        <f t="shared" si="54"/>
        <v>1.207053839151901</v>
      </c>
      <c r="M1193" s="70">
        <f t="shared" si="55"/>
        <v>1.216560787493016</v>
      </c>
      <c r="N1193" s="68">
        <f t="shared" si="47"/>
        <v>1.1905600000000003</v>
      </c>
      <c r="O1193">
        <v>22.766712511619019</v>
      </c>
    </row>
    <row r="1194" spans="1:15" x14ac:dyDescent="0.2">
      <c r="A1194" s="7">
        <v>44232</v>
      </c>
      <c r="B1194">
        <v>1.633098648770082</v>
      </c>
      <c r="C1194">
        <v>1.632495262423576</v>
      </c>
      <c r="D1194">
        <v>1.629967818842001</v>
      </c>
      <c r="E1194">
        <v>3.56</v>
      </c>
      <c r="F1194" s="9">
        <f t="shared" si="48"/>
        <v>1.2120706770815621</v>
      </c>
      <c r="G1194" s="9">
        <f t="shared" si="49"/>
        <v>1.20920557550964</v>
      </c>
      <c r="H1194" s="9">
        <f t="shared" si="50"/>
        <v>1.2040276356631352</v>
      </c>
      <c r="I1194" s="9">
        <f t="shared" si="51"/>
        <v>1.2120706770815621</v>
      </c>
      <c r="J1194" s="9">
        <f t="shared" si="52"/>
        <v>1.1923305000000002</v>
      </c>
      <c r="K1194" s="70">
        <f t="shared" si="53"/>
        <v>1.2109250755096401</v>
      </c>
      <c r="L1194" s="70">
        <f t="shared" si="54"/>
        <v>1.2057471356631351</v>
      </c>
      <c r="M1194" s="70">
        <f t="shared" si="55"/>
        <v>1.213790177081562</v>
      </c>
      <c r="N1194" s="68">
        <f t="shared" si="47"/>
        <v>1.1940500000000003</v>
      </c>
      <c r="O1194">
        <v>23.171358481258579</v>
      </c>
    </row>
    <row r="1195" spans="1:15" x14ac:dyDescent="0.2">
      <c r="A1195" s="7">
        <v>44235</v>
      </c>
      <c r="B1195">
        <v>1.635898660338176</v>
      </c>
      <c r="C1195">
        <v>1.6356300088900539</v>
      </c>
      <c r="D1195">
        <v>1.633536672819597</v>
      </c>
      <c r="E1195">
        <v>7.56</v>
      </c>
      <c r="F1195" s="9">
        <f t="shared" si="48"/>
        <v>1.2156395310591581</v>
      </c>
      <c r="G1195" s="9">
        <f t="shared" si="49"/>
        <v>1.212005587077734</v>
      </c>
      <c r="H1195" s="9">
        <f t="shared" si="50"/>
        <v>1.2071623821296131</v>
      </c>
      <c r="I1195" s="9">
        <f t="shared" si="51"/>
        <v>1.2156395310591581</v>
      </c>
      <c r="J1195" s="9">
        <f t="shared" si="52"/>
        <v>1.1963305000000002</v>
      </c>
      <c r="K1195" s="70">
        <f t="shared" si="53"/>
        <v>1.2137250870777341</v>
      </c>
      <c r="L1195" s="70">
        <f t="shared" si="54"/>
        <v>1.208881882129613</v>
      </c>
      <c r="M1195" s="70">
        <f t="shared" si="55"/>
        <v>1.217359031059158</v>
      </c>
      <c r="N1195" s="68">
        <f t="shared" si="47"/>
        <v>1.1980500000000003</v>
      </c>
      <c r="O1195">
        <v>23.52029461237354</v>
      </c>
    </row>
    <row r="1196" spans="1:15" x14ac:dyDescent="0.2">
      <c r="A1196" s="7">
        <v>44236</v>
      </c>
      <c r="B1196">
        <v>1.635967238605464</v>
      </c>
      <c r="C1196">
        <v>1.635279390270316</v>
      </c>
      <c r="D1196">
        <v>1.6379227148369939</v>
      </c>
      <c r="E1196">
        <v>2.66</v>
      </c>
      <c r="F1196" s="9">
        <f t="shared" si="48"/>
        <v>1.220025573076555</v>
      </c>
      <c r="G1196" s="9">
        <f t="shared" si="49"/>
        <v>1.212074165345022</v>
      </c>
      <c r="H1196" s="9">
        <f t="shared" si="50"/>
        <v>1.2068117635098752</v>
      </c>
      <c r="I1196" s="9">
        <f t="shared" si="51"/>
        <v>1.220025573076555</v>
      </c>
      <c r="J1196" s="9">
        <f t="shared" si="52"/>
        <v>1.1914305000000005</v>
      </c>
      <c r="K1196" s="70">
        <f t="shared" si="53"/>
        <v>1.2137936653450221</v>
      </c>
      <c r="L1196" s="70">
        <f t="shared" si="54"/>
        <v>1.2085312635098751</v>
      </c>
      <c r="M1196" s="70">
        <f t="shared" si="55"/>
        <v>1.2217450730765549</v>
      </c>
      <c r="N1196" s="68">
        <f t="shared" si="47"/>
        <v>1.1931500000000004</v>
      </c>
      <c r="O1196">
        <v>23.057626445521691</v>
      </c>
    </row>
    <row r="1197" spans="1:15" x14ac:dyDescent="0.2">
      <c r="A1197" s="7">
        <v>44237</v>
      </c>
      <c r="B1197">
        <v>1.619213468544711</v>
      </c>
      <c r="C1197">
        <v>1.628197888482563</v>
      </c>
      <c r="D1197">
        <v>1.629077898917646</v>
      </c>
      <c r="E1197">
        <v>-7.46</v>
      </c>
      <c r="F1197" s="9">
        <f t="shared" si="48"/>
        <v>1.2111807571572071</v>
      </c>
      <c r="G1197" s="9">
        <f t="shared" si="49"/>
        <v>1.195320395284269</v>
      </c>
      <c r="H1197" s="9">
        <f t="shared" si="50"/>
        <v>1.1997302617221222</v>
      </c>
      <c r="I1197" s="9">
        <f t="shared" si="51"/>
        <v>1.2111807571572071</v>
      </c>
      <c r="J1197" s="9">
        <f t="shared" si="52"/>
        <v>1.1813105000000002</v>
      </c>
      <c r="K1197" s="70">
        <f t="shared" si="53"/>
        <v>1.1970398952842691</v>
      </c>
      <c r="L1197" s="70">
        <f t="shared" si="54"/>
        <v>1.201449761722122</v>
      </c>
      <c r="M1197" s="70">
        <f t="shared" si="55"/>
        <v>1.212900257157207</v>
      </c>
      <c r="N1197" s="68">
        <f t="shared" si="47"/>
        <v>1.1830300000000002</v>
      </c>
      <c r="O1197">
        <v>24.396456765330541</v>
      </c>
    </row>
    <row r="1198" spans="1:15" x14ac:dyDescent="0.2">
      <c r="A1198" s="7">
        <v>44245</v>
      </c>
      <c r="B1198">
        <v>1.6367470860957389</v>
      </c>
      <c r="C1198">
        <v>1.6497939009999589</v>
      </c>
      <c r="D1198">
        <v>1.651395824144368</v>
      </c>
      <c r="E1198">
        <v>-1.4</v>
      </c>
      <c r="F1198" s="9">
        <f t="shared" si="48"/>
        <v>1.2334986823839291</v>
      </c>
      <c r="G1198" s="9">
        <f t="shared" si="49"/>
        <v>1.2128540128352969</v>
      </c>
      <c r="H1198" s="9">
        <f t="shared" si="50"/>
        <v>1.2213262742395181</v>
      </c>
      <c r="I1198" s="9">
        <f t="shared" si="51"/>
        <v>1.2334986823839291</v>
      </c>
      <c r="J1198" s="9">
        <f t="shared" si="52"/>
        <v>1.1873705000000003</v>
      </c>
      <c r="K1198" s="70">
        <f t="shared" si="53"/>
        <v>1.214573512835297</v>
      </c>
      <c r="L1198" s="70">
        <f t="shared" si="54"/>
        <v>1.223045774239518</v>
      </c>
      <c r="M1198" s="70">
        <f t="shared" si="55"/>
        <v>1.235218182383929</v>
      </c>
      <c r="N1198" s="68">
        <f t="shared" si="47"/>
        <v>1.1890900000000002</v>
      </c>
      <c r="O1198">
        <v>25.60228567248895</v>
      </c>
    </row>
    <row r="1199" spans="1:15" x14ac:dyDescent="0.2">
      <c r="A1199" s="7">
        <v>44246</v>
      </c>
      <c r="B1199">
        <v>1.651400104409662</v>
      </c>
      <c r="C1199">
        <v>1.6635693891442489</v>
      </c>
      <c r="D1199">
        <v>1.666008115359737</v>
      </c>
      <c r="E1199">
        <v>12.25</v>
      </c>
      <c r="F1199" s="9">
        <f t="shared" si="48"/>
        <v>1.2481109735992981</v>
      </c>
      <c r="G1199" s="9">
        <f t="shared" si="49"/>
        <v>1.22750703114922</v>
      </c>
      <c r="H1199" s="9">
        <f t="shared" si="50"/>
        <v>1.2351017623838081</v>
      </c>
      <c r="I1199" s="9">
        <f t="shared" si="51"/>
        <v>1.2481109735992981</v>
      </c>
      <c r="J1199" s="9">
        <f t="shared" si="52"/>
        <v>1.2010205000000005</v>
      </c>
      <c r="K1199" s="70">
        <f t="shared" si="53"/>
        <v>1.2292265311492201</v>
      </c>
      <c r="L1199" s="70">
        <f t="shared" si="54"/>
        <v>1.236821262383808</v>
      </c>
      <c r="M1199" s="70">
        <f t="shared" si="55"/>
        <v>1.249830473599298</v>
      </c>
      <c r="N1199" s="68">
        <f t="shared" si="47"/>
        <v>1.2027400000000004</v>
      </c>
      <c r="O1199">
        <v>23.021000212743761</v>
      </c>
    </row>
    <row r="1200" spans="1:15" x14ac:dyDescent="0.2">
      <c r="A1200" s="7">
        <v>44249</v>
      </c>
      <c r="B1200">
        <v>1.6429491493992101</v>
      </c>
      <c r="C1200">
        <v>1.6562884859767939</v>
      </c>
      <c r="D1200">
        <v>1.654521307735922</v>
      </c>
      <c r="E1200">
        <v>3.24</v>
      </c>
      <c r="F1200" s="9">
        <f t="shared" si="48"/>
        <v>1.2366241659754831</v>
      </c>
      <c r="G1200" s="9">
        <f t="shared" si="49"/>
        <v>1.2190560761387681</v>
      </c>
      <c r="H1200" s="9">
        <f t="shared" si="50"/>
        <v>1.2278208592163531</v>
      </c>
      <c r="I1200" s="9">
        <f t="shared" si="51"/>
        <v>1.2366241659754831</v>
      </c>
      <c r="J1200" s="9">
        <f t="shared" si="52"/>
        <v>1.1920105000000003</v>
      </c>
      <c r="K1200" s="70">
        <f t="shared" si="53"/>
        <v>1.2207755761387682</v>
      </c>
      <c r="L1200" s="70">
        <f t="shared" si="54"/>
        <v>1.229540359216353</v>
      </c>
      <c r="M1200" s="70">
        <f t="shared" si="55"/>
        <v>1.238343665975483</v>
      </c>
      <c r="N1200" s="68">
        <f t="shared" si="47"/>
        <v>1.1937300000000002</v>
      </c>
      <c r="O1200">
        <v>24.210386103705201</v>
      </c>
    </row>
    <row r="1201" spans="1:15" x14ac:dyDescent="0.2">
      <c r="A1201" s="7">
        <v>44250</v>
      </c>
      <c r="B1201">
        <v>1.6442030632579381</v>
      </c>
      <c r="C1201">
        <v>1.656911451005914</v>
      </c>
      <c r="D1201">
        <v>1.6558704708625751</v>
      </c>
      <c r="E1201">
        <v>2.42</v>
      </c>
      <c r="F1201" s="9">
        <f t="shared" si="48"/>
        <v>1.2379733291021362</v>
      </c>
      <c r="G1201" s="9">
        <f t="shared" si="49"/>
        <v>1.2203099899974961</v>
      </c>
      <c r="H1201" s="9">
        <f t="shared" si="50"/>
        <v>1.2284438242454732</v>
      </c>
      <c r="I1201" s="9">
        <f t="shared" si="51"/>
        <v>1.2379733291021362</v>
      </c>
      <c r="J1201" s="9">
        <f t="shared" si="52"/>
        <v>1.1911905000000005</v>
      </c>
      <c r="K1201" s="70">
        <f t="shared" si="53"/>
        <v>1.2220294899974962</v>
      </c>
      <c r="L1201" s="70">
        <f t="shared" si="54"/>
        <v>1.230163324245473</v>
      </c>
      <c r="M1201" s="70">
        <f t="shared" si="55"/>
        <v>1.2396928291021361</v>
      </c>
      <c r="N1201" s="68">
        <f t="shared" si="47"/>
        <v>1.1929100000000004</v>
      </c>
      <c r="O1201">
        <v>23.640427781164981</v>
      </c>
    </row>
    <row r="1202" spans="1:15" x14ac:dyDescent="0.2">
      <c r="A1202" s="7">
        <v>44251</v>
      </c>
      <c r="B1202">
        <v>1.636167113900822</v>
      </c>
      <c r="C1202">
        <v>1.650024712691162</v>
      </c>
      <c r="D1202">
        <v>1.6485278247126649</v>
      </c>
      <c r="E1202">
        <v>-1.57</v>
      </c>
      <c r="F1202" s="9">
        <f t="shared" si="48"/>
        <v>1.230630682952226</v>
      </c>
      <c r="G1202" s="9">
        <f t="shared" si="49"/>
        <v>1.21227404064038</v>
      </c>
      <c r="H1202" s="9">
        <f t="shared" si="50"/>
        <v>1.2215570859307212</v>
      </c>
      <c r="I1202" s="9">
        <f t="shared" si="51"/>
        <v>1.230630682952226</v>
      </c>
      <c r="J1202" s="9">
        <f t="shared" si="52"/>
        <v>1.1872005000000003</v>
      </c>
      <c r="K1202" s="70">
        <f t="shared" si="53"/>
        <v>1.2139935406403801</v>
      </c>
      <c r="L1202" s="70">
        <f t="shared" si="54"/>
        <v>1.2232765859307211</v>
      </c>
      <c r="M1202" s="70">
        <f t="shared" si="55"/>
        <v>1.2323501829522259</v>
      </c>
      <c r="N1202" s="68">
        <f t="shared" si="47"/>
        <v>1.1889200000000002</v>
      </c>
      <c r="O1202">
        <v>24.4282646352241</v>
      </c>
    </row>
    <row r="1203" spans="1:15" x14ac:dyDescent="0.2">
      <c r="A1203" s="7">
        <v>44252</v>
      </c>
      <c r="B1203">
        <v>1.637941703549876</v>
      </c>
      <c r="C1203">
        <v>1.653005772477651</v>
      </c>
      <c r="D1203">
        <v>1.6511307666190891</v>
      </c>
      <c r="E1203">
        <v>6.1</v>
      </c>
      <c r="F1203" s="9">
        <f t="shared" si="48"/>
        <v>1.2332336248586502</v>
      </c>
      <c r="G1203" s="9">
        <f t="shared" si="49"/>
        <v>1.214048630289434</v>
      </c>
      <c r="H1203" s="9">
        <f t="shared" si="50"/>
        <v>1.2245381457172102</v>
      </c>
      <c r="I1203" s="9">
        <f t="shared" si="51"/>
        <v>1.2332336248586502</v>
      </c>
      <c r="J1203" s="9">
        <f t="shared" si="52"/>
        <v>1.1948705000000002</v>
      </c>
      <c r="K1203" s="70">
        <f t="shared" si="53"/>
        <v>1.2157681302894341</v>
      </c>
      <c r="L1203" s="70">
        <f t="shared" si="54"/>
        <v>1.2262576457172101</v>
      </c>
      <c r="M1203" s="70">
        <f t="shared" si="55"/>
        <v>1.2349531248586501</v>
      </c>
      <c r="N1203" s="68">
        <f t="shared" si="47"/>
        <v>1.1965900000000003</v>
      </c>
      <c r="O1203">
        <v>22.874318378082481</v>
      </c>
    </row>
    <row r="1204" spans="1:15" x14ac:dyDescent="0.2">
      <c r="A1204" s="26">
        <v>44253</v>
      </c>
      <c r="B1204" s="27">
        <v>1.6496795704306579</v>
      </c>
      <c r="C1204" s="27">
        <v>1.668677498190924</v>
      </c>
      <c r="D1204" s="27">
        <v>1.6669898974991091</v>
      </c>
      <c r="E1204" s="27">
        <v>-10.43</v>
      </c>
      <c r="F1204" s="9">
        <f t="shared" si="48"/>
        <v>1.2490927557386702</v>
      </c>
      <c r="G1204" s="28">
        <f t="shared" si="49"/>
        <v>1.2257864971702159</v>
      </c>
      <c r="H1204" s="28">
        <f t="shared" si="50"/>
        <v>1.2402098714304832</v>
      </c>
      <c r="I1204" s="9">
        <f t="shared" si="51"/>
        <v>1.2490927557386702</v>
      </c>
      <c r="J1204" s="28">
        <f t="shared" si="52"/>
        <v>1.1783405000000002</v>
      </c>
      <c r="K1204" s="73">
        <f t="shared" si="53"/>
        <v>1.227505997170216</v>
      </c>
      <c r="L1204" s="73">
        <f t="shared" si="54"/>
        <v>1.2419293714304831</v>
      </c>
      <c r="M1204" s="70">
        <f t="shared" si="55"/>
        <v>1.2508122557386701</v>
      </c>
      <c r="N1204" s="68">
        <f t="shared" si="47"/>
        <v>1.1800600000000003</v>
      </c>
      <c r="O1204" s="27">
        <v>25.514235865035921</v>
      </c>
    </row>
    <row r="1205" spans="1:15" x14ac:dyDescent="0.2">
      <c r="A1205" s="7">
        <v>44256</v>
      </c>
      <c r="B1205">
        <v>1.6573268138828079</v>
      </c>
      <c r="C1205">
        <v>1.6869610185167581</v>
      </c>
      <c r="D1205">
        <v>1.6832940440086921</v>
      </c>
      <c r="E1205">
        <v>11.1</v>
      </c>
      <c r="F1205" s="9">
        <f t="shared" si="48"/>
        <v>1.2653969022482532</v>
      </c>
      <c r="G1205" s="9">
        <f t="shared" si="49"/>
        <v>1.2334337406223659</v>
      </c>
      <c r="H1205" s="9">
        <f t="shared" si="50"/>
        <v>1.2584933917563172</v>
      </c>
      <c r="I1205" s="9">
        <f t="shared" si="51"/>
        <v>1.2653969022482532</v>
      </c>
      <c r="J1205" s="9">
        <f t="shared" si="52"/>
        <v>1.1998705000000005</v>
      </c>
      <c r="K1205" s="70">
        <f t="shared" si="53"/>
        <v>1.235153240622366</v>
      </c>
      <c r="L1205" s="70">
        <f t="shared" si="54"/>
        <v>1.2602128917563171</v>
      </c>
      <c r="M1205" s="70">
        <f t="shared" si="55"/>
        <v>1.2671164022482531</v>
      </c>
      <c r="N1205" s="68">
        <f t="shared" si="47"/>
        <v>1.2015900000000004</v>
      </c>
      <c r="O1205">
        <v>23.93102283026623</v>
      </c>
    </row>
    <row r="1206" spans="1:15" x14ac:dyDescent="0.2">
      <c r="A1206" s="7">
        <v>44257</v>
      </c>
      <c r="B1206">
        <v>1.6627524153313229</v>
      </c>
      <c r="C1206">
        <v>1.687696774657075</v>
      </c>
      <c r="D1206">
        <v>1.681710059324089</v>
      </c>
      <c r="E1206">
        <v>13.11</v>
      </c>
      <c r="F1206" s="9">
        <f t="shared" si="48"/>
        <v>1.2638129175636501</v>
      </c>
      <c r="G1206" s="9">
        <f t="shared" si="49"/>
        <v>1.2388593420708809</v>
      </c>
      <c r="H1206" s="9">
        <f t="shared" si="50"/>
        <v>1.2592291478966342</v>
      </c>
      <c r="I1206" s="9">
        <f t="shared" si="51"/>
        <v>1.2638129175636501</v>
      </c>
      <c r="J1206" s="9">
        <f t="shared" si="52"/>
        <v>1.2018805000000001</v>
      </c>
      <c r="K1206" s="70">
        <f t="shared" si="53"/>
        <v>1.240578842070881</v>
      </c>
      <c r="L1206" s="70">
        <f t="shared" si="54"/>
        <v>1.2609486478966341</v>
      </c>
      <c r="M1206" s="70">
        <f t="shared" si="55"/>
        <v>1.26553241756365</v>
      </c>
      <c r="N1206" s="68">
        <f t="shared" ref="N1206:N1213" si="56">E1206/1000+N$1173</f>
        <v>1.2036000000000002</v>
      </c>
      <c r="O1206">
        <v>23.296438034922041</v>
      </c>
    </row>
    <row r="1207" spans="1:15" x14ac:dyDescent="0.2">
      <c r="A1207" s="7">
        <v>44258</v>
      </c>
      <c r="B1207">
        <v>1.6597729669992869</v>
      </c>
      <c r="C1207">
        <v>1.688569607262536</v>
      </c>
      <c r="D1207">
        <v>1.686859199042074</v>
      </c>
      <c r="E1207">
        <v>13.29</v>
      </c>
      <c r="F1207" s="9">
        <f t="shared" ref="F1207:F1227" si="57">D1207-1.61729667326044+F$1174</f>
        <v>1.2689620572816351</v>
      </c>
      <c r="G1207" s="9">
        <f t="shared" ref="G1207:G1227" si="58">B1207-1.61729667326044+G$1174</f>
        <v>1.2358798937388449</v>
      </c>
      <c r="H1207" s="9">
        <f t="shared" ref="H1207:H1227" si="59">C1207-1.61729667326044+H$1174</f>
        <v>1.2601019805020952</v>
      </c>
      <c r="I1207" s="9">
        <f t="shared" ref="I1207:I1226" si="60">D1207-1.61729667326044+I$1174</f>
        <v>1.2689620572816351</v>
      </c>
      <c r="J1207" s="9">
        <f t="shared" ref="J1207:J1226" si="61">(N1207*1000000+($D$1048-$D$928))/1000000</f>
        <v>1.2020605000000002</v>
      </c>
      <c r="K1207" s="70">
        <f t="shared" ref="K1207:K1226" si="62">B1207-1.61729667326044+K$1174</f>
        <v>1.237599393738845</v>
      </c>
      <c r="L1207" s="70">
        <f t="shared" ref="L1207:L1227" si="63">C1207-1.61729667326044+L$1174</f>
        <v>1.2618214805020951</v>
      </c>
      <c r="M1207" s="70">
        <f t="shared" ref="M1207:M1227" si="64">D1207-1.61729667326044+M$1174</f>
        <v>1.270681557281635</v>
      </c>
      <c r="N1207" s="68">
        <f t="shared" si="56"/>
        <v>1.2037800000000003</v>
      </c>
      <c r="O1207">
        <v>23.066535716829861</v>
      </c>
    </row>
    <row r="1208" spans="1:15" x14ac:dyDescent="0.2">
      <c r="A1208" s="7">
        <v>44259</v>
      </c>
      <c r="B1208">
        <v>1.678375518834285</v>
      </c>
      <c r="C1208">
        <v>1.706834125323994</v>
      </c>
      <c r="D1208">
        <v>1.701871650388344</v>
      </c>
      <c r="E1208" s="3">
        <v>9</v>
      </c>
      <c r="F1208" s="9">
        <f t="shared" si="57"/>
        <v>1.2839745086279051</v>
      </c>
      <c r="G1208" s="9">
        <f t="shared" si="58"/>
        <v>1.254482445573843</v>
      </c>
      <c r="H1208" s="9">
        <f t="shared" si="59"/>
        <v>1.2783664985635532</v>
      </c>
      <c r="I1208" s="9">
        <f t="shared" si="60"/>
        <v>1.2839745086279051</v>
      </c>
      <c r="J1208" s="9">
        <f t="shared" si="61"/>
        <v>1.1977705000000003</v>
      </c>
      <c r="K1208" s="70">
        <f t="shared" si="62"/>
        <v>1.2562019455738431</v>
      </c>
      <c r="L1208" s="70">
        <f t="shared" si="63"/>
        <v>1.2800859985635531</v>
      </c>
      <c r="M1208" s="70">
        <f t="shared" si="64"/>
        <v>1.2856940086279049</v>
      </c>
      <c r="N1208" s="68">
        <f t="shared" si="56"/>
        <v>1.1994900000000002</v>
      </c>
      <c r="O1208">
        <v>24.848792204272218</v>
      </c>
    </row>
    <row r="1209" spans="1:15" x14ac:dyDescent="0.2">
      <c r="A1209" s="7">
        <v>44260</v>
      </c>
      <c r="B1209">
        <v>1.6748536458365031</v>
      </c>
      <c r="C1209">
        <v>1.7029678310329419</v>
      </c>
      <c r="D1209">
        <v>1.701309008184539</v>
      </c>
      <c r="E1209" s="3">
        <v>9.2799999999999994</v>
      </c>
      <c r="F1209" s="9">
        <f t="shared" si="57"/>
        <v>1.2834118664241001</v>
      </c>
      <c r="G1209" s="9">
        <f t="shared" si="58"/>
        <v>1.2509605725760611</v>
      </c>
      <c r="H1209" s="9">
        <f t="shared" si="59"/>
        <v>1.2745002042725011</v>
      </c>
      <c r="I1209" s="9">
        <f t="shared" si="60"/>
        <v>1.2834118664241001</v>
      </c>
      <c r="J1209" s="9">
        <f t="shared" si="61"/>
        <v>1.1980505000000001</v>
      </c>
      <c r="K1209" s="70">
        <f t="shared" si="62"/>
        <v>1.2526800725760612</v>
      </c>
      <c r="L1209" s="70">
        <f t="shared" si="63"/>
        <v>1.276219704272501</v>
      </c>
      <c r="M1209" s="70">
        <f t="shared" si="64"/>
        <v>1.2851313664241</v>
      </c>
      <c r="N1209" s="68">
        <f t="shared" si="56"/>
        <v>1.1997700000000002</v>
      </c>
      <c r="O1209">
        <v>25.530733253704</v>
      </c>
    </row>
    <row r="1210" spans="1:15" x14ac:dyDescent="0.2">
      <c r="A1210" s="7">
        <v>44263</v>
      </c>
      <c r="B1210">
        <v>1.6581398072481239</v>
      </c>
      <c r="C1210">
        <v>1.66462198950031</v>
      </c>
      <c r="D1210">
        <v>1.6620807362004351</v>
      </c>
      <c r="E1210" s="3">
        <v>-31.84</v>
      </c>
      <c r="F1210" s="9">
        <f t="shared" si="57"/>
        <v>1.2441835944399962</v>
      </c>
      <c r="G1210" s="9">
        <f t="shared" si="58"/>
        <v>1.2342467339876819</v>
      </c>
      <c r="H1210" s="9">
        <f t="shared" si="59"/>
        <v>1.2361543627398692</v>
      </c>
      <c r="I1210" s="9">
        <f t="shared" si="60"/>
        <v>1.2441835944399962</v>
      </c>
      <c r="J1210" s="9">
        <f t="shared" si="61"/>
        <v>1.1569305000000003</v>
      </c>
      <c r="K1210" s="70">
        <f t="shared" si="62"/>
        <v>1.235966233987682</v>
      </c>
      <c r="L1210" s="70">
        <f t="shared" si="63"/>
        <v>1.2378738627398691</v>
      </c>
      <c r="M1210" s="70">
        <f t="shared" si="64"/>
        <v>1.245903094439996</v>
      </c>
      <c r="N1210" s="68">
        <f t="shared" si="56"/>
        <v>1.1586500000000002</v>
      </c>
      <c r="O1210">
        <v>26.898482880295479</v>
      </c>
    </row>
    <row r="1211" spans="1:15" x14ac:dyDescent="0.2">
      <c r="A1211" s="7">
        <v>44264</v>
      </c>
      <c r="B1211">
        <v>1.6644948918897631</v>
      </c>
      <c r="C1211">
        <v>1.6791322218868929</v>
      </c>
      <c r="D1211">
        <v>1.6658431301193291</v>
      </c>
      <c r="E1211" s="3">
        <v>-28.41</v>
      </c>
      <c r="F1211" s="9">
        <f t="shared" si="57"/>
        <v>1.2479459883588901</v>
      </c>
      <c r="G1211" s="9">
        <f t="shared" si="58"/>
        <v>1.2406018186293211</v>
      </c>
      <c r="H1211" s="9">
        <f t="shared" si="59"/>
        <v>1.2506645951264521</v>
      </c>
      <c r="I1211" s="9">
        <f t="shared" si="60"/>
        <v>1.2479459883588901</v>
      </c>
      <c r="J1211" s="9">
        <f t="shared" si="61"/>
        <v>1.1603605000000001</v>
      </c>
      <c r="K1211" s="70">
        <f t="shared" si="62"/>
        <v>1.2423213186293212</v>
      </c>
      <c r="L1211" s="70">
        <f t="shared" si="63"/>
        <v>1.252384095126452</v>
      </c>
      <c r="M1211" s="70">
        <f t="shared" si="64"/>
        <v>1.24966548835889</v>
      </c>
      <c r="N1211" s="68">
        <f t="shared" si="56"/>
        <v>1.1620800000000002</v>
      </c>
      <c r="O1211">
        <v>26.60898381298281</v>
      </c>
    </row>
    <row r="1212" spans="1:15" x14ac:dyDescent="0.2">
      <c r="A1212" s="7">
        <v>44265</v>
      </c>
      <c r="B1212">
        <v>1.681956299569499</v>
      </c>
      <c r="C1212">
        <v>1.6978730172667329</v>
      </c>
      <c r="D1212">
        <v>1.682017003870099</v>
      </c>
      <c r="E1212" s="3">
        <v>-12.98</v>
      </c>
      <c r="F1212" s="9">
        <f t="shared" si="57"/>
        <v>1.2641198621096601</v>
      </c>
      <c r="G1212" s="9">
        <f t="shared" si="58"/>
        <v>1.258063226309057</v>
      </c>
      <c r="H1212" s="9">
        <f t="shared" si="59"/>
        <v>1.2694053905062921</v>
      </c>
      <c r="I1212" s="9">
        <f t="shared" si="60"/>
        <v>1.2641198621096601</v>
      </c>
      <c r="J1212" s="9">
        <f t="shared" si="61"/>
        <v>1.1757905000000002</v>
      </c>
      <c r="K1212" s="70">
        <f t="shared" si="62"/>
        <v>1.2597827263090571</v>
      </c>
      <c r="L1212" s="70">
        <f t="shared" si="63"/>
        <v>1.271124890506292</v>
      </c>
      <c r="M1212" s="70">
        <f t="shared" si="64"/>
        <v>1.26583936210966</v>
      </c>
      <c r="N1212" s="68">
        <f t="shared" si="56"/>
        <v>1.1775100000000003</v>
      </c>
      <c r="O1212">
        <v>25.89729164538323</v>
      </c>
    </row>
    <row r="1213" spans="1:15" x14ac:dyDescent="0.2">
      <c r="A1213" s="7">
        <v>44266</v>
      </c>
      <c r="B1213">
        <v>1.6906660156404401</v>
      </c>
      <c r="C1213">
        <v>1.701173329255633</v>
      </c>
      <c r="D1213">
        <v>1.6827123932856869</v>
      </c>
      <c r="E1213" s="3">
        <v>5.45</v>
      </c>
      <c r="F1213" s="9">
        <f t="shared" si="57"/>
        <v>1.264815251525248</v>
      </c>
      <c r="G1213" s="9">
        <f t="shared" si="58"/>
        <v>1.266772942379998</v>
      </c>
      <c r="H1213" s="9">
        <f t="shared" si="59"/>
        <v>1.2727057024951922</v>
      </c>
      <c r="I1213" s="9">
        <f t="shared" si="60"/>
        <v>1.264815251525248</v>
      </c>
      <c r="J1213" s="9">
        <f t="shared" si="61"/>
        <v>1.1942205000000001</v>
      </c>
      <c r="K1213" s="70">
        <f t="shared" si="62"/>
        <v>1.2684924423799981</v>
      </c>
      <c r="L1213" s="70">
        <f t="shared" si="63"/>
        <v>1.2744252024951921</v>
      </c>
      <c r="M1213" s="70">
        <f t="shared" si="64"/>
        <v>1.2665347515252479</v>
      </c>
      <c r="N1213" s="68">
        <f t="shared" si="56"/>
        <v>1.1959400000000002</v>
      </c>
      <c r="O1213">
        <v>23.928591087497789</v>
      </c>
    </row>
    <row r="1214" spans="1:15" x14ac:dyDescent="0.2">
      <c r="A1214" s="7">
        <v>44267</v>
      </c>
      <c r="B1214">
        <v>1.6969290373056589</v>
      </c>
      <c r="C1214">
        <v>1.708467892604419</v>
      </c>
      <c r="D1214">
        <v>1.691049626883099</v>
      </c>
      <c r="E1214" s="3">
        <v>19.75</v>
      </c>
      <c r="F1214" s="9">
        <f t="shared" si="57"/>
        <v>1.2731524851226601</v>
      </c>
      <c r="G1214" s="9">
        <f t="shared" si="58"/>
        <v>1.2730359640452169</v>
      </c>
      <c r="H1214" s="9">
        <f t="shared" si="59"/>
        <v>1.2800002658439782</v>
      </c>
      <c r="I1214" s="9">
        <f t="shared" si="60"/>
        <v>1.2731524851226601</v>
      </c>
      <c r="J1214" s="9">
        <f t="shared" si="61"/>
        <v>1.1986455000000003</v>
      </c>
      <c r="K1214" s="70">
        <f t="shared" si="62"/>
        <v>1.274755464045217</v>
      </c>
      <c r="L1214" s="70">
        <f t="shared" si="63"/>
        <v>1.2817197658439781</v>
      </c>
      <c r="M1214" s="70">
        <f t="shared" si="64"/>
        <v>1.27487198512266</v>
      </c>
      <c r="N1214" s="68">
        <f>E1214/2000+N$1173</f>
        <v>1.2003650000000003</v>
      </c>
      <c r="O1214">
        <v>22.51372926537265</v>
      </c>
    </row>
    <row r="1215" spans="1:15" x14ac:dyDescent="0.2">
      <c r="A1215" s="7">
        <v>44270</v>
      </c>
      <c r="B1215">
        <v>1.7068548351322881</v>
      </c>
      <c r="C1215">
        <v>1.7120598583426709</v>
      </c>
      <c r="D1215">
        <v>1.695824461116874</v>
      </c>
      <c r="E1215" s="3">
        <v>10.08</v>
      </c>
      <c r="F1215" s="9">
        <f t="shared" si="57"/>
        <v>1.2779273193564351</v>
      </c>
      <c r="G1215" s="9">
        <f t="shared" si="58"/>
        <v>1.2829617618718461</v>
      </c>
      <c r="H1215" s="9">
        <f t="shared" si="59"/>
        <v>1.2835922315822301</v>
      </c>
      <c r="I1215" s="9">
        <f t="shared" si="60"/>
        <v>1.2779273193564351</v>
      </c>
      <c r="J1215" s="9">
        <f t="shared" si="61"/>
        <v>1.1938105000000003</v>
      </c>
      <c r="K1215" s="70">
        <f t="shared" si="62"/>
        <v>1.2846812618718462</v>
      </c>
      <c r="L1215" s="70">
        <f t="shared" si="63"/>
        <v>1.28531173158223</v>
      </c>
      <c r="M1215" s="70">
        <f t="shared" si="64"/>
        <v>1.279646819356435</v>
      </c>
      <c r="N1215" s="68">
        <f t="shared" ref="N1215:N1248" si="65">E1215/2000+N$1173</f>
        <v>1.1955300000000002</v>
      </c>
      <c r="O1215">
        <v>23.263067875938681</v>
      </c>
    </row>
    <row r="1216" spans="1:15" x14ac:dyDescent="0.2">
      <c r="A1216" s="7">
        <v>44271</v>
      </c>
      <c r="B1216">
        <v>1.703865045992943</v>
      </c>
      <c r="C1216">
        <v>1.707708066048931</v>
      </c>
      <c r="D1216">
        <v>1.6923263907917601</v>
      </c>
      <c r="E1216" s="3">
        <v>14.48</v>
      </c>
      <c r="F1216" s="9">
        <f t="shared" si="57"/>
        <v>1.2744292490313212</v>
      </c>
      <c r="G1216" s="9">
        <f t="shared" si="58"/>
        <v>1.279971972732501</v>
      </c>
      <c r="H1216" s="9">
        <f t="shared" si="59"/>
        <v>1.2792404392884902</v>
      </c>
      <c r="I1216" s="9">
        <f t="shared" si="60"/>
        <v>1.2744292490313212</v>
      </c>
      <c r="J1216" s="9">
        <f t="shared" si="61"/>
        <v>1.1960105000000003</v>
      </c>
      <c r="K1216" s="70">
        <f t="shared" si="62"/>
        <v>1.2816914727325011</v>
      </c>
      <c r="L1216" s="70">
        <f t="shared" si="63"/>
        <v>1.2809599392884901</v>
      </c>
      <c r="M1216" s="70">
        <f t="shared" si="64"/>
        <v>1.276148749031321</v>
      </c>
      <c r="N1216" s="68">
        <f t="shared" si="65"/>
        <v>1.1977300000000002</v>
      </c>
      <c r="O1216">
        <v>22.553518574821261</v>
      </c>
    </row>
    <row r="1217" spans="1:19" x14ac:dyDescent="0.2">
      <c r="A1217" s="7">
        <v>44272</v>
      </c>
      <c r="B1217">
        <v>1.7004588288810409</v>
      </c>
      <c r="C1217">
        <v>1.7077385200341499</v>
      </c>
      <c r="D1217">
        <v>1.6940958135256421</v>
      </c>
      <c r="E1217" s="3">
        <v>11.32</v>
      </c>
      <c r="F1217" s="9">
        <f t="shared" si="57"/>
        <v>1.2761986717652032</v>
      </c>
      <c r="G1217" s="9">
        <f t="shared" si="58"/>
        <v>1.2765657556205989</v>
      </c>
      <c r="H1217" s="9">
        <f t="shared" si="59"/>
        <v>1.2792708932737091</v>
      </c>
      <c r="I1217" s="9">
        <f t="shared" si="60"/>
        <v>1.2761986717652032</v>
      </c>
      <c r="J1217" s="9">
        <f t="shared" si="61"/>
        <v>1.1944305000000002</v>
      </c>
      <c r="K1217" s="70">
        <f t="shared" si="62"/>
        <v>1.278285255620599</v>
      </c>
      <c r="L1217" s="70">
        <f t="shared" si="63"/>
        <v>1.280990393273709</v>
      </c>
      <c r="M1217" s="70">
        <f t="shared" si="64"/>
        <v>1.2779181717652031</v>
      </c>
      <c r="N1217" s="68">
        <f t="shared" si="65"/>
        <v>1.1961500000000003</v>
      </c>
      <c r="O1217">
        <v>22.705731859037751</v>
      </c>
    </row>
    <row r="1218" spans="1:19" x14ac:dyDescent="0.2">
      <c r="A1218" s="7">
        <v>44273</v>
      </c>
      <c r="B1218">
        <v>1.705016944790368</v>
      </c>
      <c r="C1218">
        <v>1.714134312812958</v>
      </c>
      <c r="D1218">
        <v>1.68737985234319</v>
      </c>
      <c r="E1218" s="3">
        <v>17.62</v>
      </c>
      <c r="F1218" s="9">
        <f t="shared" si="57"/>
        <v>1.2694827105827511</v>
      </c>
      <c r="G1218" s="9">
        <f t="shared" si="58"/>
        <v>1.281123871529926</v>
      </c>
      <c r="H1218" s="9">
        <f t="shared" si="59"/>
        <v>1.2856666860525172</v>
      </c>
      <c r="I1218" s="9">
        <f t="shared" si="60"/>
        <v>1.2694827105827511</v>
      </c>
      <c r="J1218" s="9">
        <f t="shared" si="61"/>
        <v>1.1975805000000002</v>
      </c>
      <c r="K1218" s="70">
        <f t="shared" si="62"/>
        <v>1.2828433715299261</v>
      </c>
      <c r="L1218" s="70">
        <f t="shared" si="63"/>
        <v>1.2873861860525171</v>
      </c>
      <c r="M1218" s="70">
        <f t="shared" si="64"/>
        <v>1.271202210582751</v>
      </c>
      <c r="N1218" s="68">
        <f t="shared" si="65"/>
        <v>1.1993000000000003</v>
      </c>
      <c r="O1218">
        <v>22.409108911458318</v>
      </c>
    </row>
    <row r="1219" spans="1:19" x14ac:dyDescent="0.2">
      <c r="A1219" s="7">
        <v>44274</v>
      </c>
      <c r="B1219">
        <v>1.7132907605568419</v>
      </c>
      <c r="C1219">
        <v>1.7215724478249139</v>
      </c>
      <c r="D1219">
        <v>1.7006540843687561</v>
      </c>
      <c r="E1219" s="3">
        <v>9.84</v>
      </c>
      <c r="F1219" s="9">
        <f t="shared" si="57"/>
        <v>1.2827569426083172</v>
      </c>
      <c r="G1219" s="9">
        <f t="shared" si="58"/>
        <v>1.2893976872963999</v>
      </c>
      <c r="H1219" s="9">
        <f t="shared" si="59"/>
        <v>1.2931048210644731</v>
      </c>
      <c r="I1219" s="9">
        <f t="shared" si="60"/>
        <v>1.2827569426083172</v>
      </c>
      <c r="J1219" s="9">
        <f t="shared" si="61"/>
        <v>1.1936905000000002</v>
      </c>
      <c r="K1219" s="70">
        <f t="shared" si="62"/>
        <v>1.2911171872964</v>
      </c>
      <c r="L1219" s="70">
        <f t="shared" si="63"/>
        <v>1.294824321064473</v>
      </c>
      <c r="M1219" s="70">
        <f t="shared" si="64"/>
        <v>1.2844764426083171</v>
      </c>
      <c r="N1219" s="68">
        <f t="shared" si="65"/>
        <v>1.1954100000000003</v>
      </c>
      <c r="O1219">
        <v>22.896828546969839</v>
      </c>
    </row>
    <row r="1220" spans="1:19" x14ac:dyDescent="0.2">
      <c r="A1220" s="7">
        <v>44277</v>
      </c>
      <c r="B1220">
        <v>1.7058105044858229</v>
      </c>
      <c r="C1220">
        <v>1.713565051089905</v>
      </c>
      <c r="D1220">
        <v>1.6848388587392009</v>
      </c>
      <c r="E1220" s="3">
        <v>5.08</v>
      </c>
      <c r="F1220" s="9">
        <f t="shared" si="57"/>
        <v>1.266941716978762</v>
      </c>
      <c r="G1220" s="9">
        <f t="shared" si="58"/>
        <v>1.2819174312253809</v>
      </c>
      <c r="H1220" s="9">
        <f t="shared" si="59"/>
        <v>1.2850974243294642</v>
      </c>
      <c r="I1220" s="9">
        <f t="shared" si="60"/>
        <v>1.266941716978762</v>
      </c>
      <c r="J1220" s="9">
        <f t="shared" si="61"/>
        <v>1.1913105000000002</v>
      </c>
      <c r="K1220" s="70">
        <f t="shared" si="62"/>
        <v>1.283636931225381</v>
      </c>
      <c r="L1220" s="70">
        <f t="shared" si="63"/>
        <v>1.286816924329464</v>
      </c>
      <c r="M1220" s="70">
        <f t="shared" si="64"/>
        <v>1.2686612169787619</v>
      </c>
      <c r="N1220" s="68">
        <f t="shared" si="65"/>
        <v>1.1930300000000003</v>
      </c>
      <c r="O1220">
        <v>22.196230849567758</v>
      </c>
    </row>
    <row r="1221" spans="1:19" x14ac:dyDescent="0.2">
      <c r="A1221" s="7">
        <v>44278</v>
      </c>
      <c r="B1221">
        <v>1.7045607728783621</v>
      </c>
      <c r="C1221">
        <v>1.705505107486279</v>
      </c>
      <c r="D1221">
        <v>1.673469663238268</v>
      </c>
      <c r="E1221" s="3">
        <v>2.76</v>
      </c>
      <c r="F1221" s="9">
        <f t="shared" si="57"/>
        <v>1.2555725214778291</v>
      </c>
      <c r="G1221" s="9">
        <f t="shared" si="58"/>
        <v>1.28066769961792</v>
      </c>
      <c r="H1221" s="9">
        <f t="shared" si="59"/>
        <v>1.2770374807258382</v>
      </c>
      <c r="I1221" s="9">
        <f t="shared" si="60"/>
        <v>1.2555725214778291</v>
      </c>
      <c r="J1221" s="9">
        <f t="shared" si="61"/>
        <v>1.1901505000000003</v>
      </c>
      <c r="K1221" s="70">
        <f t="shared" si="62"/>
        <v>1.2823871996179201</v>
      </c>
      <c r="L1221" s="70">
        <f t="shared" si="63"/>
        <v>1.2787569807258381</v>
      </c>
      <c r="M1221" s="70">
        <f t="shared" si="64"/>
        <v>1.2572920214778289</v>
      </c>
      <c r="N1221" s="68">
        <f t="shared" si="65"/>
        <v>1.1918700000000002</v>
      </c>
      <c r="O1221">
        <v>21.418161154056591</v>
      </c>
    </row>
    <row r="1222" spans="1:19" x14ac:dyDescent="0.2">
      <c r="A1222" s="7">
        <v>44279</v>
      </c>
      <c r="B1222">
        <v>1.712149136039278</v>
      </c>
      <c r="C1222">
        <v>1.712018361645204</v>
      </c>
      <c r="D1222">
        <v>1.6875500033784021</v>
      </c>
      <c r="E1222" s="3">
        <v>4.38</v>
      </c>
      <c r="F1222" s="9">
        <f t="shared" si="57"/>
        <v>1.2696528616179632</v>
      </c>
      <c r="G1222" s="9">
        <f t="shared" si="58"/>
        <v>1.288256062778836</v>
      </c>
      <c r="H1222" s="9">
        <f t="shared" si="59"/>
        <v>1.2835507348847632</v>
      </c>
      <c r="I1222" s="9">
        <f t="shared" si="60"/>
        <v>1.2696528616179632</v>
      </c>
      <c r="J1222" s="9">
        <f t="shared" si="61"/>
        <v>1.1909605000000003</v>
      </c>
      <c r="K1222" s="70">
        <f t="shared" si="62"/>
        <v>1.2899755627788361</v>
      </c>
      <c r="L1222" s="70">
        <f t="shared" si="63"/>
        <v>1.2852702348847631</v>
      </c>
      <c r="M1222" s="70">
        <f t="shared" si="64"/>
        <v>1.2713723616179631</v>
      </c>
      <c r="N1222" s="68">
        <f t="shared" si="65"/>
        <v>1.1926800000000002</v>
      </c>
      <c r="O1222">
        <v>21.919388496859721</v>
      </c>
    </row>
    <row r="1223" spans="1:19" x14ac:dyDescent="0.2">
      <c r="A1223" s="7">
        <v>44280</v>
      </c>
      <c r="B1223">
        <v>1.7081985472452621</v>
      </c>
      <c r="C1223">
        <v>1.7044914686860251</v>
      </c>
      <c r="D1223">
        <v>1.6807178158397791</v>
      </c>
      <c r="E1223" s="3">
        <v>0.57999999999999996</v>
      </c>
      <c r="F1223" s="9">
        <f t="shared" si="57"/>
        <v>1.2628206740793402</v>
      </c>
      <c r="G1223" s="9">
        <f t="shared" si="58"/>
        <v>1.2843054739848201</v>
      </c>
      <c r="H1223" s="9">
        <f t="shared" si="59"/>
        <v>1.2760238419255843</v>
      </c>
      <c r="I1223" s="9">
        <f t="shared" si="60"/>
        <v>1.2628206740793402</v>
      </c>
      <c r="J1223" s="9">
        <f t="shared" si="61"/>
        <v>1.1890605000000003</v>
      </c>
      <c r="K1223" s="70">
        <f t="shared" si="62"/>
        <v>1.2860249739848202</v>
      </c>
      <c r="L1223" s="70">
        <f t="shared" si="63"/>
        <v>1.2777433419255841</v>
      </c>
      <c r="M1223" s="70">
        <f t="shared" si="64"/>
        <v>1.2645401740793401</v>
      </c>
      <c r="N1223" s="68">
        <f t="shared" si="65"/>
        <v>1.1907800000000002</v>
      </c>
      <c r="O1223">
        <v>21.053955795155449</v>
      </c>
    </row>
    <row r="1224" spans="1:19" x14ac:dyDescent="0.2">
      <c r="A1224" s="7">
        <v>44281</v>
      </c>
      <c r="B1224">
        <v>1.707137057228173</v>
      </c>
      <c r="C1224">
        <v>1.702381411381598</v>
      </c>
      <c r="D1224">
        <v>1.678336409749684</v>
      </c>
      <c r="E1224" s="3">
        <v>-0.95</v>
      </c>
      <c r="F1224" s="9">
        <f t="shared" si="57"/>
        <v>1.2604392679892451</v>
      </c>
      <c r="G1224" s="9">
        <f t="shared" si="58"/>
        <v>1.283243983967731</v>
      </c>
      <c r="H1224" s="9">
        <f t="shared" si="59"/>
        <v>1.2739137846211572</v>
      </c>
      <c r="I1224" s="9">
        <f t="shared" si="60"/>
        <v>1.2604392679892451</v>
      </c>
      <c r="J1224" s="9">
        <f t="shared" si="61"/>
        <v>1.1882955000000002</v>
      </c>
      <c r="K1224" s="70">
        <f t="shared" si="62"/>
        <v>1.2849634839677311</v>
      </c>
      <c r="L1224" s="70">
        <f t="shared" si="63"/>
        <v>1.2756332846211571</v>
      </c>
      <c r="M1224" s="70">
        <f t="shared" si="64"/>
        <v>1.262158767989245</v>
      </c>
      <c r="N1224" s="68">
        <f t="shared" si="65"/>
        <v>1.1900150000000003</v>
      </c>
      <c r="O1224">
        <v>20.073666932167249</v>
      </c>
    </row>
    <row r="1225" spans="1:19" x14ac:dyDescent="0.2">
      <c r="A1225" s="7">
        <v>44284</v>
      </c>
      <c r="B1225">
        <v>1.7035112085889961</v>
      </c>
      <c r="C1225">
        <v>1.699037636235553</v>
      </c>
      <c r="D1225">
        <v>1.6722147918330119</v>
      </c>
      <c r="E1225" s="3">
        <v>-3.6</v>
      </c>
      <c r="F1225" s="9">
        <f t="shared" si="57"/>
        <v>1.254317650072573</v>
      </c>
      <c r="G1225" s="9">
        <f t="shared" si="58"/>
        <v>1.2796181353285541</v>
      </c>
      <c r="H1225" s="9">
        <f t="shared" si="59"/>
        <v>1.2705700094751122</v>
      </c>
      <c r="I1225" s="9">
        <f t="shared" si="60"/>
        <v>1.254317650072573</v>
      </c>
      <c r="J1225" s="9">
        <f t="shared" si="61"/>
        <v>1.1869705000000002</v>
      </c>
      <c r="K1225" s="70">
        <f t="shared" si="62"/>
        <v>1.2813376353285542</v>
      </c>
      <c r="L1225" s="70">
        <f t="shared" si="63"/>
        <v>1.2722895094751121</v>
      </c>
      <c r="M1225" s="70">
        <f t="shared" si="64"/>
        <v>1.2560371500725729</v>
      </c>
      <c r="N1225" s="68">
        <f t="shared" si="65"/>
        <v>1.1886900000000002</v>
      </c>
      <c r="O1225">
        <v>20.10056023662268</v>
      </c>
    </row>
    <row r="1226" spans="1:19" x14ac:dyDescent="0.2">
      <c r="A1226" s="7">
        <v>44285</v>
      </c>
      <c r="B1226">
        <v>1.6962451517330051</v>
      </c>
      <c r="C1226">
        <v>1.6928477770206081</v>
      </c>
      <c r="D1226">
        <v>1.6698669907597099</v>
      </c>
      <c r="E1226" s="3">
        <v>-3.64</v>
      </c>
      <c r="F1226" s="9">
        <f t="shared" si="57"/>
        <v>1.251969848999271</v>
      </c>
      <c r="G1226" s="9">
        <f t="shared" si="58"/>
        <v>1.272352078472563</v>
      </c>
      <c r="H1226" s="9">
        <f t="shared" si="59"/>
        <v>1.2643801502601673</v>
      </c>
      <c r="I1226" s="9">
        <f t="shared" si="60"/>
        <v>1.251969848999271</v>
      </c>
      <c r="J1226" s="9">
        <f t="shared" si="61"/>
        <v>1.1869505000000002</v>
      </c>
      <c r="K1226" s="70">
        <f t="shared" si="62"/>
        <v>1.2740715784725631</v>
      </c>
      <c r="L1226" s="70">
        <f t="shared" si="63"/>
        <v>1.2660996502601671</v>
      </c>
      <c r="M1226" s="70">
        <f t="shared" si="64"/>
        <v>1.2536893489992709</v>
      </c>
      <c r="N1226" s="68">
        <f t="shared" si="65"/>
        <v>1.1886700000000003</v>
      </c>
      <c r="O1226">
        <v>20.110953604336689</v>
      </c>
    </row>
    <row r="1227" spans="1:19" x14ac:dyDescent="0.2">
      <c r="A1227" s="7">
        <v>44286</v>
      </c>
      <c r="B1227">
        <v>1.698082936098307</v>
      </c>
      <c r="C1227">
        <v>1.693965199667619</v>
      </c>
      <c r="D1227">
        <v>1.6703843111816441</v>
      </c>
      <c r="E1227" s="3">
        <v>-4.6900000000000004</v>
      </c>
      <c r="F1227" s="9">
        <f t="shared" si="57"/>
        <v>1.2524871694212052</v>
      </c>
      <c r="G1227" s="9">
        <f t="shared" si="58"/>
        <v>1.274189862837865</v>
      </c>
      <c r="H1227" s="9">
        <f t="shared" si="59"/>
        <v>1.2654975729071782</v>
      </c>
      <c r="I1227" s="9">
        <f>D1227-1.61729667326044+I$1174</f>
        <v>1.2524871694212052</v>
      </c>
      <c r="J1227" s="9">
        <f>(N1227*1000000+($D$1048-$D$928))/1000000</f>
        <v>1.1864255000000001</v>
      </c>
      <c r="K1227" s="70">
        <f>B1227-1.61729667326044+K$1174</f>
        <v>1.275909362837865</v>
      </c>
      <c r="L1227" s="70">
        <f t="shared" si="63"/>
        <v>1.2672170729071781</v>
      </c>
      <c r="M1227" s="70">
        <f t="shared" si="64"/>
        <v>1.2542066694212051</v>
      </c>
      <c r="N1227" s="68">
        <f>E1227/2000+N$1173</f>
        <v>1.1881450000000002</v>
      </c>
      <c r="O1227">
        <v>19.782802238224779</v>
      </c>
    </row>
    <row r="1228" spans="1:19" s="68" customFormat="1" x14ac:dyDescent="0.2">
      <c r="A1228" s="67">
        <v>44287</v>
      </c>
      <c r="B1228" s="68">
        <v>1.11296161127594</v>
      </c>
      <c r="C1228" s="68">
        <v>1.0740220048400999</v>
      </c>
      <c r="D1228" s="69">
        <v>1.07327838772679</v>
      </c>
      <c r="E1228" s="68">
        <v>-7.01</v>
      </c>
      <c r="F1228" s="69">
        <f>D1228-1.07766934064189+F$1227</f>
        <v>1.2480962165061051</v>
      </c>
      <c r="G1228" s="69">
        <f>B1228-1.11680854055224+G$1227</f>
        <v>1.2703429335615648</v>
      </c>
      <c r="H1228" s="69">
        <f>C1228-1.07630206413797+H$1227</f>
        <v>1.2632175136093082</v>
      </c>
      <c r="I1228" s="69">
        <f>D1228-1.07766934064189+I$1227</f>
        <v>1.2480962165061051</v>
      </c>
      <c r="J1228" s="69">
        <f>(N1228*1000000+($D$1048-$D$928))/1000000</f>
        <v>1.1852655000000003</v>
      </c>
      <c r="K1228" s="74">
        <f>B1228-1.11680854055224+K$1227</f>
        <v>1.2720624335615649</v>
      </c>
      <c r="L1228" s="74">
        <f>C1228-1.07630206413797+L$1227</f>
        <v>1.2649370136093081</v>
      </c>
      <c r="M1228" s="74">
        <f>D1228-1.07766934064189+M$1227</f>
        <v>1.249815716506105</v>
      </c>
      <c r="N1228" s="68">
        <f t="shared" si="65"/>
        <v>1.1869850000000002</v>
      </c>
      <c r="O1228" s="68">
        <v>19.0985885190026</v>
      </c>
      <c r="P1228" s="78">
        <f>K1228/K$1227-1</f>
        <v>-3.0150490217767389E-3</v>
      </c>
      <c r="Q1228" s="78">
        <f t="shared" ref="Q1228:S1228" si="66">L1228/L$1227-1</f>
        <v>-1.7992649772616831E-3</v>
      </c>
      <c r="R1228" s="78">
        <f t="shared" si="66"/>
        <v>-3.5009803584654664E-3</v>
      </c>
      <c r="S1228" s="78">
        <f t="shared" si="66"/>
        <v>-9.7631181379376208E-4</v>
      </c>
    </row>
    <row r="1229" spans="1:19" s="80" customFormat="1" x14ac:dyDescent="0.2">
      <c r="A1229" s="79">
        <v>44288</v>
      </c>
      <c r="B1229" s="80">
        <v>1.1151502059410401</v>
      </c>
      <c r="C1229" s="80">
        <v>1.07597229171648</v>
      </c>
      <c r="D1229" s="81">
        <v>1.0722278985906399</v>
      </c>
      <c r="E1229" s="80">
        <v>-6.18</v>
      </c>
      <c r="F1229" s="81">
        <f>D1229-1.07766934064189+F$1227</f>
        <v>1.2470457273699551</v>
      </c>
      <c r="G1229" s="81">
        <f t="shared" ref="G1229:G1248" si="67">B1229-1.11680854055224+G$1227</f>
        <v>1.2725315282266649</v>
      </c>
      <c r="H1229" s="81">
        <f>C1229-1.07630206413797+H$1227</f>
        <v>1.2651678004856883</v>
      </c>
      <c r="I1229" s="81">
        <f>D1229-1.07766934064189+I$1227</f>
        <v>1.2470457273699551</v>
      </c>
      <c r="J1229" s="81">
        <f t="shared" ref="J1229:J1248" si="68">(N1229*1000000+($D$1048-$D$928))/1000000</f>
        <v>1.1856805000000001</v>
      </c>
      <c r="K1229" s="82">
        <f>B1229-1.11680854055224+K$1227</f>
        <v>1.274251028226665</v>
      </c>
      <c r="L1229" s="82">
        <f>C1229-1.07630206413797+L$1227</f>
        <v>1.2668873004856882</v>
      </c>
      <c r="M1229" s="82">
        <f>D1229-1.07766934064189+M$1227</f>
        <v>1.248765227369955</v>
      </c>
      <c r="N1229" s="68">
        <f t="shared" si="65"/>
        <v>1.1874000000000002</v>
      </c>
      <c r="O1229" s="80">
        <v>19.254528236100299</v>
      </c>
      <c r="P1229" s="83">
        <f t="shared" ref="P1229:P1248" si="69">K1229/K$1227-1</f>
        <v>-1.2997275978221534E-3</v>
      </c>
      <c r="Q1229" s="83">
        <f t="shared" ref="Q1229:Q1248" si="70">L1229/L$1227-1</f>
        <v>-2.6023356892856953E-4</v>
      </c>
      <c r="R1229" s="83">
        <f t="shared" ref="R1229:R1248" si="71">M1229/M$1227-1</f>
        <v>-4.3385529545630908E-3</v>
      </c>
      <c r="S1229" s="83">
        <f t="shared" ref="S1229:S1247" si="72">N1229/N$1227-1</f>
        <v>-6.2702784592794103E-4</v>
      </c>
    </row>
    <row r="1230" spans="1:19" x14ac:dyDescent="0.2">
      <c r="A1230" s="7">
        <v>44292</v>
      </c>
      <c r="B1230">
        <v>1.11076450594104</v>
      </c>
      <c r="C1230">
        <v>1.0716015917164801</v>
      </c>
      <c r="D1230" s="9">
        <v>1.06977309859064</v>
      </c>
      <c r="E1230">
        <v>-8.8000000000000007</v>
      </c>
      <c r="F1230" s="55">
        <f t="shared" ref="F1230:F1248" si="73">D1230-1.07766934064189+F$1227</f>
        <v>1.2445909273699551</v>
      </c>
      <c r="G1230" s="55">
        <f t="shared" si="67"/>
        <v>1.2681458282266649</v>
      </c>
      <c r="H1230" s="55">
        <f t="shared" ref="H1230:H1248" si="74">C1230-1.07630206413797+H$1227</f>
        <v>1.2607971004856884</v>
      </c>
      <c r="I1230" s="55">
        <f t="shared" ref="I1230:I1248" si="75">D1230-1.07766934064189+I$1227</f>
        <v>1.2445909273699551</v>
      </c>
      <c r="J1230" s="9">
        <f t="shared" si="68"/>
        <v>1.1843705000000002</v>
      </c>
      <c r="K1230" s="75">
        <f t="shared" ref="K1230:K1248" si="76">B1230-1.11680854055224+K$1227</f>
        <v>1.269865328226665</v>
      </c>
      <c r="L1230" s="75">
        <f t="shared" ref="L1230:L1248" si="77">C1230-1.07630206413797+L$1227</f>
        <v>1.2625166004856883</v>
      </c>
      <c r="M1230" s="75">
        <f t="shared" ref="M1230:M1246" si="78">D1230-1.07766934064189+M$1227</f>
        <v>1.246310427369955</v>
      </c>
      <c r="N1230" s="68">
        <f t="shared" si="65"/>
        <v>1.1860900000000003</v>
      </c>
      <c r="O1230">
        <v>19.541616169395802</v>
      </c>
      <c r="P1230" s="78">
        <f t="shared" si="69"/>
        <v>-4.7370407234547107E-3</v>
      </c>
      <c r="Q1230" s="78">
        <f t="shared" si="70"/>
        <v>-3.709287478826595E-3</v>
      </c>
      <c r="R1230" s="78">
        <f t="shared" si="71"/>
        <v>-6.2958061408603383E-3</v>
      </c>
      <c r="S1230" s="78">
        <f t="shared" si="72"/>
        <v>-1.7295868770225153E-3</v>
      </c>
    </row>
    <row r="1231" spans="1:19" x14ac:dyDescent="0.2">
      <c r="A1231" s="7">
        <v>44293</v>
      </c>
      <c r="B1231">
        <v>1.1103224059410399</v>
      </c>
      <c r="C1231">
        <v>1.06947569171648</v>
      </c>
      <c r="D1231" s="9">
        <v>1.0680573985906401</v>
      </c>
      <c r="E1231">
        <v>-10.17</v>
      </c>
      <c r="F1231" s="55">
        <f t="shared" si="73"/>
        <v>1.2428752273699553</v>
      </c>
      <c r="G1231" s="55">
        <f t="shared" si="67"/>
        <v>1.2677037282266648</v>
      </c>
      <c r="H1231" s="55">
        <f t="shared" si="74"/>
        <v>1.2586712004856884</v>
      </c>
      <c r="I1231" s="55">
        <f t="shared" si="75"/>
        <v>1.2428752273699553</v>
      </c>
      <c r="J1231" s="9">
        <f t="shared" si="68"/>
        <v>1.1836855000000002</v>
      </c>
      <c r="K1231" s="75">
        <f t="shared" si="76"/>
        <v>1.2694232282266649</v>
      </c>
      <c r="L1231" s="75">
        <f t="shared" si="77"/>
        <v>1.2603907004856882</v>
      </c>
      <c r="M1231" s="75">
        <f t="shared" si="78"/>
        <v>1.2445947273699551</v>
      </c>
      <c r="N1231" s="68">
        <f t="shared" si="65"/>
        <v>1.1854050000000003</v>
      </c>
      <c r="O1231">
        <v>18.8560259805501</v>
      </c>
      <c r="P1231" s="78">
        <f t="shared" si="69"/>
        <v>-5.0835386902199353E-3</v>
      </c>
      <c r="Q1231" s="78">
        <f t="shared" si="70"/>
        <v>-5.386900608771894E-3</v>
      </c>
      <c r="R1231" s="78">
        <f t="shared" si="71"/>
        <v>-7.6637625086826144E-3</v>
      </c>
      <c r="S1231" s="78">
        <f t="shared" si="72"/>
        <v>-2.3061158360301315E-3</v>
      </c>
    </row>
    <row r="1232" spans="1:19" x14ac:dyDescent="0.2">
      <c r="A1232" s="7">
        <v>44294</v>
      </c>
      <c r="B1232">
        <v>1.10753380594104</v>
      </c>
      <c r="C1232">
        <v>1.0661694917164799</v>
      </c>
      <c r="D1232" s="9">
        <v>1.0647876985906399</v>
      </c>
      <c r="E1232" s="3">
        <v>-13.43</v>
      </c>
      <c r="F1232" s="55">
        <f t="shared" si="73"/>
        <v>1.2396055273699551</v>
      </c>
      <c r="G1232" s="55">
        <f t="shared" si="67"/>
        <v>1.2649151282266649</v>
      </c>
      <c r="H1232" s="55">
        <f t="shared" si="74"/>
        <v>1.2553650004856882</v>
      </c>
      <c r="I1232" s="55">
        <f t="shared" si="75"/>
        <v>1.2396055273699551</v>
      </c>
      <c r="J1232" s="9">
        <f t="shared" si="68"/>
        <v>1.1820555000000001</v>
      </c>
      <c r="K1232" s="75">
        <f t="shared" si="76"/>
        <v>1.2666346282266649</v>
      </c>
      <c r="L1232" s="75">
        <f t="shared" si="77"/>
        <v>1.2570845004856881</v>
      </c>
      <c r="M1232" s="75">
        <f>D1232-1.07766934064189+M$1227</f>
        <v>1.241325027369955</v>
      </c>
      <c r="N1232" s="68">
        <f t="shared" si="65"/>
        <v>1.1837750000000002</v>
      </c>
      <c r="O1232">
        <v>18.519972989896701</v>
      </c>
      <c r="P1232" s="78">
        <f t="shared" si="69"/>
        <v>-7.2691171342855743E-3</v>
      </c>
      <c r="Q1232" s="78">
        <f t="shared" si="70"/>
        <v>-7.9959248009848771E-3</v>
      </c>
      <c r="R1232" s="78">
        <f t="shared" si="71"/>
        <v>-1.0270749123981848E-2</v>
      </c>
      <c r="S1232" s="78">
        <f t="shared" si="72"/>
        <v>-3.6780022640333643E-3</v>
      </c>
    </row>
    <row r="1233" spans="1:19" x14ac:dyDescent="0.2">
      <c r="A1233" s="7">
        <v>44295</v>
      </c>
      <c r="B1233">
        <v>1.11028220594104</v>
      </c>
      <c r="C1233">
        <v>1.0693798917164801</v>
      </c>
      <c r="D1233" s="9">
        <v>1.06736809859064</v>
      </c>
      <c r="E1233" s="3">
        <v>-11.15</v>
      </c>
      <c r="F1233" s="55">
        <f t="shared" si="73"/>
        <v>1.2421859273699551</v>
      </c>
      <c r="G1233" s="55">
        <f t="shared" si="67"/>
        <v>1.2676635282266648</v>
      </c>
      <c r="H1233" s="55">
        <f t="shared" si="74"/>
        <v>1.2585754004856884</v>
      </c>
      <c r="I1233" s="55">
        <f t="shared" si="75"/>
        <v>1.2421859273699551</v>
      </c>
      <c r="J1233" s="9">
        <f t="shared" si="68"/>
        <v>1.1831955000000003</v>
      </c>
      <c r="K1233" s="75">
        <f t="shared" si="76"/>
        <v>1.2693830282266649</v>
      </c>
      <c r="L1233" s="75">
        <f t="shared" si="77"/>
        <v>1.2602949004856883</v>
      </c>
      <c r="M1233" s="75">
        <f t="shared" si="78"/>
        <v>1.243905427369955</v>
      </c>
      <c r="N1233" s="68">
        <f t="shared" si="65"/>
        <v>1.1849150000000002</v>
      </c>
      <c r="O1233">
        <v>18.369609752478102</v>
      </c>
      <c r="P1233" s="78">
        <f t="shared" si="69"/>
        <v>-5.1150456304234204E-3</v>
      </c>
      <c r="Q1233" s="78">
        <f t="shared" si="70"/>
        <v>-5.4624993377097031E-3</v>
      </c>
      <c r="R1233" s="78">
        <f t="shared" si="71"/>
        <v>-8.2133529524316407E-3</v>
      </c>
      <c r="S1233" s="78">
        <f t="shared" si="72"/>
        <v>-2.7185234125465252E-3</v>
      </c>
    </row>
    <row r="1234" spans="1:19" x14ac:dyDescent="0.2">
      <c r="A1234" s="7">
        <v>44298</v>
      </c>
      <c r="B1234">
        <v>1.1161801059410399</v>
      </c>
      <c r="C1234">
        <v>1.0765542917164801</v>
      </c>
      <c r="D1234" s="9">
        <v>1.0734648985906401</v>
      </c>
      <c r="E1234" s="3">
        <v>-3.94</v>
      </c>
      <c r="F1234" s="55">
        <f t="shared" si="73"/>
        <v>1.2482827273699553</v>
      </c>
      <c r="G1234" s="55">
        <f t="shared" si="67"/>
        <v>1.2735614282266647</v>
      </c>
      <c r="H1234" s="55">
        <f t="shared" si="74"/>
        <v>1.2657498004856884</v>
      </c>
      <c r="I1234" s="55">
        <f t="shared" si="75"/>
        <v>1.2482827273699553</v>
      </c>
      <c r="J1234" s="9">
        <f t="shared" si="68"/>
        <v>1.1868005000000001</v>
      </c>
      <c r="K1234" s="75">
        <f t="shared" si="76"/>
        <v>1.2752809282266648</v>
      </c>
      <c r="L1234" s="75">
        <f t="shared" si="77"/>
        <v>1.2674693004856883</v>
      </c>
      <c r="M1234" s="75">
        <f>D1234-1.07766934064189+M$1227</f>
        <v>1.2500022273699551</v>
      </c>
      <c r="N1234" s="68">
        <f t="shared" si="65"/>
        <v>1.1885200000000002</v>
      </c>
      <c r="O1234">
        <v>19.2861370906909</v>
      </c>
      <c r="P1234" s="78">
        <f t="shared" si="69"/>
        <v>-4.9253859992248739E-4</v>
      </c>
      <c r="Q1234" s="78">
        <f t="shared" si="70"/>
        <v>1.9904054633013146E-4</v>
      </c>
      <c r="R1234" s="78">
        <f t="shared" si="71"/>
        <v>-3.3522721205032635E-3</v>
      </c>
      <c r="S1234" s="78">
        <f t="shared" si="72"/>
        <v>3.1561804325241916E-4</v>
      </c>
    </row>
    <row r="1235" spans="1:19" x14ac:dyDescent="0.2">
      <c r="A1235" s="7">
        <v>44299</v>
      </c>
      <c r="B1235">
        <v>1.11396810594104</v>
      </c>
      <c r="C1235">
        <v>1.0735601917164801</v>
      </c>
      <c r="D1235" s="9">
        <v>1.06947849859064</v>
      </c>
      <c r="E1235">
        <v>-7.94</v>
      </c>
      <c r="F1235" s="55">
        <f t="shared" si="73"/>
        <v>1.2442963273699552</v>
      </c>
      <c r="G1235" s="55">
        <f t="shared" si="67"/>
        <v>1.2713494282266649</v>
      </c>
      <c r="H1235" s="55">
        <f t="shared" si="74"/>
        <v>1.2627557004856884</v>
      </c>
      <c r="I1235" s="55">
        <f t="shared" si="75"/>
        <v>1.2442963273699552</v>
      </c>
      <c r="J1235" s="9">
        <f t="shared" si="68"/>
        <v>1.1848005000000001</v>
      </c>
      <c r="K1235" s="75">
        <f t="shared" si="76"/>
        <v>1.273068928226665</v>
      </c>
      <c r="L1235" s="75">
        <f t="shared" si="77"/>
        <v>1.2644752004856883</v>
      </c>
      <c r="M1235" s="75">
        <f>D1235-1.07766934064189+M$1227</f>
        <v>1.2460158273699551</v>
      </c>
      <c r="N1235" s="68">
        <f t="shared" si="65"/>
        <v>1.1865200000000002</v>
      </c>
      <c r="O1235">
        <v>19.249168587194099</v>
      </c>
      <c r="P1235" s="78">
        <f t="shared" si="69"/>
        <v>-2.2262040658456161E-3</v>
      </c>
      <c r="Q1235" s="78">
        <f t="shared" si="70"/>
        <v>-2.1636959287484325E-3</v>
      </c>
      <c r="R1235" s="78">
        <f t="shared" si="71"/>
        <v>-6.530695658818253E-3</v>
      </c>
      <c r="S1235" s="78">
        <f t="shared" si="72"/>
        <v>-1.3676781874265576E-3</v>
      </c>
    </row>
    <row r="1236" spans="1:19" x14ac:dyDescent="0.2">
      <c r="A1236" s="7">
        <v>44300</v>
      </c>
      <c r="B1236">
        <v>1.1106042059410399</v>
      </c>
      <c r="C1236">
        <v>1.0705489917164701</v>
      </c>
      <c r="D1236" s="9">
        <v>1.06593099859064</v>
      </c>
      <c r="E1236">
        <v>-11.25</v>
      </c>
      <c r="F1236" s="55">
        <f t="shared" si="73"/>
        <v>1.2407488273699552</v>
      </c>
      <c r="G1236" s="55">
        <f t="shared" si="67"/>
        <v>1.2679855282266648</v>
      </c>
      <c r="H1236" s="55">
        <f t="shared" si="74"/>
        <v>1.2597445004856784</v>
      </c>
      <c r="I1236" s="55">
        <f t="shared" si="75"/>
        <v>1.2407488273699552</v>
      </c>
      <c r="J1236" s="9">
        <f t="shared" si="68"/>
        <v>1.1831455000000002</v>
      </c>
      <c r="K1236" s="75">
        <f t="shared" si="76"/>
        <v>1.2697050282266649</v>
      </c>
      <c r="L1236" s="75">
        <f t="shared" si="77"/>
        <v>1.2614640004856783</v>
      </c>
      <c r="M1236" s="75">
        <f t="shared" si="78"/>
        <v>1.2424683273699551</v>
      </c>
      <c r="N1236" s="68">
        <f t="shared" si="65"/>
        <v>1.1848650000000003</v>
      </c>
      <c r="O1236">
        <v>19.1263844971987</v>
      </c>
      <c r="P1236" s="78">
        <f t="shared" si="69"/>
        <v>-4.8626766069029825E-3</v>
      </c>
      <c r="Q1236" s="78">
        <f t="shared" si="70"/>
        <v>-4.539926540210959E-3</v>
      </c>
      <c r="R1236" s="78">
        <f t="shared" si="71"/>
        <v>-9.3591768704810452E-3</v>
      </c>
      <c r="S1236" s="78">
        <f t="shared" si="72"/>
        <v>-2.7606058183133886E-3</v>
      </c>
    </row>
    <row r="1237" spans="1:19" x14ac:dyDescent="0.2">
      <c r="A1237" s="7">
        <v>44301</v>
      </c>
      <c r="B1237">
        <v>1.1111335059410401</v>
      </c>
      <c r="C1237">
        <v>1.0701436917164799</v>
      </c>
      <c r="D1237" s="9">
        <v>1.0661118985906399</v>
      </c>
      <c r="E1237">
        <v>-10.4</v>
      </c>
      <c r="F1237" s="55">
        <f t="shared" si="73"/>
        <v>1.2409297273699551</v>
      </c>
      <c r="G1237" s="55">
        <f t="shared" si="67"/>
        <v>1.2685148282266649</v>
      </c>
      <c r="H1237" s="55">
        <f t="shared" si="74"/>
        <v>1.2593392004856883</v>
      </c>
      <c r="I1237" s="55">
        <f t="shared" si="75"/>
        <v>1.2409297273699551</v>
      </c>
      <c r="J1237" s="9">
        <f t="shared" si="68"/>
        <v>1.1835705000000003</v>
      </c>
      <c r="K1237" s="75">
        <f t="shared" si="76"/>
        <v>1.270234328226665</v>
      </c>
      <c r="L1237" s="75">
        <f t="shared" si="77"/>
        <v>1.2610587004856881</v>
      </c>
      <c r="M1237" s="75">
        <f t="shared" si="78"/>
        <v>1.242649227369955</v>
      </c>
      <c r="N1237" s="68">
        <f t="shared" si="65"/>
        <v>1.1852900000000002</v>
      </c>
      <c r="O1237">
        <v>19.241129277799701</v>
      </c>
      <c r="P1237" s="78">
        <f t="shared" si="69"/>
        <v>-4.4478352275569843E-3</v>
      </c>
      <c r="Q1237" s="78">
        <f t="shared" si="70"/>
        <v>-4.8597612462415452E-3</v>
      </c>
      <c r="R1237" s="78">
        <f t="shared" si="71"/>
        <v>-9.2149422683134308E-3</v>
      </c>
      <c r="S1237" s="78">
        <f t="shared" si="72"/>
        <v>-2.4029053692942171E-3</v>
      </c>
    </row>
    <row r="1238" spans="1:19" x14ac:dyDescent="0.2">
      <c r="A1238" s="7">
        <v>44302</v>
      </c>
      <c r="B1238">
        <v>1.10842450594104</v>
      </c>
      <c r="C1238">
        <v>1.0660123917164701</v>
      </c>
      <c r="D1238" s="9">
        <v>1.0618273985906399</v>
      </c>
      <c r="E1238">
        <v>-14.69</v>
      </c>
      <c r="F1238" s="55">
        <f t="shared" si="73"/>
        <v>1.2366452273699551</v>
      </c>
      <c r="G1238" s="55">
        <f t="shared" si="67"/>
        <v>1.2658058282266649</v>
      </c>
      <c r="H1238" s="55">
        <f t="shared" si="74"/>
        <v>1.2552079004856784</v>
      </c>
      <c r="I1238" s="55">
        <f t="shared" si="75"/>
        <v>1.2366452273699551</v>
      </c>
      <c r="J1238" s="9">
        <f t="shared" si="68"/>
        <v>1.1814255000000002</v>
      </c>
      <c r="K1238" s="75">
        <f t="shared" si="76"/>
        <v>1.267525328226665</v>
      </c>
      <c r="L1238" s="75">
        <f t="shared" si="77"/>
        <v>1.2569274004856783</v>
      </c>
      <c r="M1238" s="75">
        <f t="shared" si="78"/>
        <v>1.238364727369955</v>
      </c>
      <c r="N1238" s="68">
        <f t="shared" si="65"/>
        <v>1.1831450000000003</v>
      </c>
      <c r="O1238">
        <v>18.982789172103999</v>
      </c>
      <c r="P1238" s="78">
        <f t="shared" si="69"/>
        <v>-6.5710267950008783E-3</v>
      </c>
      <c r="Q1238" s="78">
        <f t="shared" si="70"/>
        <v>-8.1198972468811137E-3</v>
      </c>
      <c r="R1238" s="78">
        <f t="shared" si="71"/>
        <v>-1.2631045933251928E-2</v>
      </c>
      <c r="S1238" s="78">
        <f t="shared" si="72"/>
        <v>-4.2082405766972197E-3</v>
      </c>
    </row>
    <row r="1239" spans="1:19" x14ac:dyDescent="0.2">
      <c r="A1239" s="7">
        <v>44305</v>
      </c>
      <c r="B1239">
        <v>1.1225053059410399</v>
      </c>
      <c r="C1239">
        <v>1.0821628917164701</v>
      </c>
      <c r="D1239" s="9">
        <v>1.07564159859064</v>
      </c>
      <c r="E1239">
        <v>0.52</v>
      </c>
      <c r="F1239" s="55">
        <f t="shared" si="73"/>
        <v>1.2504594273699552</v>
      </c>
      <c r="G1239" s="55">
        <f t="shared" si="67"/>
        <v>1.2798866282266648</v>
      </c>
      <c r="H1239" s="55">
        <f t="shared" si="74"/>
        <v>1.2713584004856784</v>
      </c>
      <c r="I1239" s="55">
        <f t="shared" si="75"/>
        <v>1.2504594273699552</v>
      </c>
      <c r="J1239" s="9">
        <f t="shared" si="68"/>
        <v>1.1890305000000003</v>
      </c>
      <c r="K1239" s="75">
        <f t="shared" si="76"/>
        <v>1.2816061282266649</v>
      </c>
      <c r="L1239" s="75">
        <f t="shared" si="77"/>
        <v>1.2730779004856783</v>
      </c>
      <c r="M1239" s="75">
        <f t="shared" si="78"/>
        <v>1.2521789273699551</v>
      </c>
      <c r="N1239" s="68">
        <f t="shared" si="65"/>
        <v>1.1907500000000002</v>
      </c>
      <c r="O1239">
        <v>19.463454983592001</v>
      </c>
      <c r="P1239" s="78">
        <f t="shared" si="69"/>
        <v>4.4648668273183922E-3</v>
      </c>
      <c r="Q1239" s="78">
        <f t="shared" si="70"/>
        <v>4.624959451544175E-3</v>
      </c>
      <c r="R1239" s="78">
        <f t="shared" si="71"/>
        <v>-1.6167527255980252E-3</v>
      </c>
      <c r="S1239" s="78">
        <f t="shared" si="72"/>
        <v>2.192493340459345E-3</v>
      </c>
    </row>
    <row r="1240" spans="1:19" x14ac:dyDescent="0.2">
      <c r="A1240" s="7">
        <v>44306</v>
      </c>
      <c r="B1240">
        <v>1.12143370594104</v>
      </c>
      <c r="C1240">
        <v>1.0811368917164701</v>
      </c>
      <c r="D1240" s="9">
        <v>1.07449109859064</v>
      </c>
      <c r="E1240">
        <v>-0.59</v>
      </c>
      <c r="F1240" s="55">
        <f t="shared" si="73"/>
        <v>1.2493089273699551</v>
      </c>
      <c r="G1240" s="55">
        <f t="shared" si="67"/>
        <v>1.2788150282266648</v>
      </c>
      <c r="H1240" s="55">
        <f t="shared" si="74"/>
        <v>1.2703324004856784</v>
      </c>
      <c r="I1240" s="55">
        <f t="shared" si="75"/>
        <v>1.2493089273699551</v>
      </c>
      <c r="J1240" s="9">
        <f t="shared" si="68"/>
        <v>1.1884755000000002</v>
      </c>
      <c r="K1240" s="75">
        <f t="shared" si="76"/>
        <v>1.2805345282266649</v>
      </c>
      <c r="L1240" s="75">
        <f t="shared" si="77"/>
        <v>1.2720519004856783</v>
      </c>
      <c r="M1240" s="75">
        <f t="shared" si="78"/>
        <v>1.251028427369955</v>
      </c>
      <c r="N1240" s="68">
        <f t="shared" si="65"/>
        <v>1.1901950000000003</v>
      </c>
      <c r="O1240">
        <v>19.516767170036498</v>
      </c>
      <c r="P1240" s="78">
        <f t="shared" si="69"/>
        <v>3.6249952571181243E-3</v>
      </c>
      <c r="Q1240" s="78">
        <f t="shared" si="70"/>
        <v>3.8153112689749413E-3</v>
      </c>
      <c r="R1240" s="78">
        <f t="shared" si="71"/>
        <v>-2.5340656597822031E-3</v>
      </c>
      <c r="S1240" s="78">
        <f t="shared" si="72"/>
        <v>1.7253786364459511E-3</v>
      </c>
    </row>
    <row r="1241" spans="1:19" x14ac:dyDescent="0.2">
      <c r="A1241" s="7">
        <v>44307</v>
      </c>
      <c r="B1241">
        <v>1.12063430594104</v>
      </c>
      <c r="C1241">
        <v>1.07999809171648</v>
      </c>
      <c r="D1241" s="9">
        <v>1.0734021985906399</v>
      </c>
      <c r="E1241">
        <v>-1.67</v>
      </c>
      <c r="F1241" s="55">
        <f t="shared" si="73"/>
        <v>1.2482200273699551</v>
      </c>
      <c r="G1241" s="55">
        <f t="shared" si="67"/>
        <v>1.2780156282266648</v>
      </c>
      <c r="H1241" s="55">
        <f t="shared" si="74"/>
        <v>1.2691936004856883</v>
      </c>
      <c r="I1241" s="55">
        <f t="shared" si="75"/>
        <v>1.2482200273699551</v>
      </c>
      <c r="J1241" s="9">
        <f t="shared" si="68"/>
        <v>1.1879355000000005</v>
      </c>
      <c r="K1241" s="75">
        <f t="shared" si="76"/>
        <v>1.2797351282266649</v>
      </c>
      <c r="L1241" s="75">
        <f>C1241-1.07630206413797+L$1227</f>
        <v>1.2709131004856882</v>
      </c>
      <c r="M1241" s="75">
        <f t="shared" si="78"/>
        <v>1.249939527369955</v>
      </c>
      <c r="N1241" s="68">
        <f t="shared" si="65"/>
        <v>1.1896550000000004</v>
      </c>
      <c r="O1241">
        <v>19.710788019121502</v>
      </c>
      <c r="P1241" s="78">
        <f t="shared" si="69"/>
        <v>2.9984617248128842E-3</v>
      </c>
      <c r="Q1241" s="78">
        <f t="shared" si="70"/>
        <v>2.9166491341778844E-3</v>
      </c>
      <c r="R1241" s="78">
        <f t="shared" si="71"/>
        <v>-3.4022638814537043E-3</v>
      </c>
      <c r="S1241" s="78">
        <f t="shared" si="72"/>
        <v>1.270888654162583E-3</v>
      </c>
    </row>
    <row r="1242" spans="1:19" x14ac:dyDescent="0.2">
      <c r="A1242" s="7">
        <v>44308</v>
      </c>
      <c r="B1242">
        <v>1.1207889059410401</v>
      </c>
      <c r="C1242">
        <v>1.0799158917164799</v>
      </c>
      <c r="D1242" s="9">
        <v>1.07326729859064</v>
      </c>
      <c r="E1242">
        <v>-1.64</v>
      </c>
      <c r="F1242" s="55">
        <f t="shared" si="73"/>
        <v>1.2480851273699551</v>
      </c>
      <c r="G1242" s="55">
        <f t="shared" si="67"/>
        <v>1.2781702282266649</v>
      </c>
      <c r="H1242" s="55">
        <f t="shared" si="74"/>
        <v>1.2691114004856883</v>
      </c>
      <c r="I1242" s="55">
        <f t="shared" si="75"/>
        <v>1.2480851273699551</v>
      </c>
      <c r="J1242" s="9">
        <f t="shared" si="68"/>
        <v>1.1879505000000001</v>
      </c>
      <c r="K1242" s="75">
        <f t="shared" si="76"/>
        <v>1.279889728226665</v>
      </c>
      <c r="L1242" s="75">
        <f t="shared" si="77"/>
        <v>1.2708309004856881</v>
      </c>
      <c r="M1242" s="75">
        <f t="shared" si="78"/>
        <v>1.249804627369955</v>
      </c>
      <c r="N1242" s="68">
        <f t="shared" si="65"/>
        <v>1.1896700000000002</v>
      </c>
      <c r="O1242">
        <v>19.6614818068186</v>
      </c>
      <c r="P1242" s="78">
        <f t="shared" si="69"/>
        <v>3.1196302062921344E-3</v>
      </c>
      <c r="Q1242" s="78">
        <f t="shared" si="70"/>
        <v>2.851782583878304E-3</v>
      </c>
      <c r="R1242" s="78">
        <f t="shared" si="71"/>
        <v>-3.509821912589195E-3</v>
      </c>
      <c r="S1242" s="78">
        <f t="shared" si="72"/>
        <v>1.2835133758926087E-3</v>
      </c>
    </row>
    <row r="1243" spans="1:19" x14ac:dyDescent="0.2">
      <c r="A1243" s="7">
        <v>44309</v>
      </c>
      <c r="B1243">
        <v>1.12166910594104</v>
      </c>
      <c r="C1243">
        <v>1.07980489171648</v>
      </c>
      <c r="D1243" s="9">
        <v>1.0730985985906401</v>
      </c>
      <c r="E1243">
        <v>-2.2200000000000002</v>
      </c>
      <c r="F1243" s="55">
        <f t="shared" si="73"/>
        <v>1.2479164273699552</v>
      </c>
      <c r="G1243" s="55">
        <f t="shared" si="67"/>
        <v>1.2790504282266648</v>
      </c>
      <c r="H1243" s="55">
        <f t="shared" si="74"/>
        <v>1.2690004004856883</v>
      </c>
      <c r="I1243" s="55">
        <f t="shared" si="75"/>
        <v>1.2479164273699552</v>
      </c>
      <c r="J1243" s="9">
        <f t="shared" si="68"/>
        <v>1.1876605000000002</v>
      </c>
      <c r="K1243" s="75">
        <f t="shared" si="76"/>
        <v>1.2807699282266649</v>
      </c>
      <c r="L1243" s="75">
        <f t="shared" si="77"/>
        <v>1.2707199004856882</v>
      </c>
      <c r="M1243" s="75">
        <f t="shared" si="78"/>
        <v>1.2496359273699551</v>
      </c>
      <c r="N1243" s="68">
        <f t="shared" si="65"/>
        <v>1.1893800000000003</v>
      </c>
      <c r="O1243">
        <v>19.723629414016798</v>
      </c>
      <c r="P1243" s="78">
        <f t="shared" si="69"/>
        <v>3.8094911208967908E-3</v>
      </c>
      <c r="Q1243" s="78">
        <f t="shared" si="70"/>
        <v>2.7641890670506708E-3</v>
      </c>
      <c r="R1243" s="78">
        <f t="shared" si="71"/>
        <v>-3.6443292502656988E-3</v>
      </c>
      <c r="S1243" s="78">
        <f t="shared" si="72"/>
        <v>1.0394354224443347E-3</v>
      </c>
    </row>
    <row r="1244" spans="1:19" x14ac:dyDescent="0.2">
      <c r="A1244" s="7">
        <v>44312</v>
      </c>
      <c r="B1244">
        <v>1.1213194059410401</v>
      </c>
      <c r="C1244">
        <v>1.0803564917164701</v>
      </c>
      <c r="D1244" s="9">
        <v>1.0739357985906399</v>
      </c>
      <c r="E1244">
        <v>-4.76</v>
      </c>
      <c r="F1244" s="55">
        <f t="shared" si="73"/>
        <v>1.2487536273699551</v>
      </c>
      <c r="G1244" s="55">
        <f t="shared" si="67"/>
        <v>1.2787007282266649</v>
      </c>
      <c r="H1244" s="55">
        <f t="shared" si="74"/>
        <v>1.2695520004856784</v>
      </c>
      <c r="I1244" s="55">
        <f t="shared" si="75"/>
        <v>1.2487536273699551</v>
      </c>
      <c r="J1244" s="9">
        <f t="shared" si="68"/>
        <v>1.1863905000000001</v>
      </c>
      <c r="K1244" s="75">
        <f t="shared" si="76"/>
        <v>1.280420228226665</v>
      </c>
      <c r="L1244" s="75">
        <f t="shared" si="77"/>
        <v>1.2712715004856783</v>
      </c>
      <c r="M1244" s="75">
        <f t="shared" si="78"/>
        <v>1.250473127369955</v>
      </c>
      <c r="N1244" s="68">
        <f t="shared" si="65"/>
        <v>1.1881100000000002</v>
      </c>
      <c r="O1244">
        <v>20.418153580558499</v>
      </c>
      <c r="P1244" s="78">
        <f t="shared" si="69"/>
        <v>3.5354120913158038E-3</v>
      </c>
      <c r="Q1244" s="78">
        <f t="shared" si="70"/>
        <v>3.19947360652173E-3</v>
      </c>
      <c r="R1244" s="78">
        <f t="shared" si="71"/>
        <v>-2.9768156574809801E-3</v>
      </c>
      <c r="S1244" s="78">
        <f t="shared" si="72"/>
        <v>-2.9457684036837684E-5</v>
      </c>
    </row>
    <row r="1245" spans="1:19" x14ac:dyDescent="0.2">
      <c r="A1245" s="7">
        <v>44313</v>
      </c>
      <c r="B1245">
        <v>1.1251114059410401</v>
      </c>
      <c r="C1245">
        <v>1.08269139171648</v>
      </c>
      <c r="D1245" s="9">
        <v>1.07615349859064</v>
      </c>
      <c r="E1245">
        <v>-2.65</v>
      </c>
      <c r="F1245" s="55">
        <f t="shared" si="73"/>
        <v>1.2509713273699552</v>
      </c>
      <c r="G1245" s="55">
        <f t="shared" si="67"/>
        <v>1.2824927282266649</v>
      </c>
      <c r="H1245" s="55">
        <f t="shared" si="74"/>
        <v>1.2718869004856883</v>
      </c>
      <c r="I1245" s="55">
        <f t="shared" si="75"/>
        <v>1.2509713273699552</v>
      </c>
      <c r="J1245" s="9">
        <f t="shared" si="68"/>
        <v>1.1874455000000002</v>
      </c>
      <c r="K1245" s="75">
        <f t="shared" si="76"/>
        <v>1.284212228226665</v>
      </c>
      <c r="L1245" s="75">
        <f t="shared" si="77"/>
        <v>1.2736064004856882</v>
      </c>
      <c r="M1245" s="75">
        <f t="shared" si="78"/>
        <v>1.2526908273699551</v>
      </c>
      <c r="N1245" s="68">
        <f t="shared" si="65"/>
        <v>1.1891650000000002</v>
      </c>
      <c r="O1245">
        <v>20.140797176437399</v>
      </c>
      <c r="P1245" s="78">
        <f t="shared" si="69"/>
        <v>6.507410032898342E-3</v>
      </c>
      <c r="Q1245" s="78">
        <f t="shared" si="70"/>
        <v>5.0420150699612698E-3</v>
      </c>
      <c r="R1245" s="78">
        <f t="shared" si="71"/>
        <v>-1.2086062753513538E-3</v>
      </c>
      <c r="S1245" s="78">
        <f t="shared" si="72"/>
        <v>8.5848107764618931E-4</v>
      </c>
    </row>
    <row r="1246" spans="1:19" x14ac:dyDescent="0.2">
      <c r="A1246" s="7">
        <v>44314</v>
      </c>
      <c r="B1246">
        <v>1.12713300594104</v>
      </c>
      <c r="C1246">
        <v>1.0864944917164701</v>
      </c>
      <c r="D1246" s="9">
        <v>1.0786084985906399</v>
      </c>
      <c r="E1246">
        <v>0.47</v>
      </c>
      <c r="F1246" s="55">
        <f t="shared" si="73"/>
        <v>1.2534263273699551</v>
      </c>
      <c r="G1246" s="55">
        <f t="shared" si="67"/>
        <v>1.2845143282266649</v>
      </c>
      <c r="H1246" s="55">
        <f t="shared" si="74"/>
        <v>1.2756900004856784</v>
      </c>
      <c r="I1246" s="55">
        <f t="shared" si="75"/>
        <v>1.2534263273699551</v>
      </c>
      <c r="J1246" s="9">
        <f t="shared" si="68"/>
        <v>1.1890055000000002</v>
      </c>
      <c r="K1246" s="75">
        <f t="shared" si="76"/>
        <v>1.286233828226665</v>
      </c>
      <c r="L1246" s="75">
        <f t="shared" si="77"/>
        <v>1.2774095004856783</v>
      </c>
      <c r="M1246" s="75">
        <f t="shared" si="78"/>
        <v>1.2551458273699549</v>
      </c>
      <c r="N1246" s="68">
        <f t="shared" si="65"/>
        <v>1.1907250000000003</v>
      </c>
      <c r="O1246">
        <v>19.7960579140045</v>
      </c>
      <c r="P1246" s="78">
        <f t="shared" si="69"/>
        <v>8.0918485979570853E-3</v>
      </c>
      <c r="Q1246" s="78">
        <f t="shared" si="70"/>
        <v>8.0431583478568491E-3</v>
      </c>
      <c r="R1246" s="78">
        <f t="shared" si="71"/>
        <v>7.488063742981943E-4</v>
      </c>
      <c r="S1246" s="78">
        <f t="shared" si="72"/>
        <v>2.1714521375757467E-3</v>
      </c>
    </row>
    <row r="1247" spans="1:19" x14ac:dyDescent="0.2">
      <c r="A1247" s="7">
        <v>44315</v>
      </c>
      <c r="B1247">
        <v>1.12800910594104</v>
      </c>
      <c r="C1247">
        <v>1.0875984917164701</v>
      </c>
      <c r="D1247" s="9">
        <v>1.07972179859064</v>
      </c>
      <c r="E1247">
        <v>1.64</v>
      </c>
      <c r="F1247" s="55">
        <f>D1247-1.07766934064189+F$1227</f>
        <v>1.2545396273699552</v>
      </c>
      <c r="G1247" s="55">
        <f t="shared" si="67"/>
        <v>1.2853904282266648</v>
      </c>
      <c r="H1247" s="55">
        <f t="shared" si="74"/>
        <v>1.2767940004856784</v>
      </c>
      <c r="I1247" s="55">
        <f t="shared" si="75"/>
        <v>1.2545396273699552</v>
      </c>
      <c r="J1247" s="9">
        <f t="shared" si="68"/>
        <v>1.1895905000000002</v>
      </c>
      <c r="K1247" s="75">
        <f t="shared" si="76"/>
        <v>1.2871099282266649</v>
      </c>
      <c r="L1247" s="75">
        <f t="shared" si="77"/>
        <v>1.2785135004856782</v>
      </c>
      <c r="M1247" s="75">
        <f>D1247-1.07766934064189+M$1227</f>
        <v>1.256259127369955</v>
      </c>
      <c r="N1247" s="68">
        <f t="shared" si="65"/>
        <v>1.1913100000000003</v>
      </c>
      <c r="O1247">
        <v>19.6729289455483</v>
      </c>
      <c r="P1247" s="78">
        <f t="shared" si="69"/>
        <v>8.7784961181629484E-3</v>
      </c>
      <c r="Q1247" s="78">
        <f t="shared" si="70"/>
        <v>8.9143587314401973E-3</v>
      </c>
      <c r="R1247" s="78">
        <f t="shared" si="71"/>
        <v>1.6364591249520277E-3</v>
      </c>
      <c r="S1247" s="78">
        <f t="shared" si="72"/>
        <v>2.663816285049414E-3</v>
      </c>
    </row>
    <row r="1248" spans="1:19" x14ac:dyDescent="0.2">
      <c r="A1248" s="7">
        <v>44316</v>
      </c>
      <c r="B1248">
        <v>1.1293944059410399</v>
      </c>
      <c r="C1248">
        <v>1.08794479171648</v>
      </c>
      <c r="D1248" s="9">
        <v>1.08075619859064</v>
      </c>
      <c r="E1248">
        <v>2.52</v>
      </c>
      <c r="F1248" s="55">
        <f t="shared" si="73"/>
        <v>1.2555740273699552</v>
      </c>
      <c r="G1248" s="55">
        <f t="shared" si="67"/>
        <v>1.2867757282266648</v>
      </c>
      <c r="H1248" s="55">
        <f t="shared" si="74"/>
        <v>1.2771403004856883</v>
      </c>
      <c r="I1248" s="55">
        <f t="shared" si="75"/>
        <v>1.2555740273699552</v>
      </c>
      <c r="J1248" s="9">
        <f t="shared" si="68"/>
        <v>1.1900305000000002</v>
      </c>
      <c r="K1248" s="75">
        <f t="shared" si="76"/>
        <v>1.2884952282266648</v>
      </c>
      <c r="L1248" s="75">
        <f t="shared" si="77"/>
        <v>1.2788598004856881</v>
      </c>
      <c r="M1248" s="75">
        <f>D1248-1.07766934064189+M$1227</f>
        <v>1.257293527369955</v>
      </c>
      <c r="N1248" s="68">
        <f t="shared" si="65"/>
        <v>1.1917500000000003</v>
      </c>
      <c r="O1248">
        <v>19.4029029211592</v>
      </c>
      <c r="P1248" s="78">
        <f t="shared" si="69"/>
        <v>9.864231547612734E-3</v>
      </c>
      <c r="Q1248" s="78">
        <f t="shared" si="70"/>
        <v>9.1876347213346587E-3</v>
      </c>
      <c r="R1248" s="78">
        <f t="shared" si="71"/>
        <v>2.4612035831179657E-3</v>
      </c>
      <c r="S1248" s="78">
        <f>N1248/N$1227-1</f>
        <v>3.0341414557988333E-3</v>
      </c>
    </row>
    <row r="1249" spans="1:19" x14ac:dyDescent="0.2">
      <c r="A1249" s="7">
        <v>44322</v>
      </c>
      <c r="B1249">
        <v>1.13531010594104</v>
      </c>
      <c r="C1249">
        <v>1.09399929171648</v>
      </c>
      <c r="D1249" s="9">
        <v>1.0876272985906399</v>
      </c>
      <c r="E1249" s="3">
        <v>9.6</v>
      </c>
      <c r="F1249" s="55">
        <f t="shared" ref="F1249:F1287" si="79">D1249-1.07766934064189+F$1227</f>
        <v>1.2624451273699551</v>
      </c>
      <c r="G1249" s="55">
        <f t="shared" ref="G1249:G1265" si="80">B1249-1.11680854055224+G$1227</f>
        <v>1.2926914282266648</v>
      </c>
      <c r="H1249" s="55">
        <f t="shared" ref="H1249:H1262" si="81">C1249-1.07630206413797+H$1227</f>
        <v>1.2831948004856883</v>
      </c>
      <c r="I1249" s="55">
        <f t="shared" ref="I1249:I1265" si="82">D1249-1.07766934064189+I$1227</f>
        <v>1.2624451273699551</v>
      </c>
      <c r="J1249" s="9">
        <f t="shared" ref="J1249:J1265" si="83">(N1249*1000000+($D$1048-$D$928))/1000000</f>
        <v>1.1935705000000003</v>
      </c>
      <c r="K1249" s="75">
        <f t="shared" ref="K1249:K1265" si="84">B1249-1.11680854055224+K$1227</f>
        <v>1.2944109282266649</v>
      </c>
      <c r="L1249" s="75">
        <f t="shared" ref="L1249:L1287" si="85">C1249-1.07630206413797+L$1227</f>
        <v>1.2849143004856882</v>
      </c>
      <c r="M1249" s="75">
        <f t="shared" ref="M1249:M1265" si="86">D1249-1.07766934064189+M$1227</f>
        <v>1.2641646273699549</v>
      </c>
      <c r="N1249" s="68">
        <f t="shared" ref="N1249:N1287" si="87">E1249/2000+N$1173</f>
        <v>1.1952900000000002</v>
      </c>
      <c r="O1249">
        <v>19.3353370280783</v>
      </c>
      <c r="P1249" s="75"/>
      <c r="R1249" s="68"/>
      <c r="S1249" s="68">
        <f>N1249/N$1227-1</f>
        <v>6.0135757841004445E-3</v>
      </c>
    </row>
    <row r="1250" spans="1:19" x14ac:dyDescent="0.2">
      <c r="A1250" s="7">
        <v>44323</v>
      </c>
      <c r="B1250">
        <v>1.1327391059410401</v>
      </c>
      <c r="C1250">
        <v>1.0920202917164701</v>
      </c>
      <c r="D1250" s="9">
        <v>1.08696949859064</v>
      </c>
      <c r="E1250" s="3">
        <v>8.76</v>
      </c>
      <c r="F1250" s="55">
        <f t="shared" si="79"/>
        <v>1.2617873273699551</v>
      </c>
      <c r="G1250" s="55">
        <f t="shared" si="80"/>
        <v>1.290120428226665</v>
      </c>
      <c r="H1250" s="55">
        <f t="shared" si="81"/>
        <v>1.2812158004856784</v>
      </c>
      <c r="I1250" s="55">
        <f t="shared" si="82"/>
        <v>1.2617873273699551</v>
      </c>
      <c r="J1250" s="9">
        <f t="shared" si="83"/>
        <v>1.1931505000000002</v>
      </c>
      <c r="K1250" s="75">
        <f t="shared" si="84"/>
        <v>1.291839928226665</v>
      </c>
      <c r="L1250" s="75">
        <f t="shared" si="85"/>
        <v>1.2829353004856783</v>
      </c>
      <c r="M1250" s="75">
        <f t="shared" si="86"/>
        <v>1.263506827369955</v>
      </c>
      <c r="N1250" s="68">
        <f t="shared" si="87"/>
        <v>1.1948700000000003</v>
      </c>
      <c r="O1250">
        <v>19.108709186548801</v>
      </c>
      <c r="R1250" s="68"/>
    </row>
    <row r="1251" spans="1:19" x14ac:dyDescent="0.2">
      <c r="A1251" s="7">
        <v>44326</v>
      </c>
      <c r="B1251">
        <v>1.13586500594104</v>
      </c>
      <c r="C1251">
        <v>1.0951391917164801</v>
      </c>
      <c r="D1251" s="9">
        <v>1.0926704985906399</v>
      </c>
      <c r="E1251" s="3">
        <v>13.74</v>
      </c>
      <c r="F1251" s="55">
        <f t="shared" si="79"/>
        <v>1.2674883273699551</v>
      </c>
      <c r="G1251" s="55">
        <f t="shared" si="80"/>
        <v>1.2932463282266649</v>
      </c>
      <c r="H1251" s="55">
        <f t="shared" si="81"/>
        <v>1.2843347004856884</v>
      </c>
      <c r="I1251" s="55">
        <f t="shared" si="82"/>
        <v>1.2674883273699551</v>
      </c>
      <c r="J1251" s="9">
        <f t="shared" si="83"/>
        <v>1.1956405000000003</v>
      </c>
      <c r="K1251" s="75">
        <f t="shared" si="84"/>
        <v>1.294965828226665</v>
      </c>
      <c r="L1251" s="75">
        <f t="shared" si="85"/>
        <v>1.2860542004856883</v>
      </c>
      <c r="M1251" s="75">
        <f t="shared" si="86"/>
        <v>1.269207827369955</v>
      </c>
      <c r="N1251" s="68">
        <f t="shared" si="87"/>
        <v>1.1973600000000002</v>
      </c>
      <c r="O1251">
        <v>18.984888574459301</v>
      </c>
    </row>
    <row r="1252" spans="1:19" x14ac:dyDescent="0.2">
      <c r="A1252" s="7">
        <v>44327</v>
      </c>
      <c r="B1252">
        <v>1.13520480594104</v>
      </c>
      <c r="C1252">
        <v>1.0945801917164799</v>
      </c>
      <c r="D1252" s="9">
        <v>1.09228199859064</v>
      </c>
      <c r="E1252" s="3">
        <v>12.92</v>
      </c>
      <c r="F1252" s="55">
        <f t="shared" si="79"/>
        <v>1.2670998273699552</v>
      </c>
      <c r="G1252" s="55">
        <f t="shared" si="80"/>
        <v>1.2925861282266649</v>
      </c>
      <c r="H1252" s="55">
        <f t="shared" si="81"/>
        <v>1.2837757004856882</v>
      </c>
      <c r="I1252" s="55">
        <f t="shared" si="82"/>
        <v>1.2670998273699552</v>
      </c>
      <c r="J1252" s="9">
        <f t="shared" si="83"/>
        <v>1.1952305000000003</v>
      </c>
      <c r="K1252" s="75">
        <f t="shared" si="84"/>
        <v>1.294305628226665</v>
      </c>
      <c r="L1252" s="75">
        <f t="shared" si="85"/>
        <v>1.2854952004856881</v>
      </c>
      <c r="M1252" s="75">
        <f t="shared" si="86"/>
        <v>1.2688193273699551</v>
      </c>
      <c r="N1252" s="68">
        <f t="shared" si="87"/>
        <v>1.1969500000000002</v>
      </c>
      <c r="O1252">
        <v>19.279681313207</v>
      </c>
    </row>
    <row r="1253" spans="1:19" x14ac:dyDescent="0.2">
      <c r="A1253" s="7">
        <v>44328</v>
      </c>
      <c r="B1253">
        <v>1.1358625059410401</v>
      </c>
      <c r="C1253">
        <v>1.0947766917164701</v>
      </c>
      <c r="D1253" s="9">
        <v>1.0918352985906401</v>
      </c>
      <c r="E1253" s="3">
        <v>12.4</v>
      </c>
      <c r="F1253" s="55">
        <f t="shared" si="79"/>
        <v>1.2666531273699553</v>
      </c>
      <c r="G1253" s="55">
        <f t="shared" si="80"/>
        <v>1.2932438282266649</v>
      </c>
      <c r="H1253" s="55">
        <f t="shared" si="81"/>
        <v>1.2839722004856784</v>
      </c>
      <c r="I1253" s="55">
        <f t="shared" si="82"/>
        <v>1.2666531273699553</v>
      </c>
      <c r="J1253" s="9">
        <f t="shared" si="83"/>
        <v>1.1949705000000002</v>
      </c>
      <c r="K1253" s="75">
        <f t="shared" si="84"/>
        <v>1.294963328226665</v>
      </c>
      <c r="L1253" s="75">
        <f t="shared" si="85"/>
        <v>1.2856917004856783</v>
      </c>
      <c r="M1253" s="75">
        <f t="shared" si="86"/>
        <v>1.2683726273699552</v>
      </c>
      <c r="N1253" s="68">
        <f t="shared" si="87"/>
        <v>1.1966900000000003</v>
      </c>
      <c r="O1253">
        <v>19.509179112931299</v>
      </c>
    </row>
    <row r="1254" spans="1:19" x14ac:dyDescent="0.2">
      <c r="A1254" s="7">
        <v>44329</v>
      </c>
      <c r="B1254">
        <v>1.13140820594104</v>
      </c>
      <c r="C1254">
        <v>1.0907299917164801</v>
      </c>
      <c r="D1254" s="9">
        <v>1.09046409859064</v>
      </c>
      <c r="E1254" s="3">
        <v>10.75</v>
      </c>
      <c r="F1254" s="55">
        <f t="shared" si="79"/>
        <v>1.2652819273699552</v>
      </c>
      <c r="G1254" s="55">
        <f t="shared" si="80"/>
        <v>1.2887895282266648</v>
      </c>
      <c r="H1254" s="55">
        <f t="shared" si="81"/>
        <v>1.2799255004856884</v>
      </c>
      <c r="I1254" s="55">
        <f t="shared" si="82"/>
        <v>1.2652819273699552</v>
      </c>
      <c r="J1254" s="9">
        <f t="shared" si="83"/>
        <v>1.1941455000000003</v>
      </c>
      <c r="K1254" s="75">
        <f t="shared" si="84"/>
        <v>1.2905090282266649</v>
      </c>
      <c r="L1254" s="75">
        <f t="shared" si="85"/>
        <v>1.2816450004856883</v>
      </c>
      <c r="M1254" s="75">
        <f t="shared" si="86"/>
        <v>1.267001427369955</v>
      </c>
      <c r="N1254" s="68">
        <f t="shared" si="87"/>
        <v>1.1958650000000002</v>
      </c>
      <c r="O1254">
        <v>19.568608095217499</v>
      </c>
    </row>
    <row r="1255" spans="1:19" x14ac:dyDescent="0.2">
      <c r="A1255" s="7">
        <v>44330</v>
      </c>
      <c r="B1255">
        <v>1.0967395059410401</v>
      </c>
      <c r="C1255">
        <v>1.0582554917164799</v>
      </c>
      <c r="D1255" s="9">
        <v>1.0607302985906399</v>
      </c>
      <c r="E1255" s="3">
        <v>-5.66</v>
      </c>
      <c r="F1255" s="55">
        <f t="shared" si="79"/>
        <v>1.2355481273699551</v>
      </c>
      <c r="G1255" s="55">
        <f t="shared" si="80"/>
        <v>1.2541208282266649</v>
      </c>
      <c r="H1255" s="55">
        <f t="shared" si="81"/>
        <v>1.2474510004856882</v>
      </c>
      <c r="I1255" s="55">
        <f t="shared" si="82"/>
        <v>1.2355481273699551</v>
      </c>
      <c r="J1255" s="9">
        <f t="shared" si="83"/>
        <v>1.1859405000000003</v>
      </c>
      <c r="K1255" s="75">
        <f t="shared" si="84"/>
        <v>1.255840328226665</v>
      </c>
      <c r="L1255" s="75">
        <f t="shared" si="85"/>
        <v>1.2491705004856881</v>
      </c>
      <c r="M1255" s="75">
        <f t="shared" si="86"/>
        <v>1.237267627369955</v>
      </c>
      <c r="N1255" s="68">
        <f t="shared" si="87"/>
        <v>1.1876600000000002</v>
      </c>
      <c r="O1255">
        <v>19.884486882808002</v>
      </c>
    </row>
    <row r="1256" spans="1:19" x14ac:dyDescent="0.2">
      <c r="A1256" s="7">
        <v>44333</v>
      </c>
      <c r="B1256">
        <v>1.0882368059410401</v>
      </c>
      <c r="C1256">
        <v>1.0503557917164701</v>
      </c>
      <c r="D1256" s="9">
        <v>1.0571621985906401</v>
      </c>
      <c r="E1256" s="3">
        <v>-12.42</v>
      </c>
      <c r="F1256" s="55">
        <f t="shared" si="79"/>
        <v>1.2319800273699553</v>
      </c>
      <c r="G1256" s="55">
        <f t="shared" si="80"/>
        <v>1.245618128226665</v>
      </c>
      <c r="H1256" s="55">
        <f t="shared" si="81"/>
        <v>1.2395513004856784</v>
      </c>
      <c r="I1256" s="55">
        <f t="shared" si="82"/>
        <v>1.2319800273699553</v>
      </c>
      <c r="J1256" s="9">
        <f t="shared" si="83"/>
        <v>1.1825605000000001</v>
      </c>
      <c r="K1256" s="75">
        <f t="shared" si="84"/>
        <v>1.2473376282266651</v>
      </c>
      <c r="L1256" s="75">
        <f t="shared" si="85"/>
        <v>1.2412708004856783</v>
      </c>
      <c r="M1256" s="75">
        <f t="shared" si="86"/>
        <v>1.2336995273699551</v>
      </c>
      <c r="N1256" s="68">
        <f t="shared" si="87"/>
        <v>1.1842800000000002</v>
      </c>
      <c r="O1256">
        <v>20.682117784035899</v>
      </c>
    </row>
    <row r="1257" spans="1:19" x14ac:dyDescent="0.2">
      <c r="A1257" s="7">
        <v>44334</v>
      </c>
      <c r="B1257">
        <v>1.09166760594104</v>
      </c>
      <c r="C1257">
        <v>1.05382469171648</v>
      </c>
      <c r="D1257" s="9">
        <v>1.05956599859064</v>
      </c>
      <c r="E1257" s="3">
        <v>-11.33</v>
      </c>
      <c r="F1257" s="55">
        <f t="shared" si="79"/>
        <v>1.2343838273699552</v>
      </c>
      <c r="G1257" s="55">
        <f t="shared" si="80"/>
        <v>1.2490489282266648</v>
      </c>
      <c r="H1257" s="55">
        <f t="shared" si="81"/>
        <v>1.2430202004856883</v>
      </c>
      <c r="I1257" s="55">
        <f t="shared" si="82"/>
        <v>1.2343838273699552</v>
      </c>
      <c r="J1257" s="9">
        <f t="shared" si="83"/>
        <v>1.1831055000000001</v>
      </c>
      <c r="K1257" s="75">
        <f t="shared" si="84"/>
        <v>1.2507684282266649</v>
      </c>
      <c r="L1257" s="75">
        <f t="shared" si="85"/>
        <v>1.2447397004856882</v>
      </c>
      <c r="M1257" s="75">
        <f t="shared" si="86"/>
        <v>1.2361033273699551</v>
      </c>
      <c r="N1257" s="68">
        <f t="shared" si="87"/>
        <v>1.1848250000000002</v>
      </c>
      <c r="O1257">
        <v>20.314985844720098</v>
      </c>
    </row>
    <row r="1258" spans="1:19" x14ac:dyDescent="0.2">
      <c r="A1258" s="7">
        <v>44335</v>
      </c>
      <c r="B1258">
        <v>1.0950750059410399</v>
      </c>
      <c r="C1258">
        <v>1.0586714917164799</v>
      </c>
      <c r="D1258" s="9">
        <v>1.0653645985906399</v>
      </c>
      <c r="E1258" s="3">
        <v>-11</v>
      </c>
      <c r="F1258" s="55">
        <f t="shared" si="79"/>
        <v>1.2401824273699551</v>
      </c>
      <c r="G1258" s="55">
        <f t="shared" si="80"/>
        <v>1.2524563282266648</v>
      </c>
      <c r="H1258" s="55">
        <f t="shared" si="81"/>
        <v>1.2478670004856882</v>
      </c>
      <c r="I1258" s="55">
        <f t="shared" si="82"/>
        <v>1.2401824273699551</v>
      </c>
      <c r="J1258" s="9">
        <f t="shared" si="83"/>
        <v>1.1832705000000003</v>
      </c>
      <c r="K1258" s="75">
        <f t="shared" si="84"/>
        <v>1.2541758282266648</v>
      </c>
      <c r="L1258" s="75">
        <f t="shared" si="85"/>
        <v>1.2495865004856881</v>
      </c>
      <c r="M1258" s="75">
        <f t="shared" si="86"/>
        <v>1.241901927369955</v>
      </c>
      <c r="N1258" s="68">
        <f>E1258/2000+N$1173</f>
        <v>1.1849900000000002</v>
      </c>
      <c r="O1258">
        <v>19.6770649634527</v>
      </c>
    </row>
    <row r="1259" spans="1:19" x14ac:dyDescent="0.2">
      <c r="A1259" s="7">
        <v>44336</v>
      </c>
      <c r="B1259">
        <v>1.09557260594104</v>
      </c>
      <c r="C1259">
        <v>1.05960599171648</v>
      </c>
      <c r="D1259" s="9">
        <v>1.06684519859064</v>
      </c>
      <c r="E1259" s="3">
        <v>-10.46</v>
      </c>
      <c r="F1259" s="55">
        <f t="shared" si="79"/>
        <v>1.2416630273699552</v>
      </c>
      <c r="G1259" s="55">
        <f t="shared" si="80"/>
        <v>1.2529539282266648</v>
      </c>
      <c r="H1259" s="55">
        <f t="shared" si="81"/>
        <v>1.2488015004856883</v>
      </c>
      <c r="I1259" s="55">
        <f t="shared" si="82"/>
        <v>1.2416630273699552</v>
      </c>
      <c r="J1259" s="9">
        <f t="shared" si="83"/>
        <v>1.1835405000000003</v>
      </c>
      <c r="K1259" s="75">
        <f t="shared" si="84"/>
        <v>1.2546734282266649</v>
      </c>
      <c r="L1259" s="75">
        <f t="shared" si="85"/>
        <v>1.2505210004856882</v>
      </c>
      <c r="M1259" s="75">
        <f t="shared" si="86"/>
        <v>1.243382527369955</v>
      </c>
      <c r="N1259" s="68">
        <f t="shared" si="87"/>
        <v>1.1852600000000002</v>
      </c>
      <c r="O1259">
        <v>19.700618659312799</v>
      </c>
    </row>
    <row r="1260" spans="1:19" x14ac:dyDescent="0.2">
      <c r="A1260" s="7">
        <v>44337</v>
      </c>
      <c r="B1260">
        <v>1.09694010594104</v>
      </c>
      <c r="C1260">
        <v>1.06200119171648</v>
      </c>
      <c r="D1260" s="9">
        <v>1.07170399859064</v>
      </c>
      <c r="E1260" s="3">
        <v>-8.06</v>
      </c>
      <c r="F1260" s="55">
        <f t="shared" si="79"/>
        <v>1.2465218273699552</v>
      </c>
      <c r="G1260" s="55">
        <f t="shared" si="80"/>
        <v>1.2543214282266648</v>
      </c>
      <c r="H1260" s="55">
        <f t="shared" si="81"/>
        <v>1.2511967004856883</v>
      </c>
      <c r="I1260" s="55">
        <f t="shared" si="82"/>
        <v>1.2465218273699552</v>
      </c>
      <c r="J1260" s="9">
        <f t="shared" si="83"/>
        <v>1.1847405000000002</v>
      </c>
      <c r="K1260" s="75">
        <f t="shared" si="84"/>
        <v>1.2560409282266649</v>
      </c>
      <c r="L1260" s="75">
        <f t="shared" si="85"/>
        <v>1.2529162004856882</v>
      </c>
      <c r="M1260" s="75">
        <f t="shared" si="86"/>
        <v>1.2482413273699551</v>
      </c>
      <c r="N1260" s="68">
        <f t="shared" si="87"/>
        <v>1.1864600000000003</v>
      </c>
      <c r="O1260">
        <v>19.362154389917901</v>
      </c>
    </row>
    <row r="1261" spans="1:19" x14ac:dyDescent="0.2">
      <c r="A1261" s="7">
        <v>44340</v>
      </c>
      <c r="B1261">
        <v>1.10004070594104</v>
      </c>
      <c r="C1261">
        <v>1.0653423917164799</v>
      </c>
      <c r="D1261" s="9">
        <v>1.07377589859064</v>
      </c>
      <c r="E1261" s="3">
        <v>-5.89</v>
      </c>
      <c r="F1261" s="55">
        <f t="shared" si="79"/>
        <v>1.2485937273699552</v>
      </c>
      <c r="G1261" s="55">
        <f t="shared" si="80"/>
        <v>1.2574220282266648</v>
      </c>
      <c r="H1261" s="55">
        <f t="shared" si="81"/>
        <v>1.2545379004856883</v>
      </c>
      <c r="I1261" s="55">
        <f t="shared" si="82"/>
        <v>1.2485937273699552</v>
      </c>
      <c r="J1261" s="9">
        <f t="shared" si="83"/>
        <v>1.1858255000000002</v>
      </c>
      <c r="K1261" s="75">
        <f t="shared" si="84"/>
        <v>1.2591415282266649</v>
      </c>
      <c r="L1261" s="75">
        <f t="shared" si="85"/>
        <v>1.2562574004856881</v>
      </c>
      <c r="M1261" s="75">
        <f t="shared" si="86"/>
        <v>1.2503132273699551</v>
      </c>
      <c r="N1261" s="68">
        <f t="shared" si="87"/>
        <v>1.1875450000000003</v>
      </c>
      <c r="O1261">
        <v>19.3945625848168</v>
      </c>
    </row>
    <row r="1262" spans="1:19" x14ac:dyDescent="0.2">
      <c r="A1262" s="7">
        <v>44341</v>
      </c>
      <c r="B1262">
        <v>1.07938740594104</v>
      </c>
      <c r="C1262">
        <v>1.0420740917164799</v>
      </c>
      <c r="D1262" s="9">
        <v>1.0540867985906399</v>
      </c>
      <c r="E1262" s="3">
        <v>-26.01</v>
      </c>
      <c r="F1262" s="55">
        <f t="shared" si="79"/>
        <v>1.2289046273699551</v>
      </c>
      <c r="G1262" s="55">
        <f t="shared" si="80"/>
        <v>1.2367687282266648</v>
      </c>
      <c r="H1262" s="55">
        <f t="shared" si="81"/>
        <v>1.2312696004856882</v>
      </c>
      <c r="I1262" s="55">
        <f t="shared" si="82"/>
        <v>1.2289046273699551</v>
      </c>
      <c r="J1262" s="9">
        <f t="shared" si="83"/>
        <v>1.1757655000000002</v>
      </c>
      <c r="K1262" s="75">
        <f t="shared" si="84"/>
        <v>1.2384882282266649</v>
      </c>
      <c r="L1262" s="75">
        <f t="shared" si="85"/>
        <v>1.2329891004856881</v>
      </c>
      <c r="M1262" s="75">
        <f t="shared" si="86"/>
        <v>1.230624127369955</v>
      </c>
      <c r="N1262" s="68">
        <f t="shared" si="87"/>
        <v>1.1774850000000003</v>
      </c>
      <c r="O1262">
        <v>21.461416619329501</v>
      </c>
    </row>
    <row r="1263" spans="1:19" x14ac:dyDescent="0.2">
      <c r="A1263" s="7">
        <v>44342</v>
      </c>
      <c r="B1263">
        <v>1.08008490594104</v>
      </c>
      <c r="C1263">
        <v>1.0426482917164701</v>
      </c>
      <c r="D1263" s="9">
        <v>1.0550264985906399</v>
      </c>
      <c r="E1263" s="3">
        <v>-25.07</v>
      </c>
      <c r="F1263" s="55">
        <f t="shared" si="79"/>
        <v>1.2298443273699551</v>
      </c>
      <c r="G1263" s="55">
        <f t="shared" si="80"/>
        <v>1.2374662282266649</v>
      </c>
      <c r="H1263" s="55">
        <f>C1263-1.07630206413797+H$1227</f>
        <v>1.2318438004856784</v>
      </c>
      <c r="I1263" s="55">
        <f t="shared" si="82"/>
        <v>1.2298443273699551</v>
      </c>
      <c r="J1263" s="9">
        <f t="shared" si="83"/>
        <v>1.1762355000000002</v>
      </c>
      <c r="K1263" s="75">
        <f t="shared" si="84"/>
        <v>1.239185728226665</v>
      </c>
      <c r="L1263" s="75">
        <f t="shared" si="85"/>
        <v>1.2335633004856783</v>
      </c>
      <c r="M1263" s="75">
        <f t="shared" si="86"/>
        <v>1.231563827369955</v>
      </c>
      <c r="N1263" s="68">
        <f t="shared" si="87"/>
        <v>1.1779550000000003</v>
      </c>
      <c r="O1263">
        <v>21.4593750764361</v>
      </c>
    </row>
    <row r="1264" spans="1:19" x14ac:dyDescent="0.2">
      <c r="A1264" s="7">
        <v>44343</v>
      </c>
      <c r="B1264">
        <v>1.07867770594104</v>
      </c>
      <c r="C1264">
        <v>1.0413085917164799</v>
      </c>
      <c r="D1264" s="9">
        <v>1.0523187985906399</v>
      </c>
      <c r="E1264" s="3">
        <v>-27.49</v>
      </c>
      <c r="F1264" s="55">
        <f t="shared" si="79"/>
        <v>1.2271366273699551</v>
      </c>
      <c r="G1264" s="55">
        <f t="shared" si="80"/>
        <v>1.2360590282266648</v>
      </c>
      <c r="H1264" s="55">
        <f t="shared" ref="H1264:H1287" si="88">C1264-1.07630206413797+H$1227</f>
        <v>1.2305041004856883</v>
      </c>
      <c r="I1264" s="55">
        <f t="shared" si="82"/>
        <v>1.2271366273699551</v>
      </c>
      <c r="J1264" s="9">
        <f t="shared" si="83"/>
        <v>1.1750255000000005</v>
      </c>
      <c r="K1264" s="75">
        <f t="shared" si="84"/>
        <v>1.2377785282266649</v>
      </c>
      <c r="L1264" s="75">
        <f t="shared" si="85"/>
        <v>1.2322236004856881</v>
      </c>
      <c r="M1264" s="75">
        <f t="shared" si="86"/>
        <v>1.228856127369955</v>
      </c>
      <c r="N1264" s="68">
        <f t="shared" si="87"/>
        <v>1.1767450000000004</v>
      </c>
      <c r="O1264">
        <v>22.429264558678799</v>
      </c>
    </row>
    <row r="1265" spans="1:15" x14ac:dyDescent="0.2">
      <c r="A1265" s="7">
        <v>44344</v>
      </c>
      <c r="B1265">
        <v>1.0805216059410401</v>
      </c>
      <c r="C1265">
        <v>1.0431524917164801</v>
      </c>
      <c r="D1265" s="9">
        <v>1.0555768560846599</v>
      </c>
      <c r="E1265" s="3">
        <v>-26.07</v>
      </c>
      <c r="F1265" s="55">
        <f t="shared" si="79"/>
        <v>1.2303946848639751</v>
      </c>
      <c r="G1265" s="55">
        <f t="shared" si="80"/>
        <v>1.2379029282266649</v>
      </c>
      <c r="H1265" s="55">
        <f t="shared" si="88"/>
        <v>1.2323480004856884</v>
      </c>
      <c r="I1265" s="55">
        <f t="shared" si="82"/>
        <v>1.2303946848639751</v>
      </c>
      <c r="J1265" s="9">
        <f t="shared" si="83"/>
        <v>1.1757355000000005</v>
      </c>
      <c r="K1265" s="75">
        <f t="shared" si="84"/>
        <v>1.239622428226665</v>
      </c>
      <c r="L1265" s="75">
        <f t="shared" si="85"/>
        <v>1.2340675004856883</v>
      </c>
      <c r="M1265" s="75">
        <f t="shared" si="86"/>
        <v>1.2321141848639749</v>
      </c>
      <c r="N1265" s="68">
        <f>E1265/2000+N$1173</f>
        <v>1.1774550000000004</v>
      </c>
      <c r="O1265">
        <v>22.237297694747902</v>
      </c>
    </row>
    <row r="1266" spans="1:15" x14ac:dyDescent="0.2">
      <c r="A1266" s="7">
        <v>44347</v>
      </c>
      <c r="B1266">
        <v>1.0848233733060799</v>
      </c>
      <c r="C1266" s="94">
        <v>1.0513766349860201</v>
      </c>
      <c r="D1266">
        <v>1.0571776404906099</v>
      </c>
      <c r="E1266" s="3">
        <v>-26.26</v>
      </c>
      <c r="F1266" s="55">
        <f t="shared" si="79"/>
        <v>1.2319954692699251</v>
      </c>
      <c r="G1266" s="55">
        <f t="shared" ref="G1266:G1287" si="89">B1266-1.11680854055224+G$1227</f>
        <v>1.2422046955917048</v>
      </c>
      <c r="H1266" s="55">
        <f t="shared" si="88"/>
        <v>1.2405721437552284</v>
      </c>
      <c r="I1266" s="55">
        <f t="shared" ref="I1266:I1287" si="90">D1266-1.07766934064189+I$1227</f>
        <v>1.2319954692699251</v>
      </c>
      <c r="J1266" s="9">
        <f t="shared" ref="J1266:J1287" si="91">(N1266*1000000+($D$1048-$D$928))/1000000</f>
        <v>1.1756405000000003</v>
      </c>
      <c r="K1266" s="75">
        <f t="shared" ref="K1266:K1287" si="92">B1266-1.11680854055224+K$1227</f>
        <v>1.2439241955917049</v>
      </c>
      <c r="L1266" s="75">
        <f t="shared" si="85"/>
        <v>1.2422916437552283</v>
      </c>
      <c r="M1266" s="75">
        <f t="shared" ref="M1266:M1287" si="93">D1266-1.07766934064189+M$1227</f>
        <v>1.233714969269925</v>
      </c>
      <c r="N1266" s="68">
        <f t="shared" si="87"/>
        <v>1.1773600000000002</v>
      </c>
      <c r="O1266">
        <v>22.711806223875701</v>
      </c>
    </row>
    <row r="1267" spans="1:15" x14ac:dyDescent="0.2">
      <c r="A1267" s="7">
        <v>44348</v>
      </c>
      <c r="B1267">
        <v>1.09278225329222</v>
      </c>
      <c r="C1267">
        <f>C1266</f>
        <v>1.0513766349860201</v>
      </c>
      <c r="D1267">
        <v>1.0662335404906</v>
      </c>
      <c r="E1267">
        <v>-21.02</v>
      </c>
      <c r="F1267" s="55">
        <f t="shared" si="79"/>
        <v>1.2410513692699152</v>
      </c>
      <c r="G1267" s="55">
        <f t="shared" si="89"/>
        <v>1.2501635755778449</v>
      </c>
      <c r="H1267" s="55">
        <f t="shared" si="88"/>
        <v>1.2405721437552284</v>
      </c>
      <c r="I1267" s="55">
        <f t="shared" si="90"/>
        <v>1.2410513692699152</v>
      </c>
      <c r="J1267" s="9">
        <f t="shared" si="91"/>
        <v>1.1782605000000002</v>
      </c>
      <c r="K1267" s="75">
        <f t="shared" si="92"/>
        <v>1.251883075577845</v>
      </c>
      <c r="L1267" s="75">
        <f t="shared" si="85"/>
        <v>1.2422916437552283</v>
      </c>
      <c r="M1267" s="75">
        <f t="shared" si="93"/>
        <v>1.2427708692699151</v>
      </c>
      <c r="N1267" s="68">
        <f t="shared" si="87"/>
        <v>1.1799800000000003</v>
      </c>
      <c r="O1267">
        <v>22.485273177537501</v>
      </c>
    </row>
    <row r="1268" spans="1:15" x14ac:dyDescent="0.2">
      <c r="A1268" s="7">
        <v>44349</v>
      </c>
      <c r="B1268">
        <v>1.1085818310051301</v>
      </c>
      <c r="C1268">
        <v>1.0672859742530001</v>
      </c>
      <c r="D1268">
        <v>1.0854313404906</v>
      </c>
      <c r="E1268">
        <v>-8.6199999999999992</v>
      </c>
      <c r="F1268" s="55">
        <f t="shared" si="79"/>
        <v>1.2602491692699151</v>
      </c>
      <c r="G1268" s="55">
        <f t="shared" si="89"/>
        <v>1.2659631532907549</v>
      </c>
      <c r="H1268" s="55">
        <f t="shared" si="88"/>
        <v>1.2564814830222084</v>
      </c>
      <c r="I1268" s="55">
        <f t="shared" si="90"/>
        <v>1.2602491692699151</v>
      </c>
      <c r="J1268" s="9">
        <f t="shared" si="91"/>
        <v>1.1844605000000001</v>
      </c>
      <c r="K1268" s="75">
        <f t="shared" si="92"/>
        <v>1.267682653290755</v>
      </c>
      <c r="L1268" s="75">
        <f t="shared" si="85"/>
        <v>1.2582009830222083</v>
      </c>
      <c r="M1268" s="75">
        <f t="shared" si="93"/>
        <v>1.261968669269915</v>
      </c>
      <c r="N1268" s="68">
        <f t="shared" si="87"/>
        <v>1.1861800000000002</v>
      </c>
      <c r="O1268">
        <v>21.090286645155601</v>
      </c>
    </row>
    <row r="1269" spans="1:15" x14ac:dyDescent="0.2">
      <c r="A1269" s="7">
        <v>44350</v>
      </c>
      <c r="B1269">
        <v>1.1145610310051299</v>
      </c>
      <c r="C1269">
        <v>1.0732651742529999</v>
      </c>
      <c r="D1269">
        <v>1.0928969404906099</v>
      </c>
      <c r="E1269">
        <v>-1.54</v>
      </c>
      <c r="F1269" s="55">
        <f t="shared" si="79"/>
        <v>1.2677147692699251</v>
      </c>
      <c r="G1269" s="55">
        <f t="shared" si="89"/>
        <v>1.2719423532907548</v>
      </c>
      <c r="H1269" s="55">
        <f t="shared" si="88"/>
        <v>1.2624606830222083</v>
      </c>
      <c r="I1269" s="55">
        <f t="shared" si="90"/>
        <v>1.2677147692699251</v>
      </c>
      <c r="J1269" s="9">
        <f t="shared" si="91"/>
        <v>1.1880005000000002</v>
      </c>
      <c r="K1269" s="75">
        <f t="shared" si="92"/>
        <v>1.2736618532907549</v>
      </c>
      <c r="L1269" s="75">
        <f t="shared" si="85"/>
        <v>1.2641801830222081</v>
      </c>
      <c r="M1269" s="75">
        <f t="shared" si="93"/>
        <v>1.269434269269925</v>
      </c>
      <c r="N1269" s="68">
        <f t="shared" si="87"/>
        <v>1.1897200000000003</v>
      </c>
      <c r="O1269">
        <v>20.303541387193199</v>
      </c>
    </row>
    <row r="1270" spans="1:15" x14ac:dyDescent="0.2">
      <c r="A1270" s="7">
        <v>44351</v>
      </c>
      <c r="B1270">
        <v>1.11779263100513</v>
      </c>
      <c r="C1270">
        <v>1.076701674253</v>
      </c>
      <c r="D1270">
        <v>1.0931759404906001</v>
      </c>
      <c r="E1270">
        <v>2.88</v>
      </c>
      <c r="F1270" s="55">
        <f t="shared" si="79"/>
        <v>1.2679937692699152</v>
      </c>
      <c r="G1270" s="55">
        <f t="shared" si="89"/>
        <v>1.2751739532907549</v>
      </c>
      <c r="H1270" s="55">
        <f t="shared" si="88"/>
        <v>1.2658971830222083</v>
      </c>
      <c r="I1270" s="55">
        <f t="shared" si="90"/>
        <v>1.2679937692699152</v>
      </c>
      <c r="J1270" s="9">
        <f t="shared" si="91"/>
        <v>1.1902105000000005</v>
      </c>
      <c r="K1270" s="75">
        <f t="shared" si="92"/>
        <v>1.276893453290755</v>
      </c>
      <c r="L1270" s="75">
        <f t="shared" si="85"/>
        <v>1.2676166830222082</v>
      </c>
      <c r="M1270" s="75">
        <f t="shared" si="93"/>
        <v>1.2697132692699151</v>
      </c>
      <c r="N1270" s="68">
        <f t="shared" si="87"/>
        <v>1.1919300000000004</v>
      </c>
      <c r="O1270">
        <v>20.4666693822846</v>
      </c>
    </row>
    <row r="1271" spans="1:15" x14ac:dyDescent="0.2">
      <c r="A1271" s="7">
        <v>44354</v>
      </c>
      <c r="B1271">
        <v>1.1208348310051299</v>
      </c>
      <c r="C1271">
        <v>1.079719274253</v>
      </c>
      <c r="D1271">
        <v>1.09488968527515</v>
      </c>
      <c r="E1271" s="3">
        <v>7.68</v>
      </c>
      <c r="F1271" s="55">
        <f t="shared" si="79"/>
        <v>1.2697075140544651</v>
      </c>
      <c r="G1271" s="55">
        <f t="shared" si="89"/>
        <v>1.2782161532907548</v>
      </c>
      <c r="H1271" s="55">
        <f t="shared" si="88"/>
        <v>1.2689147830222083</v>
      </c>
      <c r="I1271" s="55">
        <f t="shared" si="90"/>
        <v>1.2697075140544651</v>
      </c>
      <c r="J1271" s="9">
        <f t="shared" si="91"/>
        <v>1.1926105000000002</v>
      </c>
      <c r="K1271" s="75">
        <f t="shared" si="92"/>
        <v>1.2799356532907549</v>
      </c>
      <c r="L1271" s="75">
        <f t="shared" si="85"/>
        <v>1.2706342830222082</v>
      </c>
      <c r="M1271" s="75">
        <f t="shared" si="93"/>
        <v>1.271427014054465</v>
      </c>
      <c r="N1271" s="68">
        <f t="shared" si="87"/>
        <v>1.1943300000000003</v>
      </c>
      <c r="O1271">
        <v>21.034771583852699</v>
      </c>
    </row>
    <row r="1272" spans="1:15" x14ac:dyDescent="0.2">
      <c r="A1272" s="7">
        <v>44355</v>
      </c>
      <c r="B1272">
        <v>1.1198695310051301</v>
      </c>
      <c r="C1272">
        <v>1.078048674253</v>
      </c>
      <c r="D1272">
        <v>1.0926079797627299</v>
      </c>
      <c r="E1272" s="3">
        <v>7.55</v>
      </c>
      <c r="F1272" s="55">
        <f t="shared" si="79"/>
        <v>1.2674258085420451</v>
      </c>
      <c r="G1272" s="55">
        <f t="shared" si="89"/>
        <v>1.2772508532907549</v>
      </c>
      <c r="H1272" s="55">
        <f t="shared" si="88"/>
        <v>1.2672441830222083</v>
      </c>
      <c r="I1272" s="55">
        <f t="shared" si="90"/>
        <v>1.2674258085420451</v>
      </c>
      <c r="J1272" s="9">
        <f t="shared" si="91"/>
        <v>1.1925455000000005</v>
      </c>
      <c r="K1272" s="75">
        <f t="shared" si="92"/>
        <v>1.278970353290755</v>
      </c>
      <c r="L1272" s="75">
        <f t="shared" si="85"/>
        <v>1.2689636830222082</v>
      </c>
      <c r="M1272" s="75">
        <f t="shared" si="93"/>
        <v>1.269145308542045</v>
      </c>
      <c r="N1272" s="68">
        <f t="shared" si="87"/>
        <v>1.1942650000000004</v>
      </c>
      <c r="O1272">
        <v>21.587619164049599</v>
      </c>
    </row>
    <row r="1273" spans="1:15" x14ac:dyDescent="0.2">
      <c r="A1273" s="7">
        <v>44356</v>
      </c>
      <c r="B1273">
        <v>1.13290643100513</v>
      </c>
      <c r="C1273">
        <v>1.092177574253</v>
      </c>
      <c r="D1273">
        <v>1.1036684797627301</v>
      </c>
      <c r="E1273" s="92">
        <v>31.63</v>
      </c>
      <c r="F1273" s="55">
        <f t="shared" si="79"/>
        <v>1.2784863085420453</v>
      </c>
      <c r="G1273" s="55">
        <f t="shared" si="89"/>
        <v>1.2902877532907548</v>
      </c>
      <c r="H1273" s="55">
        <f t="shared" si="88"/>
        <v>1.2813730830222083</v>
      </c>
      <c r="I1273" s="55">
        <f t="shared" si="90"/>
        <v>1.2784863085420453</v>
      </c>
      <c r="J1273" s="9">
        <f t="shared" si="91"/>
        <v>1.2045855000000003</v>
      </c>
      <c r="K1273" s="75">
        <f t="shared" si="92"/>
        <v>1.2920072532907549</v>
      </c>
      <c r="L1273" s="75">
        <f t="shared" si="85"/>
        <v>1.2830925830222082</v>
      </c>
      <c r="M1273" s="75">
        <f t="shared" si="93"/>
        <v>1.2802058085420451</v>
      </c>
      <c r="N1273" s="68">
        <f t="shared" si="87"/>
        <v>1.2063050000000002</v>
      </c>
      <c r="O1273">
        <v>20.738145468969801</v>
      </c>
    </row>
    <row r="1274" spans="1:15" x14ac:dyDescent="0.2">
      <c r="A1274" s="7">
        <v>44357</v>
      </c>
      <c r="B1274">
        <v>1.1369556310051301</v>
      </c>
      <c r="C1274">
        <v>1.0958300742530001</v>
      </c>
      <c r="D1274">
        <v>1.10926787976273</v>
      </c>
      <c r="E1274">
        <v>39.94</v>
      </c>
      <c r="F1274" s="55">
        <f t="shared" si="79"/>
        <v>1.2840857085420452</v>
      </c>
      <c r="G1274" s="55">
        <f t="shared" si="89"/>
        <v>1.2943369532907549</v>
      </c>
      <c r="H1274" s="55">
        <f t="shared" si="88"/>
        <v>1.2850255830222084</v>
      </c>
      <c r="I1274" s="55">
        <f t="shared" si="90"/>
        <v>1.2840857085420452</v>
      </c>
      <c r="J1274" s="9">
        <f t="shared" si="91"/>
        <v>1.2087405000000002</v>
      </c>
      <c r="K1274" s="75">
        <f t="shared" si="92"/>
        <v>1.296056453290755</v>
      </c>
      <c r="L1274" s="75">
        <f t="shared" si="85"/>
        <v>1.2867450830222082</v>
      </c>
      <c r="M1274" s="75">
        <f t="shared" si="93"/>
        <v>1.2858052085420451</v>
      </c>
      <c r="N1274" s="68">
        <f t="shared" si="87"/>
        <v>1.2104600000000003</v>
      </c>
      <c r="O1274">
        <v>19.958929167005302</v>
      </c>
    </row>
    <row r="1275" spans="1:15" x14ac:dyDescent="0.2">
      <c r="A1275" s="7">
        <v>44358</v>
      </c>
      <c r="B1275">
        <v>1.13813023100513</v>
      </c>
      <c r="C1275">
        <v>1.0959674742529999</v>
      </c>
      <c r="D1275">
        <v>1.1087543797627299</v>
      </c>
      <c r="E1275">
        <v>40.049999999999997</v>
      </c>
      <c r="F1275" s="55">
        <f t="shared" si="79"/>
        <v>1.2835722085420451</v>
      </c>
      <c r="G1275" s="55">
        <f t="shared" si="89"/>
        <v>1.2955115532907548</v>
      </c>
      <c r="H1275" s="55">
        <f t="shared" si="88"/>
        <v>1.2851629830222082</v>
      </c>
      <c r="I1275" s="55">
        <f t="shared" si="90"/>
        <v>1.2835722085420451</v>
      </c>
      <c r="J1275" s="9">
        <f t="shared" si="91"/>
        <v>1.2087955000000001</v>
      </c>
      <c r="K1275" s="75">
        <f t="shared" si="92"/>
        <v>1.2972310532907549</v>
      </c>
      <c r="L1275" s="75">
        <f t="shared" si="85"/>
        <v>1.2868824830222081</v>
      </c>
      <c r="M1275" s="75">
        <f t="shared" si="93"/>
        <v>1.285291708542045</v>
      </c>
      <c r="N1275" s="68">
        <f t="shared" si="87"/>
        <v>1.2105150000000002</v>
      </c>
      <c r="O1275">
        <v>20.1176493404718</v>
      </c>
    </row>
    <row r="1276" spans="1:15" x14ac:dyDescent="0.2">
      <c r="A1276" s="7">
        <v>44362</v>
      </c>
      <c r="B1276">
        <v>1.14049653100513</v>
      </c>
      <c r="C1276">
        <v>1.098565474253</v>
      </c>
      <c r="D1276">
        <v>1.1134687797627301</v>
      </c>
      <c r="E1276">
        <v>45.86</v>
      </c>
      <c r="F1276" s="55">
        <f t="shared" si="79"/>
        <v>1.2882866085420452</v>
      </c>
      <c r="G1276" s="55">
        <f t="shared" si="89"/>
        <v>1.2978778532907549</v>
      </c>
      <c r="H1276" s="55">
        <f t="shared" si="88"/>
        <v>1.2877609830222083</v>
      </c>
      <c r="I1276" s="55">
        <f t="shared" si="90"/>
        <v>1.2882866085420452</v>
      </c>
      <c r="J1276" s="9">
        <f t="shared" si="91"/>
        <v>1.2117005000000003</v>
      </c>
      <c r="K1276" s="75">
        <f t="shared" si="92"/>
        <v>1.299597353290755</v>
      </c>
      <c r="L1276" s="75">
        <f t="shared" si="85"/>
        <v>1.2894804830222082</v>
      </c>
      <c r="M1276" s="75">
        <f t="shared" si="93"/>
        <v>1.2900061085420451</v>
      </c>
      <c r="N1276" s="68">
        <f t="shared" si="87"/>
        <v>1.2134200000000002</v>
      </c>
      <c r="O1276">
        <v>19.785313789097501</v>
      </c>
    </row>
    <row r="1277" spans="1:15" x14ac:dyDescent="0.2">
      <c r="A1277" s="7">
        <v>44363</v>
      </c>
      <c r="B1277">
        <v>1.13826753100513</v>
      </c>
      <c r="C1277">
        <v>1.096665074253</v>
      </c>
      <c r="D1277">
        <v>1.1107252797627301</v>
      </c>
      <c r="E1277">
        <v>40.94</v>
      </c>
      <c r="F1277" s="55">
        <f t="shared" si="79"/>
        <v>1.2855431085420452</v>
      </c>
      <c r="G1277" s="55">
        <f t="shared" si="89"/>
        <v>1.2956488532907549</v>
      </c>
      <c r="H1277" s="55">
        <f t="shared" si="88"/>
        <v>1.2858605830222083</v>
      </c>
      <c r="I1277" s="55">
        <f t="shared" si="90"/>
        <v>1.2855431085420452</v>
      </c>
      <c r="J1277" s="9">
        <f t="shared" si="91"/>
        <v>1.2092405000000002</v>
      </c>
      <c r="K1277" s="75">
        <f t="shared" si="92"/>
        <v>1.2973683532907549</v>
      </c>
      <c r="L1277" s="75">
        <f t="shared" si="85"/>
        <v>1.2875800830222082</v>
      </c>
      <c r="M1277" s="75">
        <f t="shared" si="93"/>
        <v>1.2872626085420451</v>
      </c>
      <c r="N1277" s="68">
        <f t="shared" si="87"/>
        <v>1.2109600000000003</v>
      </c>
      <c r="O1277">
        <v>20.6380519593903</v>
      </c>
    </row>
    <row r="1278" spans="1:15" x14ac:dyDescent="0.2">
      <c r="A1278" s="7">
        <v>44364</v>
      </c>
      <c r="B1278">
        <v>1.14453453100513</v>
      </c>
      <c r="C1278">
        <v>1.102932074253</v>
      </c>
      <c r="D1278">
        <v>1.1159484797627299</v>
      </c>
      <c r="E1278">
        <v>52.05</v>
      </c>
      <c r="F1278" s="55">
        <f t="shared" si="79"/>
        <v>1.2907663085420451</v>
      </c>
      <c r="G1278" s="55">
        <f t="shared" si="89"/>
        <v>1.3019158532907549</v>
      </c>
      <c r="H1278" s="55">
        <f t="shared" si="88"/>
        <v>1.2921275830222083</v>
      </c>
      <c r="I1278" s="55">
        <f t="shared" si="90"/>
        <v>1.2907663085420451</v>
      </c>
      <c r="J1278" s="9">
        <f t="shared" si="91"/>
        <v>1.2147955000000001</v>
      </c>
      <c r="K1278" s="75">
        <f t="shared" si="92"/>
        <v>1.303635353290755</v>
      </c>
      <c r="L1278" s="75">
        <f t="shared" si="85"/>
        <v>1.2938470830222082</v>
      </c>
      <c r="M1278" s="75">
        <f t="shared" si="93"/>
        <v>1.292485808542045</v>
      </c>
      <c r="N1278" s="68">
        <f t="shared" si="87"/>
        <v>1.2165150000000002</v>
      </c>
      <c r="O1278">
        <v>19.709083858158898</v>
      </c>
    </row>
    <row r="1279" spans="1:15" x14ac:dyDescent="0.2">
      <c r="A1279" s="7">
        <v>44365</v>
      </c>
      <c r="B1279">
        <v>1.1459175310051299</v>
      </c>
      <c r="C1279">
        <v>1.1043150742529999</v>
      </c>
      <c r="D1279">
        <v>1.11765507976273</v>
      </c>
      <c r="E1279">
        <v>53.76</v>
      </c>
      <c r="F1279" s="55">
        <f t="shared" si="79"/>
        <v>1.2924729085420452</v>
      </c>
      <c r="G1279" s="55">
        <f t="shared" si="89"/>
        <v>1.3032988532907548</v>
      </c>
      <c r="H1279" s="55">
        <f t="shared" si="88"/>
        <v>1.2935105830222082</v>
      </c>
      <c r="I1279" s="55">
        <f t="shared" si="90"/>
        <v>1.2924729085420452</v>
      </c>
      <c r="J1279" s="9">
        <f t="shared" si="91"/>
        <v>1.2156505000000002</v>
      </c>
      <c r="K1279" s="75">
        <f t="shared" si="92"/>
        <v>1.3050183532907549</v>
      </c>
      <c r="L1279" s="75">
        <f t="shared" si="85"/>
        <v>1.2952300830222081</v>
      </c>
      <c r="M1279" s="75">
        <f t="shared" si="93"/>
        <v>1.2941924085420451</v>
      </c>
      <c r="N1279" s="68">
        <f t="shared" si="87"/>
        <v>1.2173700000000003</v>
      </c>
      <c r="O1279">
        <v>19.774456442504299</v>
      </c>
    </row>
    <row r="1280" spans="1:15" x14ac:dyDescent="0.2">
      <c r="A1280" s="7">
        <v>44368</v>
      </c>
      <c r="B1280">
        <v>1.1457338310051299</v>
      </c>
      <c r="C1280">
        <v>1.1041313742529999</v>
      </c>
      <c r="D1280">
        <v>1.11897847976273</v>
      </c>
      <c r="E1280">
        <v>55.03</v>
      </c>
      <c r="F1280" s="55">
        <f t="shared" si="79"/>
        <v>1.2937963085420452</v>
      </c>
      <c r="G1280" s="55">
        <f t="shared" si="89"/>
        <v>1.3031151532907548</v>
      </c>
      <c r="H1280" s="55">
        <f t="shared" si="88"/>
        <v>1.2933268830222082</v>
      </c>
      <c r="I1280" s="55">
        <f t="shared" si="90"/>
        <v>1.2937963085420452</v>
      </c>
      <c r="J1280" s="9">
        <f t="shared" si="91"/>
        <v>1.2162855000000001</v>
      </c>
      <c r="K1280" s="75">
        <f t="shared" si="92"/>
        <v>1.3048346532907549</v>
      </c>
      <c r="L1280" s="75">
        <f t="shared" si="85"/>
        <v>1.2950463830222081</v>
      </c>
      <c r="M1280" s="75">
        <f t="shared" si="93"/>
        <v>1.2955158085420451</v>
      </c>
      <c r="N1280" s="68">
        <f t="shared" si="87"/>
        <v>1.2180050000000002</v>
      </c>
      <c r="O1280">
        <v>20.206151972951002</v>
      </c>
    </row>
    <row r="1281" spans="1:15" x14ac:dyDescent="0.2">
      <c r="A1281" s="7">
        <v>44369</v>
      </c>
      <c r="B1281">
        <v>1.1465167310051301</v>
      </c>
      <c r="C1281">
        <v>1.104914274253</v>
      </c>
      <c r="D1281">
        <v>1.1196563797627299</v>
      </c>
      <c r="E1281">
        <v>55.58</v>
      </c>
      <c r="F1281" s="55">
        <f t="shared" si="79"/>
        <v>1.2944742085420451</v>
      </c>
      <c r="G1281" s="55">
        <f t="shared" si="89"/>
        <v>1.3038980532907549</v>
      </c>
      <c r="H1281" s="55">
        <f t="shared" si="88"/>
        <v>1.2941097830222084</v>
      </c>
      <c r="I1281" s="55">
        <f t="shared" si="90"/>
        <v>1.2944742085420451</v>
      </c>
      <c r="J1281" s="9">
        <f t="shared" si="91"/>
        <v>1.2165605000000002</v>
      </c>
      <c r="K1281" s="75">
        <f t="shared" si="92"/>
        <v>1.305617553290755</v>
      </c>
      <c r="L1281" s="75">
        <f t="shared" si="85"/>
        <v>1.2958292830222082</v>
      </c>
      <c r="M1281" s="75">
        <f t="shared" si="93"/>
        <v>1.296193708542045</v>
      </c>
      <c r="N1281" s="68">
        <f t="shared" si="87"/>
        <v>1.2182800000000003</v>
      </c>
      <c r="O1281">
        <v>19.827868546044002</v>
      </c>
    </row>
    <row r="1282" spans="1:15" x14ac:dyDescent="0.2">
      <c r="A1282" s="7">
        <v>44370</v>
      </c>
      <c r="B1282">
        <v>1.1508983310051299</v>
      </c>
      <c r="C1282">
        <v>1.1092958742529999</v>
      </c>
      <c r="D1282">
        <v>1.1243134797627301</v>
      </c>
      <c r="E1282">
        <v>59.53</v>
      </c>
      <c r="F1282" s="55">
        <f t="shared" si="79"/>
        <v>1.2991313085420453</v>
      </c>
      <c r="G1282" s="55">
        <f t="shared" si="89"/>
        <v>1.3082796532907548</v>
      </c>
      <c r="H1282" s="55">
        <f t="shared" si="88"/>
        <v>1.2984913830222082</v>
      </c>
      <c r="I1282" s="55">
        <f t="shared" si="90"/>
        <v>1.2991313085420453</v>
      </c>
      <c r="J1282" s="9">
        <f t="shared" si="91"/>
        <v>1.2185355000000002</v>
      </c>
      <c r="K1282" s="75">
        <f t="shared" si="92"/>
        <v>1.3099991532907549</v>
      </c>
      <c r="L1282" s="75">
        <f t="shared" si="85"/>
        <v>1.3002108830222081</v>
      </c>
      <c r="M1282" s="75">
        <f t="shared" si="93"/>
        <v>1.3008508085420452</v>
      </c>
      <c r="N1282" s="68">
        <f t="shared" si="87"/>
        <v>1.2202550000000003</v>
      </c>
      <c r="O1282">
        <v>18.505869941709001</v>
      </c>
    </row>
    <row r="1283" spans="1:15" x14ac:dyDescent="0.2">
      <c r="A1283" s="7">
        <v>44371</v>
      </c>
      <c r="B1283">
        <v>1.1522255310051299</v>
      </c>
      <c r="C1283">
        <v>1.1107421742529999</v>
      </c>
      <c r="D1283">
        <v>1.1257130797627299</v>
      </c>
      <c r="E1283">
        <v>60.77</v>
      </c>
      <c r="F1283" s="55">
        <f t="shared" si="79"/>
        <v>1.3005309085420451</v>
      </c>
      <c r="G1283" s="55">
        <f t="shared" si="89"/>
        <v>1.3096068532907548</v>
      </c>
      <c r="H1283" s="55">
        <f t="shared" si="88"/>
        <v>1.2999376830222082</v>
      </c>
      <c r="I1283" s="55">
        <f t="shared" si="90"/>
        <v>1.3005309085420451</v>
      </c>
      <c r="J1283" s="9">
        <f t="shared" si="91"/>
        <v>1.2191555000000005</v>
      </c>
      <c r="K1283" s="75">
        <f t="shared" si="92"/>
        <v>1.3113263532907549</v>
      </c>
      <c r="L1283" s="75">
        <f t="shared" si="85"/>
        <v>1.3016571830222081</v>
      </c>
      <c r="M1283" s="75">
        <f t="shared" si="93"/>
        <v>1.302250408542045</v>
      </c>
      <c r="N1283" s="68">
        <f t="shared" si="87"/>
        <v>1.2208750000000004</v>
      </c>
      <c r="O1283">
        <v>17.760250362744099</v>
      </c>
    </row>
    <row r="1284" spans="1:15" x14ac:dyDescent="0.2">
      <c r="A1284" s="7">
        <v>44372</v>
      </c>
      <c r="B1284">
        <v>1.1449017310051299</v>
      </c>
      <c r="C1284">
        <v>1.1038952742529999</v>
      </c>
      <c r="D1284">
        <v>1.12172957976273</v>
      </c>
      <c r="E1284">
        <v>54.93</v>
      </c>
      <c r="F1284" s="55">
        <f t="shared" si="79"/>
        <v>1.2965474085420452</v>
      </c>
      <c r="G1284" s="55">
        <f t="shared" si="89"/>
        <v>1.3022830532907548</v>
      </c>
      <c r="H1284" s="55">
        <f t="shared" si="88"/>
        <v>1.2930907830222083</v>
      </c>
      <c r="I1284" s="55">
        <f t="shared" si="90"/>
        <v>1.2965474085420452</v>
      </c>
      <c r="J1284" s="9">
        <f t="shared" si="91"/>
        <v>1.2162355000000002</v>
      </c>
      <c r="K1284" s="75">
        <f t="shared" si="92"/>
        <v>1.3040025532907549</v>
      </c>
      <c r="L1284" s="75">
        <f t="shared" si="85"/>
        <v>1.2948102830222081</v>
      </c>
      <c r="M1284" s="75">
        <f t="shared" si="93"/>
        <v>1.2982669085420451</v>
      </c>
      <c r="N1284" s="68">
        <f t="shared" si="87"/>
        <v>1.2179550000000003</v>
      </c>
      <c r="O1284">
        <v>18.0153367486806</v>
      </c>
    </row>
    <row r="1285" spans="1:15" x14ac:dyDescent="0.2">
      <c r="A1285" s="7">
        <v>44375</v>
      </c>
      <c r="B1285">
        <v>1.14644513100513</v>
      </c>
      <c r="C1285">
        <v>1.105438674253</v>
      </c>
      <c r="D1285">
        <v>1.12359867976273</v>
      </c>
      <c r="E1285" s="3">
        <v>54.93</v>
      </c>
      <c r="F1285" s="55">
        <f t="shared" si="79"/>
        <v>1.2984165085420452</v>
      </c>
      <c r="G1285" s="55">
        <f t="shared" si="89"/>
        <v>1.3038264532907549</v>
      </c>
      <c r="H1285" s="55">
        <f t="shared" si="88"/>
        <v>1.2946341830222083</v>
      </c>
      <c r="I1285" s="55">
        <f t="shared" si="90"/>
        <v>1.2984165085420452</v>
      </c>
      <c r="J1285" s="9">
        <f t="shared" si="91"/>
        <v>1.2162355000000002</v>
      </c>
      <c r="K1285" s="75">
        <f t="shared" si="92"/>
        <v>1.305545953290755</v>
      </c>
      <c r="L1285" s="75">
        <f t="shared" si="85"/>
        <v>1.2963536830222082</v>
      </c>
      <c r="M1285" s="75">
        <f t="shared" si="93"/>
        <v>1.300136008542045</v>
      </c>
      <c r="N1285" s="68">
        <f t="shared" si="87"/>
        <v>1.2179550000000003</v>
      </c>
      <c r="O1285">
        <v>18.315187162158601</v>
      </c>
    </row>
    <row r="1286" spans="1:15" x14ac:dyDescent="0.2">
      <c r="A1286" s="7">
        <v>44376</v>
      </c>
      <c r="B1286">
        <v>1.1456432310051301</v>
      </c>
      <c r="C1286">
        <v>1.1046367742530001</v>
      </c>
      <c r="D1286">
        <v>1.1225146797627299</v>
      </c>
      <c r="E1286" s="3">
        <v>56.7</v>
      </c>
      <c r="F1286" s="55">
        <f t="shared" si="79"/>
        <v>1.2973325085420451</v>
      </c>
      <c r="G1286" s="55">
        <f t="shared" si="89"/>
        <v>1.3030245532907549</v>
      </c>
      <c r="H1286" s="55">
        <f t="shared" si="88"/>
        <v>1.2938322830222084</v>
      </c>
      <c r="I1286" s="55">
        <f t="shared" si="90"/>
        <v>1.2973325085420451</v>
      </c>
      <c r="J1286" s="9">
        <f t="shared" si="91"/>
        <v>1.2171205000000005</v>
      </c>
      <c r="K1286" s="75">
        <f t="shared" si="92"/>
        <v>1.304744053290755</v>
      </c>
      <c r="L1286" s="75">
        <f t="shared" si="85"/>
        <v>1.2955517830222083</v>
      </c>
      <c r="M1286" s="75">
        <f t="shared" si="93"/>
        <v>1.2990520085420449</v>
      </c>
      <c r="N1286" s="68">
        <f t="shared" si="87"/>
        <v>1.2188400000000004</v>
      </c>
      <c r="O1286">
        <v>18.095482984283201</v>
      </c>
    </row>
    <row r="1287" spans="1:15" x14ac:dyDescent="0.2">
      <c r="A1287" s="7">
        <v>44377</v>
      </c>
      <c r="B1287">
        <v>1.1454824310051299</v>
      </c>
      <c r="C1287">
        <v>1.106757574253</v>
      </c>
      <c r="D1287">
        <v>1.1209037797627299</v>
      </c>
      <c r="E1287" s="3">
        <v>55.46</v>
      </c>
      <c r="F1287" s="55">
        <f t="shared" si="79"/>
        <v>1.2957216085420451</v>
      </c>
      <c r="G1287" s="55">
        <f t="shared" si="89"/>
        <v>1.3028637532907548</v>
      </c>
      <c r="H1287" s="55">
        <f t="shared" si="88"/>
        <v>1.2959530830222084</v>
      </c>
      <c r="I1287" s="55">
        <f t="shared" si="90"/>
        <v>1.2957216085420451</v>
      </c>
      <c r="J1287" s="9">
        <f t="shared" si="91"/>
        <v>1.2165005000000002</v>
      </c>
      <c r="K1287" s="75">
        <f t="shared" si="92"/>
        <v>1.3045832532907549</v>
      </c>
      <c r="L1287" s="75">
        <f t="shared" si="85"/>
        <v>1.2976725830222082</v>
      </c>
      <c r="M1287" s="75">
        <f t="shared" si="93"/>
        <v>1.297441108542045</v>
      </c>
      <c r="N1287" s="68">
        <f t="shared" si="87"/>
        <v>1.2182200000000003</v>
      </c>
      <c r="O1287">
        <v>18.638391034542899</v>
      </c>
    </row>
    <row r="1288" spans="1:15" x14ac:dyDescent="0.2">
      <c r="A1288" s="108">
        <v>44378</v>
      </c>
      <c r="B1288">
        <v>1.14776403100513</v>
      </c>
      <c r="C1288">
        <v>1.097777074253</v>
      </c>
      <c r="D1288">
        <v>1.1209600797627299</v>
      </c>
      <c r="E1288" s="3">
        <v>55.14</v>
      </c>
      <c r="F1288" s="55">
        <f t="shared" ref="F1288:F1309" si="94">D1288-1.07766934064189+F$1227</f>
        <v>1.2957779085420451</v>
      </c>
      <c r="G1288" s="55">
        <f t="shared" ref="G1288:G1309" si="95">B1288-1.11680854055224+G$1227</f>
        <v>1.3051453532907549</v>
      </c>
      <c r="H1288" s="55">
        <f t="shared" ref="H1288:H1309" si="96">C1288-1.07630206413797+H$1227</f>
        <v>1.2869725830222083</v>
      </c>
      <c r="I1288" s="55">
        <f t="shared" ref="I1288:I1309" si="97">D1288-1.07766934064189+I$1227</f>
        <v>1.2957779085420451</v>
      </c>
      <c r="J1288" s="9">
        <f t="shared" ref="J1288:J1309" si="98">(N1288*1000000+($D$1048-$D$928))/1000000</f>
        <v>1.2163405000000005</v>
      </c>
      <c r="K1288" s="75">
        <f t="shared" ref="K1288:K1309" si="99">B1288-1.11680854055224+K$1227</f>
        <v>1.306864853290755</v>
      </c>
      <c r="L1288" s="75">
        <f t="shared" ref="L1288:L1309" si="100">C1288-1.07630206413797+L$1227</f>
        <v>1.2886920830222082</v>
      </c>
      <c r="M1288" s="75">
        <f t="shared" ref="M1288:M1309" si="101">D1288-1.07766934064189+M$1227</f>
        <v>1.297497408542045</v>
      </c>
      <c r="N1288" s="68">
        <f t="shared" ref="N1288:N1309" si="102">E1288/2000+N$1173</f>
        <v>1.2180600000000004</v>
      </c>
      <c r="O1288">
        <v>18.280252046614098</v>
      </c>
    </row>
    <row r="1289" spans="1:15" x14ac:dyDescent="0.2">
      <c r="A1289" s="108">
        <v>44379</v>
      </c>
      <c r="B1289">
        <v>1.13878353100513</v>
      </c>
      <c r="C1289">
        <v>1.101697674253</v>
      </c>
      <c r="D1289">
        <v>1.1120491797627301</v>
      </c>
      <c r="E1289" s="3">
        <v>45.01</v>
      </c>
      <c r="F1289" s="55">
        <f t="shared" si="94"/>
        <v>1.2868670085420453</v>
      </c>
      <c r="G1289" s="55">
        <f t="shared" si="95"/>
        <v>1.2961648532907548</v>
      </c>
      <c r="H1289" s="55">
        <f t="shared" si="96"/>
        <v>1.2908931830222083</v>
      </c>
      <c r="I1289" s="55">
        <f t="shared" si="97"/>
        <v>1.2868670085420453</v>
      </c>
      <c r="J1289" s="9">
        <f t="shared" si="98"/>
        <v>1.2112755000000002</v>
      </c>
      <c r="K1289" s="75">
        <f t="shared" si="99"/>
        <v>1.2978843532907549</v>
      </c>
      <c r="L1289" s="75">
        <f t="shared" si="100"/>
        <v>1.2926126830222082</v>
      </c>
      <c r="M1289" s="75">
        <f t="shared" si="101"/>
        <v>1.2885865085420452</v>
      </c>
      <c r="N1289" s="68">
        <f t="shared" si="102"/>
        <v>1.2129950000000003</v>
      </c>
      <c r="O1289">
        <v>19.000400568913999</v>
      </c>
    </row>
    <row r="1290" spans="1:15" x14ac:dyDescent="0.2">
      <c r="A1290" s="108">
        <v>44382</v>
      </c>
      <c r="B1290">
        <v>1.14270413100513</v>
      </c>
      <c r="C1290">
        <v>1.1044759742529999</v>
      </c>
      <c r="D1290">
        <v>1.11763217976273</v>
      </c>
      <c r="E1290" s="3">
        <v>50.33</v>
      </c>
      <c r="F1290" s="55">
        <f t="shared" si="94"/>
        <v>1.2924500085420452</v>
      </c>
      <c r="G1290" s="55">
        <f t="shared" si="95"/>
        <v>1.3000854532907549</v>
      </c>
      <c r="H1290" s="55">
        <f t="shared" si="96"/>
        <v>1.2936714830222082</v>
      </c>
      <c r="I1290" s="55">
        <f t="shared" si="97"/>
        <v>1.2924500085420452</v>
      </c>
      <c r="J1290" s="9">
        <f t="shared" si="98"/>
        <v>1.2139355000000005</v>
      </c>
      <c r="K1290" s="75">
        <f t="shared" si="99"/>
        <v>1.301804953290755</v>
      </c>
      <c r="L1290" s="75">
        <f t="shared" si="100"/>
        <v>1.2953909830222081</v>
      </c>
      <c r="M1290" s="75">
        <f t="shared" si="101"/>
        <v>1.294169508542045</v>
      </c>
      <c r="N1290" s="68">
        <f t="shared" si="102"/>
        <v>1.2156550000000004</v>
      </c>
      <c r="O1290">
        <v>18.2682685382422</v>
      </c>
    </row>
    <row r="1291" spans="1:15" x14ac:dyDescent="0.2">
      <c r="A1291" s="108">
        <v>44383</v>
      </c>
      <c r="B1291">
        <v>1.1409538310051299</v>
      </c>
      <c r="C1291">
        <v>1.0999473742529999</v>
      </c>
      <c r="D1291">
        <v>1.1190205797627299</v>
      </c>
      <c r="E1291" s="3">
        <v>50.71</v>
      </c>
      <c r="F1291" s="55">
        <f t="shared" si="94"/>
        <v>1.2938384085420451</v>
      </c>
      <c r="G1291" s="55">
        <f t="shared" si="95"/>
        <v>1.2983351532907548</v>
      </c>
      <c r="H1291" s="55">
        <f t="shared" si="96"/>
        <v>1.2891428830222083</v>
      </c>
      <c r="I1291" s="55">
        <f t="shared" si="97"/>
        <v>1.2938384085420451</v>
      </c>
      <c r="J1291" s="9">
        <f t="shared" si="98"/>
        <v>1.2141255000000002</v>
      </c>
      <c r="K1291" s="75">
        <f t="shared" si="99"/>
        <v>1.3000546532907549</v>
      </c>
      <c r="L1291" s="75">
        <f t="shared" si="100"/>
        <v>1.2908623830222081</v>
      </c>
      <c r="M1291" s="75">
        <f t="shared" si="101"/>
        <v>1.295557908542045</v>
      </c>
      <c r="N1291" s="68">
        <f t="shared" si="102"/>
        <v>1.2158450000000003</v>
      </c>
      <c r="O1291">
        <v>18.028050170034799</v>
      </c>
    </row>
    <row r="1292" spans="1:15" x14ac:dyDescent="0.2">
      <c r="A1292" s="108">
        <v>44384</v>
      </c>
      <c r="B1292">
        <v>1.13334333100513</v>
      </c>
      <c r="C1292">
        <v>1.0894102742530001</v>
      </c>
      <c r="D1292">
        <v>1.1180977797627301</v>
      </c>
      <c r="E1292" s="3">
        <v>43.49</v>
      </c>
      <c r="F1292" s="55">
        <f t="shared" si="94"/>
        <v>1.2929156085420452</v>
      </c>
      <c r="G1292" s="55">
        <f t="shared" si="95"/>
        <v>1.2907246532907548</v>
      </c>
      <c r="H1292" s="55">
        <f t="shared" si="96"/>
        <v>1.2786057830222084</v>
      </c>
      <c r="I1292" s="55">
        <f t="shared" si="97"/>
        <v>1.2929156085420452</v>
      </c>
      <c r="J1292" s="9">
        <f t="shared" si="98"/>
        <v>1.2105155000000003</v>
      </c>
      <c r="K1292" s="75">
        <f t="shared" si="99"/>
        <v>1.2924441532907549</v>
      </c>
      <c r="L1292" s="75">
        <f t="shared" si="100"/>
        <v>1.2803252830222083</v>
      </c>
      <c r="M1292" s="75">
        <f t="shared" si="101"/>
        <v>1.2946351085420451</v>
      </c>
      <c r="N1292" s="68">
        <f t="shared" si="102"/>
        <v>1.2122350000000002</v>
      </c>
      <c r="O1292">
        <v>17.609935980412899</v>
      </c>
    </row>
    <row r="1293" spans="1:15" x14ac:dyDescent="0.2">
      <c r="A1293" s="108">
        <v>44385</v>
      </c>
      <c r="B1293">
        <v>1.1304167310051301</v>
      </c>
      <c r="C1293">
        <v>1.089059174253</v>
      </c>
      <c r="D1293">
        <v>1.1166180797627301</v>
      </c>
      <c r="E1293" s="3">
        <v>41.81</v>
      </c>
      <c r="F1293" s="55">
        <f t="shared" si="94"/>
        <v>1.2914359085420453</v>
      </c>
      <c r="G1293" s="55">
        <f t="shared" si="95"/>
        <v>1.2877980532907549</v>
      </c>
      <c r="H1293" s="55">
        <f t="shared" si="96"/>
        <v>1.2782546830222083</v>
      </c>
      <c r="I1293" s="55">
        <f t="shared" si="97"/>
        <v>1.2914359085420453</v>
      </c>
      <c r="J1293" s="9">
        <f t="shared" si="98"/>
        <v>1.2096755000000001</v>
      </c>
      <c r="K1293" s="75">
        <f t="shared" si="99"/>
        <v>1.289517553290755</v>
      </c>
      <c r="L1293" s="75">
        <f t="shared" si="100"/>
        <v>1.2799741830222082</v>
      </c>
      <c r="M1293" s="75">
        <f t="shared" si="101"/>
        <v>1.2931554085420451</v>
      </c>
      <c r="N1293" s="68">
        <f t="shared" si="102"/>
        <v>1.2113950000000002</v>
      </c>
      <c r="O1293">
        <v>18.4559348069428</v>
      </c>
    </row>
    <row r="1294" spans="1:15" x14ac:dyDescent="0.2">
      <c r="A1294" s="108">
        <v>44386</v>
      </c>
      <c r="B1294">
        <v>1.1315968310051301</v>
      </c>
      <c r="C1294">
        <v>1.090885274253</v>
      </c>
      <c r="D1294">
        <v>1.11739187976273</v>
      </c>
      <c r="E1294" s="3">
        <v>42.53</v>
      </c>
      <c r="F1294" s="55">
        <f t="shared" si="94"/>
        <v>1.2922097085420452</v>
      </c>
      <c r="G1294" s="55">
        <f t="shared" si="95"/>
        <v>1.2889781532907549</v>
      </c>
      <c r="H1294" s="55">
        <f t="shared" si="96"/>
        <v>1.2800807830222083</v>
      </c>
      <c r="I1294" s="55">
        <f t="shared" si="97"/>
        <v>1.2922097085420452</v>
      </c>
      <c r="J1294" s="9">
        <f t="shared" si="98"/>
        <v>1.2100355000000005</v>
      </c>
      <c r="K1294" s="75">
        <f t="shared" si="99"/>
        <v>1.290697653290755</v>
      </c>
      <c r="L1294" s="75">
        <f t="shared" si="100"/>
        <v>1.2818002830222082</v>
      </c>
      <c r="M1294" s="75">
        <f t="shared" si="101"/>
        <v>1.2939292085420451</v>
      </c>
      <c r="N1294" s="68">
        <f t="shared" si="102"/>
        <v>1.2117550000000004</v>
      </c>
      <c r="O1294">
        <v>18.4317206696123</v>
      </c>
    </row>
    <row r="1295" spans="1:15" x14ac:dyDescent="0.2">
      <c r="A1295" s="108">
        <v>44389</v>
      </c>
      <c r="B1295">
        <v>1.1321239310051301</v>
      </c>
      <c r="C1295">
        <v>1.0907794742529999</v>
      </c>
      <c r="D1295">
        <v>1.11656737976273</v>
      </c>
      <c r="E1295" s="3">
        <v>42.57</v>
      </c>
      <c r="F1295" s="55">
        <f t="shared" si="94"/>
        <v>1.2913852085420452</v>
      </c>
      <c r="G1295" s="55">
        <f t="shared" si="95"/>
        <v>1.2895052532907549</v>
      </c>
      <c r="H1295" s="55">
        <f t="shared" si="96"/>
        <v>1.2799749830222082</v>
      </c>
      <c r="I1295" s="55">
        <f t="shared" si="97"/>
        <v>1.2913852085420452</v>
      </c>
      <c r="J1295" s="9">
        <f t="shared" si="98"/>
        <v>1.2100555000000002</v>
      </c>
      <c r="K1295" s="75">
        <f t="shared" si="99"/>
        <v>1.291224753290755</v>
      </c>
      <c r="L1295" s="75">
        <f t="shared" si="100"/>
        <v>1.2816944830222081</v>
      </c>
      <c r="M1295" s="75">
        <f t="shared" si="101"/>
        <v>1.2931047085420451</v>
      </c>
      <c r="N1295" s="68">
        <f t="shared" si="102"/>
        <v>1.2117750000000003</v>
      </c>
      <c r="O1295">
        <v>18.930513393282698</v>
      </c>
    </row>
    <row r="1296" spans="1:15" x14ac:dyDescent="0.2">
      <c r="A1296" s="108">
        <v>44390</v>
      </c>
      <c r="B1296">
        <v>1.13409973100513</v>
      </c>
      <c r="C1296">
        <v>1.0925598742530001</v>
      </c>
      <c r="D1296">
        <v>1.1191321797627301</v>
      </c>
      <c r="E1296" s="3">
        <v>45.02</v>
      </c>
      <c r="F1296" s="55">
        <f t="shared" si="94"/>
        <v>1.2939500085420452</v>
      </c>
      <c r="G1296" s="55">
        <f t="shared" si="95"/>
        <v>1.2914810532907548</v>
      </c>
      <c r="H1296" s="55">
        <f t="shared" si="96"/>
        <v>1.2817553830222084</v>
      </c>
      <c r="I1296" s="55">
        <f t="shared" si="97"/>
        <v>1.2939500085420452</v>
      </c>
      <c r="J1296" s="9">
        <f t="shared" si="98"/>
        <v>1.2112805000000002</v>
      </c>
      <c r="K1296" s="75">
        <f t="shared" si="99"/>
        <v>1.2932005532907549</v>
      </c>
      <c r="L1296" s="75">
        <f t="shared" si="100"/>
        <v>1.2834748830222082</v>
      </c>
      <c r="M1296" s="75">
        <f t="shared" si="101"/>
        <v>1.2956695085420451</v>
      </c>
      <c r="N1296" s="68">
        <f t="shared" si="102"/>
        <v>1.2130000000000003</v>
      </c>
      <c r="O1296">
        <v>18.6267314389898</v>
      </c>
    </row>
    <row r="1297" spans="1:15" x14ac:dyDescent="0.2">
      <c r="A1297" s="108">
        <v>44391</v>
      </c>
      <c r="B1297">
        <v>1.1316912310051299</v>
      </c>
      <c r="C1297">
        <v>1.0958555742530001</v>
      </c>
      <c r="D1297">
        <v>1.11799497976273</v>
      </c>
      <c r="E1297" s="3">
        <v>44.65</v>
      </c>
      <c r="F1297" s="55">
        <f t="shared" si="94"/>
        <v>1.2928128085420452</v>
      </c>
      <c r="G1297" s="55">
        <f t="shared" si="95"/>
        <v>1.2890725532907548</v>
      </c>
      <c r="H1297" s="55">
        <f t="shared" si="96"/>
        <v>1.2850510830222084</v>
      </c>
      <c r="I1297" s="55">
        <f t="shared" si="97"/>
        <v>1.2928128085420452</v>
      </c>
      <c r="J1297" s="9">
        <f t="shared" si="98"/>
        <v>1.2110955000000003</v>
      </c>
      <c r="K1297" s="75">
        <f t="shared" si="99"/>
        <v>1.2907920532907549</v>
      </c>
      <c r="L1297" s="75">
        <f t="shared" si="100"/>
        <v>1.2867705830222083</v>
      </c>
      <c r="M1297" s="75">
        <f t="shared" si="101"/>
        <v>1.294532308542045</v>
      </c>
      <c r="N1297" s="68">
        <f t="shared" si="102"/>
        <v>1.2128150000000002</v>
      </c>
      <c r="O1297">
        <v>18.6819863067516</v>
      </c>
    </row>
    <row r="1298" spans="1:15" x14ac:dyDescent="0.2">
      <c r="A1298" s="108">
        <v>44392</v>
      </c>
      <c r="B1298">
        <v>1.13272123100513</v>
      </c>
      <c r="C1298">
        <v>1.098435774253</v>
      </c>
      <c r="D1298">
        <v>1.1192076797627299</v>
      </c>
      <c r="E1298" s="3">
        <v>46.38</v>
      </c>
      <c r="F1298" s="55">
        <f t="shared" si="94"/>
        <v>1.2940255085420451</v>
      </c>
      <c r="G1298" s="55">
        <f t="shared" si="95"/>
        <v>1.2901025532907548</v>
      </c>
      <c r="H1298" s="55">
        <f t="shared" si="96"/>
        <v>1.2876312830222083</v>
      </c>
      <c r="I1298" s="55">
        <f t="shared" si="97"/>
        <v>1.2940255085420451</v>
      </c>
      <c r="J1298" s="9">
        <f t="shared" si="98"/>
        <v>1.2119605000000002</v>
      </c>
      <c r="K1298" s="75">
        <f t="shared" si="99"/>
        <v>1.2918220532907549</v>
      </c>
      <c r="L1298" s="75">
        <f t="shared" si="100"/>
        <v>1.2893507830222082</v>
      </c>
      <c r="M1298" s="75">
        <f t="shared" si="101"/>
        <v>1.295745008542045</v>
      </c>
      <c r="N1298" s="68">
        <f t="shared" si="102"/>
        <v>1.2136800000000003</v>
      </c>
      <c r="O1298">
        <v>18.306133667223001</v>
      </c>
    </row>
    <row r="1299" spans="1:15" x14ac:dyDescent="0.2">
      <c r="A1299" s="108">
        <v>44393</v>
      </c>
      <c r="B1299">
        <v>1.1330740310051299</v>
      </c>
      <c r="C1299">
        <v>1.0651639742529999</v>
      </c>
      <c r="D1299">
        <v>1.1167888797627299</v>
      </c>
      <c r="E1299" s="3">
        <v>43.37</v>
      </c>
      <c r="F1299" s="55">
        <f t="shared" si="94"/>
        <v>1.2916067085420451</v>
      </c>
      <c r="G1299" s="55">
        <f t="shared" si="95"/>
        <v>1.2904553532907548</v>
      </c>
      <c r="H1299" s="55">
        <f t="shared" si="96"/>
        <v>1.2543594830222082</v>
      </c>
      <c r="I1299" s="55">
        <f t="shared" si="97"/>
        <v>1.2916067085420451</v>
      </c>
      <c r="J1299" s="9">
        <f t="shared" si="98"/>
        <v>1.2104555000000001</v>
      </c>
      <c r="K1299" s="75">
        <f t="shared" si="99"/>
        <v>1.2921748532907549</v>
      </c>
      <c r="L1299" s="75">
        <f t="shared" si="100"/>
        <v>1.2560789830222081</v>
      </c>
      <c r="M1299" s="75">
        <f t="shared" si="101"/>
        <v>1.2933262085420449</v>
      </c>
      <c r="N1299" s="68">
        <f t="shared" si="102"/>
        <v>1.2121750000000002</v>
      </c>
      <c r="O1299">
        <v>18.425162437045898</v>
      </c>
    </row>
    <row r="1300" spans="1:15" x14ac:dyDescent="0.2">
      <c r="A1300" s="108">
        <v>44396</v>
      </c>
      <c r="B1300">
        <v>1.1383642310051301</v>
      </c>
      <c r="C1300">
        <v>1.079915574253</v>
      </c>
      <c r="D1300">
        <v>1.1219296797627301</v>
      </c>
      <c r="E1300" s="3">
        <v>48.34</v>
      </c>
      <c r="F1300" s="55">
        <f t="shared" si="94"/>
        <v>1.2967475085420452</v>
      </c>
      <c r="G1300" s="55">
        <f t="shared" si="95"/>
        <v>1.2957455532907549</v>
      </c>
      <c r="H1300" s="55">
        <f t="shared" si="96"/>
        <v>1.2691110830222083</v>
      </c>
      <c r="I1300" s="55">
        <f t="shared" si="97"/>
        <v>1.2967475085420452</v>
      </c>
      <c r="J1300" s="9">
        <f t="shared" si="98"/>
        <v>1.2129405000000002</v>
      </c>
      <c r="K1300" s="75">
        <f t="shared" si="99"/>
        <v>1.297465053290755</v>
      </c>
      <c r="L1300" s="75">
        <f t="shared" si="100"/>
        <v>1.2708305830222082</v>
      </c>
      <c r="M1300" s="75">
        <f t="shared" si="101"/>
        <v>1.2984670085420451</v>
      </c>
      <c r="N1300" s="68">
        <f t="shared" si="102"/>
        <v>1.2146600000000003</v>
      </c>
      <c r="O1300">
        <v>18.562415167788501</v>
      </c>
    </row>
    <row r="1301" spans="1:15" x14ac:dyDescent="0.2">
      <c r="A1301" s="108">
        <v>44397</v>
      </c>
      <c r="B1301">
        <v>1.1368690310051299</v>
      </c>
      <c r="C1301">
        <v>1.070319774253</v>
      </c>
      <c r="D1301">
        <v>1.1206420797627299</v>
      </c>
      <c r="E1301" s="3">
        <v>47.12</v>
      </c>
      <c r="F1301" s="55">
        <f t="shared" si="94"/>
        <v>1.2954599085420451</v>
      </c>
      <c r="G1301" s="55">
        <f t="shared" si="95"/>
        <v>1.2942503532907548</v>
      </c>
      <c r="H1301" s="55">
        <f t="shared" si="96"/>
        <v>1.2595152830222083</v>
      </c>
      <c r="I1301" s="55">
        <f t="shared" si="97"/>
        <v>1.2954599085420451</v>
      </c>
      <c r="J1301" s="9">
        <f t="shared" si="98"/>
        <v>1.2123305000000002</v>
      </c>
      <c r="K1301" s="75">
        <f t="shared" si="99"/>
        <v>1.2959698532907549</v>
      </c>
      <c r="L1301" s="75">
        <f t="shared" si="100"/>
        <v>1.2612347830222082</v>
      </c>
      <c r="M1301" s="75">
        <f t="shared" si="101"/>
        <v>1.2971794085420449</v>
      </c>
      <c r="N1301" s="68">
        <f t="shared" si="102"/>
        <v>1.2140500000000003</v>
      </c>
      <c r="O1301">
        <v>18.9429939248874</v>
      </c>
    </row>
    <row r="1302" spans="1:15" x14ac:dyDescent="0.2">
      <c r="A1302" s="108">
        <v>44398</v>
      </c>
      <c r="B1302">
        <v>1.1384247310051301</v>
      </c>
      <c r="C1302">
        <v>1.092336874253</v>
      </c>
      <c r="D1302">
        <v>1.1224009797627299</v>
      </c>
      <c r="E1302" s="3">
        <v>48.71</v>
      </c>
      <c r="F1302" s="55">
        <f t="shared" si="94"/>
        <v>1.2972188085420451</v>
      </c>
      <c r="G1302" s="55">
        <f t="shared" si="95"/>
        <v>1.2958060532907549</v>
      </c>
      <c r="H1302" s="55">
        <f t="shared" si="96"/>
        <v>1.2815323830222083</v>
      </c>
      <c r="I1302" s="55">
        <f t="shared" si="97"/>
        <v>1.2972188085420451</v>
      </c>
      <c r="J1302" s="9">
        <f t="shared" si="98"/>
        <v>1.2131255000000003</v>
      </c>
      <c r="K1302" s="75">
        <f t="shared" si="99"/>
        <v>1.297525553290755</v>
      </c>
      <c r="L1302" s="75">
        <f t="shared" si="100"/>
        <v>1.2832518830222082</v>
      </c>
      <c r="M1302" s="75">
        <f t="shared" si="101"/>
        <v>1.298938308542045</v>
      </c>
      <c r="N1302" s="68">
        <f t="shared" si="102"/>
        <v>1.2148450000000002</v>
      </c>
      <c r="O1302">
        <v>18.299920771822801</v>
      </c>
    </row>
    <row r="1303" spans="1:15" x14ac:dyDescent="0.2">
      <c r="A1303" s="108">
        <v>44399</v>
      </c>
      <c r="B1303">
        <v>1.13986903100513</v>
      </c>
      <c r="C1303">
        <v>1.091025574253</v>
      </c>
      <c r="D1303">
        <v>1.12387207976273</v>
      </c>
      <c r="E1303" s="3">
        <v>50.2</v>
      </c>
      <c r="F1303" s="55">
        <f t="shared" si="94"/>
        <v>1.2986899085420451</v>
      </c>
      <c r="G1303" s="55">
        <f t="shared" si="95"/>
        <v>1.2972503532907549</v>
      </c>
      <c r="H1303" s="55">
        <f t="shared" si="96"/>
        <v>1.2802210830222083</v>
      </c>
      <c r="I1303" s="55">
        <f t="shared" si="97"/>
        <v>1.2986899085420451</v>
      </c>
      <c r="J1303" s="9">
        <f t="shared" si="98"/>
        <v>1.2138705000000003</v>
      </c>
      <c r="K1303" s="75">
        <f t="shared" si="99"/>
        <v>1.298969853290755</v>
      </c>
      <c r="L1303" s="75">
        <f t="shared" si="100"/>
        <v>1.2819405830222081</v>
      </c>
      <c r="M1303" s="75">
        <f t="shared" si="101"/>
        <v>1.300409408542045</v>
      </c>
      <c r="N1303" s="68">
        <f t="shared" si="102"/>
        <v>1.2155900000000002</v>
      </c>
      <c r="O1303">
        <v>18.3039828601122</v>
      </c>
    </row>
    <row r="1304" spans="1:15" x14ac:dyDescent="0.2">
      <c r="A1304" s="108">
        <v>44400</v>
      </c>
      <c r="B1304">
        <v>1.13902353100513</v>
      </c>
      <c r="C1304">
        <v>1.067452774253</v>
      </c>
      <c r="D1304">
        <v>1.1246120797627299</v>
      </c>
      <c r="E1304" s="3">
        <v>50.76</v>
      </c>
      <c r="F1304" s="55">
        <f t="shared" si="94"/>
        <v>1.2994299085420451</v>
      </c>
      <c r="G1304" s="55">
        <f t="shared" si="95"/>
        <v>1.2964048532907548</v>
      </c>
      <c r="H1304" s="55">
        <f t="shared" si="96"/>
        <v>1.2566482830222083</v>
      </c>
      <c r="I1304" s="55">
        <f t="shared" si="97"/>
        <v>1.2994299085420451</v>
      </c>
      <c r="J1304" s="9">
        <f t="shared" si="98"/>
        <v>1.2141505000000001</v>
      </c>
      <c r="K1304" s="75">
        <f t="shared" si="99"/>
        <v>1.2981243532907549</v>
      </c>
      <c r="L1304" s="75">
        <f t="shared" si="100"/>
        <v>1.2583677830222082</v>
      </c>
      <c r="M1304" s="75">
        <f t="shared" si="101"/>
        <v>1.301149408542045</v>
      </c>
      <c r="N1304" s="68">
        <f t="shared" si="102"/>
        <v>1.2158700000000002</v>
      </c>
      <c r="O1304">
        <v>18.2151972707324</v>
      </c>
    </row>
    <row r="1305" spans="1:15" x14ac:dyDescent="0.2">
      <c r="A1305" s="108">
        <v>44403</v>
      </c>
      <c r="B1305">
        <v>1.1187480310051301</v>
      </c>
      <c r="C1305">
        <v>1.068193174253</v>
      </c>
      <c r="D1305">
        <v>1.1064458797627299</v>
      </c>
      <c r="E1305" s="3">
        <v>31.88</v>
      </c>
      <c r="F1305" s="55">
        <f t="shared" si="94"/>
        <v>1.2812637085420451</v>
      </c>
      <c r="G1305" s="55">
        <f t="shared" si="95"/>
        <v>1.2761293532907549</v>
      </c>
      <c r="H1305" s="55">
        <f t="shared" si="96"/>
        <v>1.2573886830222083</v>
      </c>
      <c r="I1305" s="55">
        <f t="shared" si="97"/>
        <v>1.2812637085420451</v>
      </c>
      <c r="J1305" s="9">
        <f t="shared" si="98"/>
        <v>1.2047105000000002</v>
      </c>
      <c r="K1305" s="75">
        <f t="shared" si="99"/>
        <v>1.277848853290755</v>
      </c>
      <c r="L1305" s="75">
        <f t="shared" si="100"/>
        <v>1.2591081830222082</v>
      </c>
      <c r="M1305" s="75">
        <f t="shared" si="101"/>
        <v>1.282983208542045</v>
      </c>
      <c r="N1305" s="68">
        <f t="shared" si="102"/>
        <v>1.2064300000000003</v>
      </c>
      <c r="O1305">
        <v>21.6863395233487</v>
      </c>
    </row>
    <row r="1306" spans="1:15" x14ac:dyDescent="0.2">
      <c r="A1306" s="108">
        <v>44404</v>
      </c>
      <c r="B1306">
        <v>1.1028500310051299</v>
      </c>
      <c r="C1306">
        <v>1.089771874253</v>
      </c>
      <c r="D1306">
        <v>1.0868752797627299</v>
      </c>
      <c r="E1306" s="3">
        <v>-2.68</v>
      </c>
      <c r="F1306" s="55">
        <f t="shared" si="94"/>
        <v>1.2616931085420451</v>
      </c>
      <c r="G1306" s="55">
        <f t="shared" si="95"/>
        <v>1.2602313532907548</v>
      </c>
      <c r="H1306" s="55">
        <f t="shared" si="96"/>
        <v>1.2789673830222084</v>
      </c>
      <c r="I1306" s="55">
        <f t="shared" si="97"/>
        <v>1.2616931085420451</v>
      </c>
      <c r="J1306" s="9">
        <f t="shared" si="98"/>
        <v>1.1874305000000005</v>
      </c>
      <c r="K1306" s="75">
        <f t="shared" si="99"/>
        <v>1.2619508532907548</v>
      </c>
      <c r="L1306" s="75">
        <f t="shared" si="100"/>
        <v>1.2806868830222082</v>
      </c>
      <c r="M1306" s="75">
        <f t="shared" si="101"/>
        <v>1.263412608542045</v>
      </c>
      <c r="N1306" s="68">
        <f t="shared" si="102"/>
        <v>1.1891500000000004</v>
      </c>
      <c r="O1306">
        <v>23.619821012813901</v>
      </c>
    </row>
    <row r="1307" spans="1:15" x14ac:dyDescent="0.2">
      <c r="A1307" s="108">
        <v>44405</v>
      </c>
      <c r="B1307">
        <v>1.0982594310051299</v>
      </c>
      <c r="C1307">
        <v>1.094589874253</v>
      </c>
      <c r="D1307">
        <v>1.0837011797627301</v>
      </c>
      <c r="E1307" s="3">
        <v>5.84</v>
      </c>
      <c r="F1307" s="55">
        <f t="shared" si="94"/>
        <v>1.2585190085420452</v>
      </c>
      <c r="G1307" s="55">
        <f t="shared" si="95"/>
        <v>1.2556407532907548</v>
      </c>
      <c r="H1307" s="55">
        <f t="shared" si="96"/>
        <v>1.2837853830222083</v>
      </c>
      <c r="I1307" s="55">
        <f t="shared" si="97"/>
        <v>1.2585190085420452</v>
      </c>
      <c r="J1307" s="9">
        <f t="shared" si="98"/>
        <v>1.1916905000000002</v>
      </c>
      <c r="K1307" s="75">
        <f t="shared" si="99"/>
        <v>1.2573602532907548</v>
      </c>
      <c r="L1307" s="75">
        <f t="shared" si="100"/>
        <v>1.2855048830222082</v>
      </c>
      <c r="M1307" s="75">
        <f t="shared" si="101"/>
        <v>1.2602385085420451</v>
      </c>
      <c r="N1307" s="68">
        <f t="shared" si="102"/>
        <v>1.1934100000000003</v>
      </c>
      <c r="O1307">
        <v>22.4118046313754</v>
      </c>
    </row>
    <row r="1308" spans="1:15" x14ac:dyDescent="0.2">
      <c r="A1308" s="108">
        <v>44406</v>
      </c>
      <c r="B1308">
        <v>1.09507223100513</v>
      </c>
      <c r="C1308">
        <v>1.0965655742530001</v>
      </c>
      <c r="D1308">
        <v>1.0804576797627301</v>
      </c>
      <c r="E1308" s="3">
        <v>11.25</v>
      </c>
      <c r="F1308" s="55">
        <f t="shared" si="94"/>
        <v>1.2552755085420453</v>
      </c>
      <c r="G1308" s="55">
        <f t="shared" si="95"/>
        <v>1.2524535532907548</v>
      </c>
      <c r="H1308" s="55">
        <f t="shared" si="96"/>
        <v>1.2857610830222084</v>
      </c>
      <c r="I1308" s="55">
        <f t="shared" si="97"/>
        <v>1.2552755085420453</v>
      </c>
      <c r="J1308" s="9">
        <f t="shared" si="98"/>
        <v>1.1943955000000002</v>
      </c>
      <c r="K1308" s="75">
        <f t="shared" si="99"/>
        <v>1.2541730532907549</v>
      </c>
      <c r="L1308" s="75">
        <f t="shared" si="100"/>
        <v>1.2874805830222082</v>
      </c>
      <c r="M1308" s="75">
        <f t="shared" si="101"/>
        <v>1.2569950085420452</v>
      </c>
      <c r="N1308" s="68">
        <f t="shared" si="102"/>
        <v>1.1961150000000003</v>
      </c>
      <c r="O1308">
        <v>20.807711535190599</v>
      </c>
    </row>
    <row r="1309" spans="1:15" x14ac:dyDescent="0.2">
      <c r="A1309" s="108">
        <v>44407</v>
      </c>
      <c r="B1309">
        <v>1.0926587310051299</v>
      </c>
      <c r="C1309">
        <v>1.0981510742530001</v>
      </c>
      <c r="D1309">
        <v>1.07837147976273</v>
      </c>
      <c r="E1309" s="3">
        <v>15.3</v>
      </c>
      <c r="F1309" s="55">
        <f t="shared" si="94"/>
        <v>1.2531893085420451</v>
      </c>
      <c r="G1309" s="55">
        <f t="shared" si="95"/>
        <v>1.2500400532907547</v>
      </c>
      <c r="H1309" s="55">
        <f t="shared" si="96"/>
        <v>1.2873465830222084</v>
      </c>
      <c r="I1309" s="55">
        <f t="shared" si="97"/>
        <v>1.2531893085420451</v>
      </c>
      <c r="J1309" s="9">
        <f t="shared" si="98"/>
        <v>1.1964205000000003</v>
      </c>
      <c r="K1309" s="75">
        <f t="shared" si="99"/>
        <v>1.2517595532907548</v>
      </c>
      <c r="L1309" s="75">
        <f t="shared" si="100"/>
        <v>1.2890660830222083</v>
      </c>
      <c r="M1309" s="75">
        <f t="shared" si="101"/>
        <v>1.254908808542045</v>
      </c>
      <c r="N1309" s="68">
        <f t="shared" si="102"/>
        <v>1.1981400000000002</v>
      </c>
      <c r="O1309">
        <v>20.262283106611701</v>
      </c>
    </row>
    <row r="1311" spans="1:15" x14ac:dyDescent="0.2">
      <c r="E1311" s="3"/>
    </row>
    <row r="1312" spans="1:15" x14ac:dyDescent="0.2">
      <c r="E1312" s="3"/>
    </row>
  </sheetData>
  <autoFilter ref="A1:J1083" xr:uid="{D73E1A63-79D7-40EA-9B99-068038F3B594}">
    <filterColumn colId="0">
      <filters>
        <dateGroupItem year="2020" dateTimeGrouping="year"/>
      </filters>
    </filterColumn>
  </autoFilter>
  <mergeCells count="3">
    <mergeCell ref="Z937:AD937"/>
    <mergeCell ref="Z931:AD931"/>
    <mergeCell ref="Z956:AL956"/>
  </mergeCells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212E5-55D8-4FBD-B0D5-A71A8C61C6F6}">
  <sheetPr codeName="Sheet2"/>
  <dimension ref="A1:K1308"/>
  <sheetViews>
    <sheetView topLeftCell="H1" workbookViewId="0">
      <selection activeCell="U33" sqref="U33"/>
    </sheetView>
  </sheetViews>
  <sheetFormatPr defaultRowHeight="14.25" x14ac:dyDescent="0.2"/>
  <cols>
    <col min="1" max="1" width="26.125" customWidth="1"/>
    <col min="3" max="3" width="14.5" customWidth="1"/>
    <col min="10" max="10" width="18" customWidth="1"/>
    <col min="11" max="11" width="16" customWidth="1"/>
  </cols>
  <sheetData>
    <row r="1" spans="1:5" x14ac:dyDescent="0.2">
      <c r="A1" s="2" t="s">
        <v>0</v>
      </c>
      <c r="B1" s="2" t="s">
        <v>2</v>
      </c>
      <c r="C1" s="33" t="s">
        <v>475</v>
      </c>
      <c r="E1">
        <f>COUNTA(C:C)-1+1045</f>
        <v>1308</v>
      </c>
    </row>
    <row r="2" spans="1:5" x14ac:dyDescent="0.2">
      <c r="A2" s="1">
        <v>42450</v>
      </c>
      <c r="B2">
        <v>31.623688251502621</v>
      </c>
    </row>
    <row r="3" spans="1:5" x14ac:dyDescent="0.2">
      <c r="A3" s="1">
        <v>42451</v>
      </c>
      <c r="B3">
        <v>33.109723464132493</v>
      </c>
    </row>
    <row r="4" spans="1:5" x14ac:dyDescent="0.2">
      <c r="A4" s="1">
        <v>42452</v>
      </c>
      <c r="B4">
        <v>33.510247036645893</v>
      </c>
    </row>
    <row r="5" spans="1:5" x14ac:dyDescent="0.2">
      <c r="A5" s="1">
        <v>42453</v>
      </c>
      <c r="B5">
        <v>31.78476022569475</v>
      </c>
    </row>
    <row r="6" spans="1:5" x14ac:dyDescent="0.2">
      <c r="A6" s="1">
        <v>42454</v>
      </c>
      <c r="B6">
        <v>29.333649849464901</v>
      </c>
    </row>
    <row r="7" spans="1:5" x14ac:dyDescent="0.2">
      <c r="A7" s="1">
        <v>42457</v>
      </c>
      <c r="B7">
        <v>27.955452660453009</v>
      </c>
    </row>
    <row r="8" spans="1:5" x14ac:dyDescent="0.2">
      <c r="A8" s="1">
        <v>42458</v>
      </c>
      <c r="B8">
        <v>28.080941833613579</v>
      </c>
    </row>
    <row r="9" spans="1:5" x14ac:dyDescent="0.2">
      <c r="A9" s="1">
        <v>42459</v>
      </c>
      <c r="B9">
        <v>27.443079078309911</v>
      </c>
    </row>
    <row r="10" spans="1:5" x14ac:dyDescent="0.2">
      <c r="A10" s="1">
        <v>42460</v>
      </c>
      <c r="B10">
        <v>27.780653625453699</v>
      </c>
    </row>
    <row r="11" spans="1:5" x14ac:dyDescent="0.2">
      <c r="A11" s="1">
        <v>42461</v>
      </c>
      <c r="B11">
        <v>27.2884412296665</v>
      </c>
    </row>
    <row r="12" spans="1:5" x14ac:dyDescent="0.2">
      <c r="A12" s="1">
        <v>42465</v>
      </c>
      <c r="B12">
        <v>26.841245563903492</v>
      </c>
    </row>
    <row r="13" spans="1:5" x14ac:dyDescent="0.2">
      <c r="A13" s="1">
        <v>42466</v>
      </c>
      <c r="B13">
        <v>26.816994047880751</v>
      </c>
    </row>
    <row r="14" spans="1:5" x14ac:dyDescent="0.2">
      <c r="A14" s="1">
        <v>42467</v>
      </c>
      <c r="B14">
        <v>25.62536652433111</v>
      </c>
    </row>
    <row r="15" spans="1:5" x14ac:dyDescent="0.2">
      <c r="A15" s="1">
        <v>42468</v>
      </c>
      <c r="B15">
        <v>24.530404634603471</v>
      </c>
    </row>
    <row r="16" spans="1:5" x14ac:dyDescent="0.2">
      <c r="A16" s="1">
        <v>42471</v>
      </c>
      <c r="B16">
        <v>24.220405707429361</v>
      </c>
    </row>
    <row r="17" spans="1:2" x14ac:dyDescent="0.2">
      <c r="A17" s="1">
        <v>42472</v>
      </c>
      <c r="B17">
        <v>23.49560565089368</v>
      </c>
    </row>
    <row r="18" spans="1:2" x14ac:dyDescent="0.2">
      <c r="A18" s="1">
        <v>42473</v>
      </c>
      <c r="B18">
        <v>23.364200461883879</v>
      </c>
    </row>
    <row r="19" spans="1:2" x14ac:dyDescent="0.2">
      <c r="A19" s="1">
        <v>42474</v>
      </c>
      <c r="B19">
        <v>22.819188266364911</v>
      </c>
    </row>
    <row r="20" spans="1:2" x14ac:dyDescent="0.2">
      <c r="A20" s="1">
        <v>42475</v>
      </c>
      <c r="B20">
        <v>22.84552001734486</v>
      </c>
    </row>
    <row r="21" spans="1:2" x14ac:dyDescent="0.2">
      <c r="A21" s="1">
        <v>42478</v>
      </c>
      <c r="B21">
        <v>23.051981009197782</v>
      </c>
    </row>
    <row r="22" spans="1:2" x14ac:dyDescent="0.2">
      <c r="A22" s="1">
        <v>42479</v>
      </c>
      <c r="B22">
        <v>22.388121041411491</v>
      </c>
    </row>
    <row r="23" spans="1:2" x14ac:dyDescent="0.2">
      <c r="A23" s="1">
        <v>42480</v>
      </c>
      <c r="B23">
        <v>24.29937538603161</v>
      </c>
    </row>
    <row r="24" spans="1:2" x14ac:dyDescent="0.2">
      <c r="A24" s="1">
        <v>42481</v>
      </c>
      <c r="B24">
        <v>23.402681223472889</v>
      </c>
    </row>
    <row r="25" spans="1:2" x14ac:dyDescent="0.2">
      <c r="A25" s="1">
        <v>42482</v>
      </c>
      <c r="B25">
        <v>22.59346843618497</v>
      </c>
    </row>
    <row r="26" spans="1:2" x14ac:dyDescent="0.2">
      <c r="A26" s="1">
        <v>42485</v>
      </c>
      <c r="B26">
        <v>22.071992961762291</v>
      </c>
    </row>
    <row r="27" spans="1:2" x14ac:dyDescent="0.2">
      <c r="A27" s="1">
        <v>42486</v>
      </c>
      <c r="B27">
        <v>22.460905529243171</v>
      </c>
    </row>
    <row r="28" spans="1:2" x14ac:dyDescent="0.2">
      <c r="A28" s="1">
        <v>42487</v>
      </c>
      <c r="B28">
        <v>22.431232317090341</v>
      </c>
    </row>
    <row r="29" spans="1:2" x14ac:dyDescent="0.2">
      <c r="A29" s="1">
        <v>42488</v>
      </c>
      <c r="B29">
        <v>21.428763354314881</v>
      </c>
    </row>
    <row r="30" spans="1:2" x14ac:dyDescent="0.2">
      <c r="A30" s="1">
        <v>42489</v>
      </c>
      <c r="B30">
        <v>20.630430518495949</v>
      </c>
    </row>
    <row r="31" spans="1:2" x14ac:dyDescent="0.2">
      <c r="A31" s="1">
        <v>42493</v>
      </c>
      <c r="B31">
        <v>20.582450478348111</v>
      </c>
    </row>
    <row r="32" spans="1:2" x14ac:dyDescent="0.2">
      <c r="A32" s="1">
        <v>42494</v>
      </c>
      <c r="B32">
        <v>20.040708122573069</v>
      </c>
    </row>
    <row r="33" spans="1:2" x14ac:dyDescent="0.2">
      <c r="A33" s="1">
        <v>42495</v>
      </c>
      <c r="B33">
        <v>19.73443165260306</v>
      </c>
    </row>
    <row r="34" spans="1:2" x14ac:dyDescent="0.2">
      <c r="A34" s="1">
        <v>42496</v>
      </c>
      <c r="B34">
        <v>20.445680510281601</v>
      </c>
    </row>
    <row r="35" spans="1:2" x14ac:dyDescent="0.2">
      <c r="A35" s="1">
        <v>42499</v>
      </c>
      <c r="B35">
        <v>23.11204323399858</v>
      </c>
    </row>
    <row r="36" spans="1:2" x14ac:dyDescent="0.2">
      <c r="A36" s="1">
        <v>42500</v>
      </c>
      <c r="B36">
        <v>21.971525502906641</v>
      </c>
    </row>
    <row r="37" spans="1:2" x14ac:dyDescent="0.2">
      <c r="A37" s="1">
        <v>42501</v>
      </c>
      <c r="B37">
        <v>20.60664804675255</v>
      </c>
    </row>
    <row r="38" spans="1:2" x14ac:dyDescent="0.2">
      <c r="A38" s="1">
        <v>42502</v>
      </c>
      <c r="B38">
        <v>20.678806893052919</v>
      </c>
    </row>
    <row r="39" spans="1:2" x14ac:dyDescent="0.2">
      <c r="A39" s="1">
        <v>42503</v>
      </c>
      <c r="B39">
        <v>20.019540973663901</v>
      </c>
    </row>
    <row r="40" spans="1:2" x14ac:dyDescent="0.2">
      <c r="A40" s="1">
        <v>42506</v>
      </c>
      <c r="B40">
        <v>19.7380069608501</v>
      </c>
    </row>
    <row r="41" spans="1:2" x14ac:dyDescent="0.2">
      <c r="A41" s="1">
        <v>42507</v>
      </c>
      <c r="B41">
        <v>19.292472371535681</v>
      </c>
    </row>
    <row r="42" spans="1:2" x14ac:dyDescent="0.2">
      <c r="A42" s="1">
        <v>42508</v>
      </c>
      <c r="B42">
        <v>20.947435897076961</v>
      </c>
    </row>
    <row r="43" spans="1:2" x14ac:dyDescent="0.2">
      <c r="A43" s="1">
        <v>42509</v>
      </c>
      <c r="B43">
        <v>19.811012639517099</v>
      </c>
    </row>
    <row r="44" spans="1:2" x14ac:dyDescent="0.2">
      <c r="A44" s="1">
        <v>42510</v>
      </c>
      <c r="B44">
        <v>18.698322543574559</v>
      </c>
    </row>
    <row r="45" spans="1:2" x14ac:dyDescent="0.2">
      <c r="A45" s="1">
        <v>42513</v>
      </c>
      <c r="B45">
        <v>17.053589797010641</v>
      </c>
    </row>
    <row r="46" spans="1:2" x14ac:dyDescent="0.2">
      <c r="A46" s="1">
        <v>42514</v>
      </c>
      <c r="B46">
        <v>16.833812728349208</v>
      </c>
    </row>
    <row r="47" spans="1:2" x14ac:dyDescent="0.2">
      <c r="A47" s="1">
        <v>42515</v>
      </c>
      <c r="B47">
        <v>17.51608987987753</v>
      </c>
    </row>
    <row r="48" spans="1:2" x14ac:dyDescent="0.2">
      <c r="A48" s="1">
        <v>42516</v>
      </c>
      <c r="B48">
        <v>16.050723053952719</v>
      </c>
    </row>
    <row r="49" spans="1:2" x14ac:dyDescent="0.2">
      <c r="A49" s="1">
        <v>42517</v>
      </c>
      <c r="B49">
        <v>15.5058365507911</v>
      </c>
    </row>
    <row r="50" spans="1:2" x14ac:dyDescent="0.2">
      <c r="A50" s="1">
        <v>42520</v>
      </c>
      <c r="B50">
        <v>15.83562089815149</v>
      </c>
    </row>
    <row r="51" spans="1:2" x14ac:dyDescent="0.2">
      <c r="A51" s="1">
        <v>42521</v>
      </c>
      <c r="B51">
        <v>18.25174528434292</v>
      </c>
    </row>
    <row r="52" spans="1:2" x14ac:dyDescent="0.2">
      <c r="A52" s="1">
        <v>42522</v>
      </c>
      <c r="B52">
        <v>18.15116013809811</v>
      </c>
    </row>
    <row r="53" spans="1:2" x14ac:dyDescent="0.2">
      <c r="A53" s="1">
        <v>42523</v>
      </c>
      <c r="B53">
        <v>17.8864494320866</v>
      </c>
    </row>
    <row r="54" spans="1:2" x14ac:dyDescent="0.2">
      <c r="A54" s="1">
        <v>42524</v>
      </c>
      <c r="B54">
        <v>17.987945577103979</v>
      </c>
    </row>
    <row r="55" spans="1:2" x14ac:dyDescent="0.2">
      <c r="A55" s="1">
        <v>42527</v>
      </c>
      <c r="B55">
        <v>18.139799958651381</v>
      </c>
    </row>
    <row r="56" spans="1:2" x14ac:dyDescent="0.2">
      <c r="A56" s="1">
        <v>42528</v>
      </c>
      <c r="B56">
        <v>17.964467503425841</v>
      </c>
    </row>
    <row r="57" spans="1:2" x14ac:dyDescent="0.2">
      <c r="A57" s="1">
        <v>42529</v>
      </c>
      <c r="B57">
        <v>18.245864938483731</v>
      </c>
    </row>
    <row r="58" spans="1:2" x14ac:dyDescent="0.2">
      <c r="A58" s="1">
        <v>42534</v>
      </c>
      <c r="B58">
        <v>19.501890698243081</v>
      </c>
    </row>
    <row r="59" spans="1:2" x14ac:dyDescent="0.2">
      <c r="A59" s="1">
        <v>42535</v>
      </c>
      <c r="B59">
        <v>18.972669200637831</v>
      </c>
    </row>
    <row r="60" spans="1:2" x14ac:dyDescent="0.2">
      <c r="A60" s="1">
        <v>42536</v>
      </c>
      <c r="B60">
        <v>19.782844662736242</v>
      </c>
    </row>
    <row r="61" spans="1:2" x14ac:dyDescent="0.2">
      <c r="A61" s="1">
        <v>42537</v>
      </c>
      <c r="B61">
        <v>19.27874394841816</v>
      </c>
    </row>
    <row r="62" spans="1:2" x14ac:dyDescent="0.2">
      <c r="A62" s="1">
        <v>42538</v>
      </c>
      <c r="B62">
        <v>18.3344564517264</v>
      </c>
    </row>
    <row r="63" spans="1:2" x14ac:dyDescent="0.2">
      <c r="A63" s="1">
        <v>42541</v>
      </c>
      <c r="B63">
        <v>18.496889788465371</v>
      </c>
    </row>
    <row r="64" spans="1:2" x14ac:dyDescent="0.2">
      <c r="A64" s="1">
        <v>42542</v>
      </c>
      <c r="B64">
        <v>18.114867639738371</v>
      </c>
    </row>
    <row r="65" spans="1:2" x14ac:dyDescent="0.2">
      <c r="A65" s="1">
        <v>42543</v>
      </c>
      <c r="B65">
        <v>18.423324175745481</v>
      </c>
    </row>
    <row r="66" spans="1:2" x14ac:dyDescent="0.2">
      <c r="A66" s="1">
        <v>42544</v>
      </c>
      <c r="B66">
        <v>18.62731026240127</v>
      </c>
    </row>
    <row r="67" spans="1:2" x14ac:dyDescent="0.2">
      <c r="A67" s="1">
        <v>42545</v>
      </c>
      <c r="B67">
        <v>18.728969942529861</v>
      </c>
    </row>
    <row r="68" spans="1:2" x14ac:dyDescent="0.2">
      <c r="A68" s="1">
        <v>42548</v>
      </c>
      <c r="B68">
        <v>17.47262437293104</v>
      </c>
    </row>
    <row r="69" spans="1:2" x14ac:dyDescent="0.2">
      <c r="A69" s="1">
        <v>42549</v>
      </c>
      <c r="B69">
        <v>16.64059485655843</v>
      </c>
    </row>
    <row r="70" spans="1:2" x14ac:dyDescent="0.2">
      <c r="A70" s="1">
        <v>42550</v>
      </c>
      <c r="B70">
        <v>16.109888746990318</v>
      </c>
    </row>
    <row r="71" spans="1:2" x14ac:dyDescent="0.2">
      <c r="A71" s="1">
        <v>42551</v>
      </c>
      <c r="B71">
        <v>15.72323067453836</v>
      </c>
    </row>
    <row r="72" spans="1:2" x14ac:dyDescent="0.2">
      <c r="A72" s="1">
        <v>42552</v>
      </c>
      <c r="B72">
        <v>15.44046184299336</v>
      </c>
    </row>
    <row r="73" spans="1:2" x14ac:dyDescent="0.2">
      <c r="A73" s="1">
        <v>42555</v>
      </c>
      <c r="B73">
        <v>15.342167261636691</v>
      </c>
    </row>
    <row r="74" spans="1:2" x14ac:dyDescent="0.2">
      <c r="A74" s="1">
        <v>42556</v>
      </c>
      <c r="B74">
        <v>15.857699024188589</v>
      </c>
    </row>
    <row r="75" spans="1:2" x14ac:dyDescent="0.2">
      <c r="A75" s="1">
        <v>42557</v>
      </c>
      <c r="B75">
        <v>15.833725360643371</v>
      </c>
    </row>
    <row r="76" spans="1:2" x14ac:dyDescent="0.2">
      <c r="A76" s="1">
        <v>42558</v>
      </c>
      <c r="B76">
        <v>16.464794071060641</v>
      </c>
    </row>
    <row r="77" spans="1:2" x14ac:dyDescent="0.2">
      <c r="A77" s="1">
        <v>42559</v>
      </c>
      <c r="B77">
        <v>16.44275392765195</v>
      </c>
    </row>
    <row r="78" spans="1:2" x14ac:dyDescent="0.2">
      <c r="A78" s="1">
        <v>42562</v>
      </c>
      <c r="B78">
        <v>16.221531940136678</v>
      </c>
    </row>
    <row r="79" spans="1:2" x14ac:dyDescent="0.2">
      <c r="A79" s="1">
        <v>42563</v>
      </c>
      <c r="B79">
        <v>15.8881279022856</v>
      </c>
    </row>
    <row r="80" spans="1:2" x14ac:dyDescent="0.2">
      <c r="A80" s="1">
        <v>42564</v>
      </c>
      <c r="B80">
        <v>17.001678326585239</v>
      </c>
    </row>
    <row r="81" spans="1:2" x14ac:dyDescent="0.2">
      <c r="A81" s="1">
        <v>42565</v>
      </c>
      <c r="B81">
        <v>16.763917748524619</v>
      </c>
    </row>
    <row r="82" spans="1:2" x14ac:dyDescent="0.2">
      <c r="A82" s="1">
        <v>42566</v>
      </c>
      <c r="B82">
        <v>16.879965927005081</v>
      </c>
    </row>
    <row r="83" spans="1:2" x14ac:dyDescent="0.2">
      <c r="A83" s="1">
        <v>42569</v>
      </c>
      <c r="B83">
        <v>17.597651619419711</v>
      </c>
    </row>
    <row r="84" spans="1:2" x14ac:dyDescent="0.2">
      <c r="A84" s="1">
        <v>42570</v>
      </c>
      <c r="B84">
        <v>17.541079481218841</v>
      </c>
    </row>
    <row r="85" spans="1:2" x14ac:dyDescent="0.2">
      <c r="A85" s="1">
        <v>42571</v>
      </c>
      <c r="B85">
        <v>18.954268897964202</v>
      </c>
    </row>
    <row r="86" spans="1:2" x14ac:dyDescent="0.2">
      <c r="A86" s="1">
        <v>42572</v>
      </c>
      <c r="B86">
        <v>18.730076617253641</v>
      </c>
    </row>
    <row r="87" spans="1:2" x14ac:dyDescent="0.2">
      <c r="A87" s="1">
        <v>42573</v>
      </c>
      <c r="B87">
        <v>18.186072676438119</v>
      </c>
    </row>
    <row r="88" spans="1:2" x14ac:dyDescent="0.2">
      <c r="A88" s="1">
        <v>42576</v>
      </c>
      <c r="B88">
        <v>17.10778076798907</v>
      </c>
    </row>
    <row r="89" spans="1:2" x14ac:dyDescent="0.2">
      <c r="A89" s="1">
        <v>42577</v>
      </c>
      <c r="B89">
        <v>16.578842772931939</v>
      </c>
    </row>
    <row r="90" spans="1:2" x14ac:dyDescent="0.2">
      <c r="A90" s="1">
        <v>42578</v>
      </c>
      <c r="B90">
        <v>17.275345326610989</v>
      </c>
    </row>
    <row r="91" spans="1:2" x14ac:dyDescent="0.2">
      <c r="A91" s="1">
        <v>42579</v>
      </c>
      <c r="B91">
        <v>16.154126797131031</v>
      </c>
    </row>
    <row r="92" spans="1:2" x14ac:dyDescent="0.2">
      <c r="A92" s="1">
        <v>42580</v>
      </c>
      <c r="B92">
        <v>16.04122830209981</v>
      </c>
    </row>
    <row r="93" spans="1:2" x14ac:dyDescent="0.2">
      <c r="A93" s="1">
        <v>42583</v>
      </c>
      <c r="B93">
        <v>16.10232325063598</v>
      </c>
    </row>
    <row r="94" spans="1:2" x14ac:dyDescent="0.2">
      <c r="A94" s="1">
        <v>42584</v>
      </c>
      <c r="B94">
        <v>15.60780260420964</v>
      </c>
    </row>
    <row r="95" spans="1:2" x14ac:dyDescent="0.2">
      <c r="A95" s="1">
        <v>42585</v>
      </c>
      <c r="B95">
        <v>15.213523025808049</v>
      </c>
    </row>
    <row r="96" spans="1:2" x14ac:dyDescent="0.2">
      <c r="A96" s="1">
        <v>42586</v>
      </c>
      <c r="B96">
        <v>14.850997577499321</v>
      </c>
    </row>
    <row r="97" spans="1:2" x14ac:dyDescent="0.2">
      <c r="A97" s="1">
        <v>42587</v>
      </c>
      <c r="B97">
        <v>14.58507296276073</v>
      </c>
    </row>
    <row r="98" spans="1:2" x14ac:dyDescent="0.2">
      <c r="A98" s="1">
        <v>42590</v>
      </c>
      <c r="B98">
        <v>14.488808487921631</v>
      </c>
    </row>
    <row r="99" spans="1:2" x14ac:dyDescent="0.2">
      <c r="A99" s="1">
        <v>42591</v>
      </c>
      <c r="B99">
        <v>14.053761034550311</v>
      </c>
    </row>
    <row r="100" spans="1:2" x14ac:dyDescent="0.2">
      <c r="A100" s="1">
        <v>42592</v>
      </c>
      <c r="B100">
        <v>14.090482447578619</v>
      </c>
    </row>
    <row r="101" spans="1:2" x14ac:dyDescent="0.2">
      <c r="A101" s="1">
        <v>42593</v>
      </c>
      <c r="B101">
        <v>14.22185475098518</v>
      </c>
    </row>
    <row r="102" spans="1:2" x14ac:dyDescent="0.2">
      <c r="A102" s="1">
        <v>42594</v>
      </c>
      <c r="B102">
        <v>14.24598829799428</v>
      </c>
    </row>
    <row r="103" spans="1:2" x14ac:dyDescent="0.2">
      <c r="A103" s="1">
        <v>42597</v>
      </c>
      <c r="B103">
        <v>16.428515778207011</v>
      </c>
    </row>
    <row r="104" spans="1:2" x14ac:dyDescent="0.2">
      <c r="A104" s="1">
        <v>42598</v>
      </c>
      <c r="B104">
        <v>16.629019853433441</v>
      </c>
    </row>
    <row r="105" spans="1:2" x14ac:dyDescent="0.2">
      <c r="A105" s="1">
        <v>42599</v>
      </c>
      <c r="B105">
        <v>19.738204949013159</v>
      </c>
    </row>
    <row r="106" spans="1:2" x14ac:dyDescent="0.2">
      <c r="A106" s="1">
        <v>42600</v>
      </c>
      <c r="B106">
        <v>19.855271527116859</v>
      </c>
    </row>
    <row r="107" spans="1:2" x14ac:dyDescent="0.2">
      <c r="A107" s="1">
        <v>42601</v>
      </c>
      <c r="B107">
        <v>19.747382241039929</v>
      </c>
    </row>
    <row r="108" spans="1:2" x14ac:dyDescent="0.2">
      <c r="A108" s="1">
        <v>42604</v>
      </c>
      <c r="B108">
        <v>19.19922923796123</v>
      </c>
    </row>
    <row r="109" spans="1:2" x14ac:dyDescent="0.2">
      <c r="A109" s="1">
        <v>42605</v>
      </c>
      <c r="B109">
        <v>18.583419329665379</v>
      </c>
    </row>
    <row r="110" spans="1:2" x14ac:dyDescent="0.2">
      <c r="A110" s="1">
        <v>42606</v>
      </c>
      <c r="B110">
        <v>18.369171461318778</v>
      </c>
    </row>
    <row r="111" spans="1:2" x14ac:dyDescent="0.2">
      <c r="A111" s="1">
        <v>42607</v>
      </c>
      <c r="B111">
        <v>18.218793165055359</v>
      </c>
    </row>
    <row r="112" spans="1:2" x14ac:dyDescent="0.2">
      <c r="A112" s="1">
        <v>42608</v>
      </c>
      <c r="B112">
        <v>17.90549375644019</v>
      </c>
    </row>
    <row r="113" spans="1:2" x14ac:dyDescent="0.2">
      <c r="A113" s="1">
        <v>42611</v>
      </c>
      <c r="B113">
        <v>17.511861990697589</v>
      </c>
    </row>
    <row r="114" spans="1:2" x14ac:dyDescent="0.2">
      <c r="A114" s="1">
        <v>42612</v>
      </c>
      <c r="B114">
        <v>17.426785585963142</v>
      </c>
    </row>
    <row r="115" spans="1:2" x14ac:dyDescent="0.2">
      <c r="A115" s="1">
        <v>42613</v>
      </c>
      <c r="B115">
        <v>17.715405539586861</v>
      </c>
    </row>
    <row r="116" spans="1:2" x14ac:dyDescent="0.2">
      <c r="A116" s="1">
        <v>42614</v>
      </c>
      <c r="B116">
        <v>17.71071328818088</v>
      </c>
    </row>
    <row r="117" spans="1:2" x14ac:dyDescent="0.2">
      <c r="A117" s="1">
        <v>42615</v>
      </c>
      <c r="B117">
        <v>17.670692759799021</v>
      </c>
    </row>
    <row r="118" spans="1:2" x14ac:dyDescent="0.2">
      <c r="A118" s="1">
        <v>42618</v>
      </c>
      <c r="B118">
        <v>17.56063278890651</v>
      </c>
    </row>
    <row r="119" spans="1:2" x14ac:dyDescent="0.2">
      <c r="A119" s="1">
        <v>42619</v>
      </c>
      <c r="B119">
        <v>17.35976984666668</v>
      </c>
    </row>
    <row r="120" spans="1:2" x14ac:dyDescent="0.2">
      <c r="A120" s="1">
        <v>42620</v>
      </c>
      <c r="B120">
        <v>17.389006804970482</v>
      </c>
    </row>
    <row r="121" spans="1:2" x14ac:dyDescent="0.2">
      <c r="A121" s="1">
        <v>42621</v>
      </c>
      <c r="B121">
        <v>16.955970506412541</v>
      </c>
    </row>
    <row r="122" spans="1:2" x14ac:dyDescent="0.2">
      <c r="A122" s="1">
        <v>42622</v>
      </c>
      <c r="B122">
        <v>15.9185427058393</v>
      </c>
    </row>
    <row r="123" spans="1:2" x14ac:dyDescent="0.2">
      <c r="A123" s="1">
        <v>42625</v>
      </c>
      <c r="B123">
        <v>16.138974685704369</v>
      </c>
    </row>
    <row r="124" spans="1:2" x14ac:dyDescent="0.2">
      <c r="A124" s="1">
        <v>42626</v>
      </c>
      <c r="B124">
        <v>14.931419157158039</v>
      </c>
    </row>
    <row r="125" spans="1:2" x14ac:dyDescent="0.2">
      <c r="A125" s="1">
        <v>42627</v>
      </c>
      <c r="B125">
        <v>14.918202647453681</v>
      </c>
    </row>
    <row r="126" spans="1:2" x14ac:dyDescent="0.2">
      <c r="A126" s="1">
        <v>42632</v>
      </c>
      <c r="B126">
        <v>14.762930254922839</v>
      </c>
    </row>
    <row r="127" spans="1:2" x14ac:dyDescent="0.2">
      <c r="A127" s="1">
        <v>42633</v>
      </c>
      <c r="B127">
        <v>14.36821709075668</v>
      </c>
    </row>
    <row r="128" spans="1:2" x14ac:dyDescent="0.2">
      <c r="A128" s="1">
        <v>42634</v>
      </c>
      <c r="B128">
        <v>15.644030479141261</v>
      </c>
    </row>
    <row r="129" spans="1:2" x14ac:dyDescent="0.2">
      <c r="A129" s="1">
        <v>42635</v>
      </c>
      <c r="B129">
        <v>14.49700921853943</v>
      </c>
    </row>
    <row r="130" spans="1:2" x14ac:dyDescent="0.2">
      <c r="A130" s="1">
        <v>42636</v>
      </c>
      <c r="B130">
        <v>13.94282839225839</v>
      </c>
    </row>
    <row r="131" spans="1:2" x14ac:dyDescent="0.2">
      <c r="A131" s="1">
        <v>42639</v>
      </c>
      <c r="B131">
        <v>13.497211049487211</v>
      </c>
    </row>
    <row r="132" spans="1:2" x14ac:dyDescent="0.2">
      <c r="A132" s="1">
        <v>42640</v>
      </c>
      <c r="B132">
        <v>13.75179148252683</v>
      </c>
    </row>
    <row r="133" spans="1:2" x14ac:dyDescent="0.2">
      <c r="A133" s="1">
        <v>42641</v>
      </c>
      <c r="B133">
        <v>13.86117112050859</v>
      </c>
    </row>
    <row r="134" spans="1:2" x14ac:dyDescent="0.2">
      <c r="A134" s="1">
        <v>42642</v>
      </c>
      <c r="B134">
        <v>12.55642340711438</v>
      </c>
    </row>
    <row r="135" spans="1:2" x14ac:dyDescent="0.2">
      <c r="A135" s="1">
        <v>42643</v>
      </c>
      <c r="B135">
        <v>13.634877360184881</v>
      </c>
    </row>
    <row r="136" spans="1:2" x14ac:dyDescent="0.2">
      <c r="A136" s="1">
        <v>42653</v>
      </c>
      <c r="B136">
        <v>14.0997668449454</v>
      </c>
    </row>
    <row r="137" spans="1:2" x14ac:dyDescent="0.2">
      <c r="A137" s="1">
        <v>42654</v>
      </c>
      <c r="B137">
        <v>13.45009819535314</v>
      </c>
    </row>
    <row r="138" spans="1:2" x14ac:dyDescent="0.2">
      <c r="A138" s="1">
        <v>42655</v>
      </c>
      <c r="B138">
        <v>13.455222374107001</v>
      </c>
    </row>
    <row r="139" spans="1:2" x14ac:dyDescent="0.2">
      <c r="A139" s="1">
        <v>42656</v>
      </c>
      <c r="B139">
        <v>13.163347106071839</v>
      </c>
    </row>
    <row r="140" spans="1:2" x14ac:dyDescent="0.2">
      <c r="A140" s="1">
        <v>42657</v>
      </c>
      <c r="B140">
        <v>12.59093455625869</v>
      </c>
    </row>
    <row r="141" spans="1:2" x14ac:dyDescent="0.2">
      <c r="A141" s="1">
        <v>42660</v>
      </c>
      <c r="B141">
        <v>12.37596193907024</v>
      </c>
    </row>
    <row r="142" spans="1:2" x14ac:dyDescent="0.2">
      <c r="A142" s="1">
        <v>42661</v>
      </c>
      <c r="B142">
        <v>12.46340364231707</v>
      </c>
    </row>
    <row r="143" spans="1:2" x14ac:dyDescent="0.2">
      <c r="A143" s="1">
        <v>42662</v>
      </c>
      <c r="B143">
        <v>13.96268328597499</v>
      </c>
    </row>
    <row r="144" spans="1:2" x14ac:dyDescent="0.2">
      <c r="A144" s="1">
        <v>42663</v>
      </c>
      <c r="B144">
        <v>13.34949198447122</v>
      </c>
    </row>
    <row r="145" spans="1:2" x14ac:dyDescent="0.2">
      <c r="A145" s="1">
        <v>42664</v>
      </c>
      <c r="B145">
        <v>13.11933483452251</v>
      </c>
    </row>
    <row r="146" spans="1:2" x14ac:dyDescent="0.2">
      <c r="A146" s="1">
        <v>42667</v>
      </c>
      <c r="B146">
        <v>13.24907148406561</v>
      </c>
    </row>
    <row r="147" spans="1:2" x14ac:dyDescent="0.2">
      <c r="A147" s="1">
        <v>42668</v>
      </c>
      <c r="B147">
        <v>13.523408260026541</v>
      </c>
    </row>
    <row r="148" spans="1:2" x14ac:dyDescent="0.2">
      <c r="A148" s="1">
        <v>42669</v>
      </c>
      <c r="B148">
        <v>13.79409704649377</v>
      </c>
    </row>
    <row r="149" spans="1:2" x14ac:dyDescent="0.2">
      <c r="A149" s="1">
        <v>42670</v>
      </c>
      <c r="B149">
        <v>13.474756249796391</v>
      </c>
    </row>
    <row r="150" spans="1:2" x14ac:dyDescent="0.2">
      <c r="A150" s="1">
        <v>42671</v>
      </c>
      <c r="B150">
        <v>13.58615639962024</v>
      </c>
    </row>
    <row r="151" spans="1:2" x14ac:dyDescent="0.2">
      <c r="A151" s="1">
        <v>42674</v>
      </c>
      <c r="B151">
        <v>13.62596303773525</v>
      </c>
    </row>
    <row r="152" spans="1:2" x14ac:dyDescent="0.2">
      <c r="A152" s="1">
        <v>42675</v>
      </c>
      <c r="B152">
        <v>13.803680575864989</v>
      </c>
    </row>
    <row r="153" spans="1:2" x14ac:dyDescent="0.2">
      <c r="A153" s="1">
        <v>42676</v>
      </c>
      <c r="B153">
        <v>14.20785333823701</v>
      </c>
    </row>
    <row r="154" spans="1:2" x14ac:dyDescent="0.2">
      <c r="A154" s="1">
        <v>42677</v>
      </c>
      <c r="B154">
        <v>15.06754635743777</v>
      </c>
    </row>
    <row r="155" spans="1:2" x14ac:dyDescent="0.2">
      <c r="A155" s="1">
        <v>42678</v>
      </c>
      <c r="B155">
        <v>15.169559275507151</v>
      </c>
    </row>
    <row r="156" spans="1:2" x14ac:dyDescent="0.2">
      <c r="A156" s="1">
        <v>42681</v>
      </c>
      <c r="B156">
        <v>16.297894497429709</v>
      </c>
    </row>
    <row r="157" spans="1:2" x14ac:dyDescent="0.2">
      <c r="A157" s="1">
        <v>42682</v>
      </c>
      <c r="B157">
        <v>16.036861316297841</v>
      </c>
    </row>
    <row r="158" spans="1:2" x14ac:dyDescent="0.2">
      <c r="A158" s="1">
        <v>42683</v>
      </c>
      <c r="B158">
        <v>15.635209011395929</v>
      </c>
    </row>
    <row r="159" spans="1:2" x14ac:dyDescent="0.2">
      <c r="A159" s="1">
        <v>42684</v>
      </c>
      <c r="B159">
        <v>14.199984885662969</v>
      </c>
    </row>
    <row r="160" spans="1:2" x14ac:dyDescent="0.2">
      <c r="A160" s="1">
        <v>42685</v>
      </c>
      <c r="B160">
        <v>13.83848499235024</v>
      </c>
    </row>
    <row r="161" spans="1:2" x14ac:dyDescent="0.2">
      <c r="A161" s="1">
        <v>42688</v>
      </c>
      <c r="B161">
        <v>14.451414498816799</v>
      </c>
    </row>
    <row r="162" spans="1:2" x14ac:dyDescent="0.2">
      <c r="A162" s="1">
        <v>42689</v>
      </c>
      <c r="B162">
        <v>14.42347721939783</v>
      </c>
    </row>
    <row r="163" spans="1:2" x14ac:dyDescent="0.2">
      <c r="A163" s="1">
        <v>42690</v>
      </c>
      <c r="B163">
        <v>16.616977150197521</v>
      </c>
    </row>
    <row r="164" spans="1:2" x14ac:dyDescent="0.2">
      <c r="A164" s="1">
        <v>42691</v>
      </c>
      <c r="B164">
        <v>16.079395943459911</v>
      </c>
    </row>
    <row r="165" spans="1:2" x14ac:dyDescent="0.2">
      <c r="A165" s="1">
        <v>42692</v>
      </c>
      <c r="B165">
        <v>15.69943719838095</v>
      </c>
    </row>
    <row r="166" spans="1:2" x14ac:dyDescent="0.2">
      <c r="A166" s="1">
        <v>42695</v>
      </c>
      <c r="B166">
        <v>14.582351082490931</v>
      </c>
    </row>
    <row r="167" spans="1:2" x14ac:dyDescent="0.2">
      <c r="A167" s="1">
        <v>42696</v>
      </c>
      <c r="B167">
        <v>15.201093706449219</v>
      </c>
    </row>
    <row r="168" spans="1:2" x14ac:dyDescent="0.2">
      <c r="A168" s="1">
        <v>42697</v>
      </c>
      <c r="B168">
        <v>15.171928866614749</v>
      </c>
    </row>
    <row r="169" spans="1:2" x14ac:dyDescent="0.2">
      <c r="A169" s="1">
        <v>42698</v>
      </c>
      <c r="B169">
        <v>14.63649373143531</v>
      </c>
    </row>
    <row r="170" spans="1:2" x14ac:dyDescent="0.2">
      <c r="A170" s="1">
        <v>42699</v>
      </c>
      <c r="B170">
        <v>14.33570482457049</v>
      </c>
    </row>
    <row r="171" spans="1:2" x14ac:dyDescent="0.2">
      <c r="A171" s="1">
        <v>42702</v>
      </c>
      <c r="B171">
        <v>15.636347820573929</v>
      </c>
    </row>
    <row r="172" spans="1:2" x14ac:dyDescent="0.2">
      <c r="A172" s="1">
        <v>42703</v>
      </c>
      <c r="B172">
        <v>14.892137601306519</v>
      </c>
    </row>
    <row r="173" spans="1:2" x14ac:dyDescent="0.2">
      <c r="A173" s="1">
        <v>42704</v>
      </c>
      <c r="B173">
        <v>16.407224469304101</v>
      </c>
    </row>
    <row r="174" spans="1:2" x14ac:dyDescent="0.2">
      <c r="A174" s="1">
        <v>42705</v>
      </c>
      <c r="B174">
        <v>15.83525946149155</v>
      </c>
    </row>
    <row r="175" spans="1:2" x14ac:dyDescent="0.2">
      <c r="A175" s="1">
        <v>42706</v>
      </c>
      <c r="B175">
        <v>16.193050606248519</v>
      </c>
    </row>
    <row r="176" spans="1:2" x14ac:dyDescent="0.2">
      <c r="A176" s="1">
        <v>42709</v>
      </c>
      <c r="B176">
        <v>16.331891599146541</v>
      </c>
    </row>
    <row r="177" spans="1:2" x14ac:dyDescent="0.2">
      <c r="A177" s="1">
        <v>42710</v>
      </c>
      <c r="B177">
        <v>15.67643835672612</v>
      </c>
    </row>
    <row r="178" spans="1:2" x14ac:dyDescent="0.2">
      <c r="A178" s="1">
        <v>42711</v>
      </c>
      <c r="B178">
        <v>15.137879990648109</v>
      </c>
    </row>
    <row r="179" spans="1:2" x14ac:dyDescent="0.2">
      <c r="A179" s="1">
        <v>42712</v>
      </c>
      <c r="B179">
        <v>14.13064003886206</v>
      </c>
    </row>
    <row r="180" spans="1:2" x14ac:dyDescent="0.2">
      <c r="A180" s="1">
        <v>42713</v>
      </c>
      <c r="B180">
        <v>14.55246313832513</v>
      </c>
    </row>
    <row r="181" spans="1:2" x14ac:dyDescent="0.2">
      <c r="A181" s="1">
        <v>42716</v>
      </c>
      <c r="B181">
        <v>15.42049943194008</v>
      </c>
    </row>
    <row r="182" spans="1:2" x14ac:dyDescent="0.2">
      <c r="A182" s="1">
        <v>42717</v>
      </c>
      <c r="B182">
        <v>15.4354862150157</v>
      </c>
    </row>
    <row r="183" spans="1:2" x14ac:dyDescent="0.2">
      <c r="A183" s="1">
        <v>42718</v>
      </c>
      <c r="B183">
        <v>15.858116696586601</v>
      </c>
    </row>
    <row r="184" spans="1:2" x14ac:dyDescent="0.2">
      <c r="A184" s="1">
        <v>42719</v>
      </c>
      <c r="B184">
        <v>17.178869624688179</v>
      </c>
    </row>
    <row r="185" spans="1:2" x14ac:dyDescent="0.2">
      <c r="A185" s="1">
        <v>42720</v>
      </c>
      <c r="B185">
        <v>16.461067647478639</v>
      </c>
    </row>
    <row r="186" spans="1:2" x14ac:dyDescent="0.2">
      <c r="A186" s="1">
        <v>42723</v>
      </c>
      <c r="B186">
        <v>16.589610696144099</v>
      </c>
    </row>
    <row r="187" spans="1:2" x14ac:dyDescent="0.2">
      <c r="A187" s="1">
        <v>42724</v>
      </c>
      <c r="B187">
        <v>17.726608490695511</v>
      </c>
    </row>
    <row r="188" spans="1:2" x14ac:dyDescent="0.2">
      <c r="A188" s="1">
        <v>42725</v>
      </c>
      <c r="B188">
        <v>18.305800639389592</v>
      </c>
    </row>
    <row r="189" spans="1:2" x14ac:dyDescent="0.2">
      <c r="A189" s="1">
        <v>42726</v>
      </c>
      <c r="B189">
        <v>18.36699368874056</v>
      </c>
    </row>
    <row r="190" spans="1:2" x14ac:dyDescent="0.2">
      <c r="A190" s="1">
        <v>42727</v>
      </c>
      <c r="B190">
        <v>17.677256653196221</v>
      </c>
    </row>
    <row r="191" spans="1:2" x14ac:dyDescent="0.2">
      <c r="A191" s="1">
        <v>42730</v>
      </c>
      <c r="B191">
        <v>17.33412128472969</v>
      </c>
    </row>
    <row r="192" spans="1:2" x14ac:dyDescent="0.2">
      <c r="A192" s="1">
        <v>42731</v>
      </c>
      <c r="B192">
        <v>18.02901354727139</v>
      </c>
    </row>
    <row r="193" spans="1:2" x14ac:dyDescent="0.2">
      <c r="A193" s="1">
        <v>42732</v>
      </c>
      <c r="B193">
        <v>17.895475386005359</v>
      </c>
    </row>
    <row r="194" spans="1:2" x14ac:dyDescent="0.2">
      <c r="A194" s="1">
        <v>42733</v>
      </c>
      <c r="B194">
        <v>16.97853809554708</v>
      </c>
    </row>
    <row r="195" spans="1:2" x14ac:dyDescent="0.2">
      <c r="A195" s="1">
        <v>42734</v>
      </c>
      <c r="B195">
        <v>16.86438639808669</v>
      </c>
    </row>
    <row r="196" spans="1:2" x14ac:dyDescent="0.2">
      <c r="A196" s="1">
        <v>42738</v>
      </c>
      <c r="B196">
        <v>15.87418225378409</v>
      </c>
    </row>
    <row r="197" spans="1:2" x14ac:dyDescent="0.2">
      <c r="A197" s="1">
        <v>42739</v>
      </c>
      <c r="B197">
        <v>14.75034768428756</v>
      </c>
    </row>
    <row r="198" spans="1:2" x14ac:dyDescent="0.2">
      <c r="A198" s="1">
        <v>42740</v>
      </c>
      <c r="B198">
        <v>14.7391674277369</v>
      </c>
    </row>
    <row r="199" spans="1:2" x14ac:dyDescent="0.2">
      <c r="A199" s="1">
        <v>42741</v>
      </c>
      <c r="B199">
        <v>14.4765760036163</v>
      </c>
    </row>
    <row r="200" spans="1:2" x14ac:dyDescent="0.2">
      <c r="A200" s="1">
        <v>42744</v>
      </c>
      <c r="B200">
        <v>14.14138757087451</v>
      </c>
    </row>
    <row r="201" spans="1:2" x14ac:dyDescent="0.2">
      <c r="A201" s="1">
        <v>42745</v>
      </c>
      <c r="B201">
        <v>13.829717403769941</v>
      </c>
    </row>
    <row r="202" spans="1:2" x14ac:dyDescent="0.2">
      <c r="A202" s="1">
        <v>42746</v>
      </c>
      <c r="B202">
        <v>13.768315332198449</v>
      </c>
    </row>
    <row r="203" spans="1:2" x14ac:dyDescent="0.2">
      <c r="A203" s="1">
        <v>42747</v>
      </c>
      <c r="B203">
        <v>13.56887382326151</v>
      </c>
    </row>
    <row r="204" spans="1:2" x14ac:dyDescent="0.2">
      <c r="A204" s="1">
        <v>42748</v>
      </c>
      <c r="B204">
        <v>13.294660693053411</v>
      </c>
    </row>
    <row r="205" spans="1:2" x14ac:dyDescent="0.2">
      <c r="A205" s="1">
        <v>42751</v>
      </c>
      <c r="B205">
        <v>13.32489204145041</v>
      </c>
    </row>
    <row r="206" spans="1:2" x14ac:dyDescent="0.2">
      <c r="A206" s="1">
        <v>42752</v>
      </c>
      <c r="B206">
        <v>12.31574559073319</v>
      </c>
    </row>
    <row r="207" spans="1:2" x14ac:dyDescent="0.2">
      <c r="A207" s="1">
        <v>42753</v>
      </c>
      <c r="B207">
        <v>13.12169372144397</v>
      </c>
    </row>
    <row r="208" spans="1:2" x14ac:dyDescent="0.2">
      <c r="A208" s="1">
        <v>42754</v>
      </c>
      <c r="B208">
        <v>12.85892444775347</v>
      </c>
    </row>
    <row r="209" spans="1:2" x14ac:dyDescent="0.2">
      <c r="A209" s="1">
        <v>42755</v>
      </c>
      <c r="B209">
        <v>12.277738728104129</v>
      </c>
    </row>
    <row r="210" spans="1:2" x14ac:dyDescent="0.2">
      <c r="A210" s="1">
        <v>42758</v>
      </c>
      <c r="B210">
        <v>11.664391585413791</v>
      </c>
    </row>
    <row r="211" spans="1:2" x14ac:dyDescent="0.2">
      <c r="A211" s="1">
        <v>42759</v>
      </c>
      <c r="B211">
        <v>11.636713660183799</v>
      </c>
    </row>
    <row r="212" spans="1:2" x14ac:dyDescent="0.2">
      <c r="A212" s="1">
        <v>42760</v>
      </c>
      <c r="B212">
        <v>11.43827919959177</v>
      </c>
    </row>
    <row r="213" spans="1:2" x14ac:dyDescent="0.2">
      <c r="A213" s="1">
        <v>42761</v>
      </c>
      <c r="B213">
        <v>11.32427967085302</v>
      </c>
    </row>
    <row r="214" spans="1:2" x14ac:dyDescent="0.2">
      <c r="A214" s="1">
        <v>42769</v>
      </c>
      <c r="B214">
        <v>12.43487523198786</v>
      </c>
    </row>
    <row r="215" spans="1:2" x14ac:dyDescent="0.2">
      <c r="A215" s="1">
        <v>42772</v>
      </c>
      <c r="B215">
        <v>12.52273574674413</v>
      </c>
    </row>
    <row r="216" spans="1:2" x14ac:dyDescent="0.2">
      <c r="A216" s="1">
        <v>42773</v>
      </c>
      <c r="B216">
        <v>11.92470872837098</v>
      </c>
    </row>
    <row r="217" spans="1:2" x14ac:dyDescent="0.2">
      <c r="A217" s="1">
        <v>42774</v>
      </c>
      <c r="B217">
        <v>12.785552255587749</v>
      </c>
    </row>
    <row r="218" spans="1:2" x14ac:dyDescent="0.2">
      <c r="A218" s="1">
        <v>42775</v>
      </c>
      <c r="B218">
        <v>12.617635450570949</v>
      </c>
    </row>
    <row r="219" spans="1:2" x14ac:dyDescent="0.2">
      <c r="A219" s="1">
        <v>42776</v>
      </c>
      <c r="B219">
        <v>12.446372925639951</v>
      </c>
    </row>
    <row r="220" spans="1:2" x14ac:dyDescent="0.2">
      <c r="A220" s="1">
        <v>42779</v>
      </c>
      <c r="B220">
        <v>12.07005674000929</v>
      </c>
    </row>
    <row r="221" spans="1:2" x14ac:dyDescent="0.2">
      <c r="A221" s="1">
        <v>42780</v>
      </c>
      <c r="B221">
        <v>11.375833654723021</v>
      </c>
    </row>
    <row r="222" spans="1:2" x14ac:dyDescent="0.2">
      <c r="A222" s="1">
        <v>42781</v>
      </c>
      <c r="B222">
        <v>11.94092878753251</v>
      </c>
    </row>
    <row r="223" spans="1:2" x14ac:dyDescent="0.2">
      <c r="A223" s="1">
        <v>42782</v>
      </c>
      <c r="B223">
        <v>11.91046190918153</v>
      </c>
    </row>
    <row r="224" spans="1:2" x14ac:dyDescent="0.2">
      <c r="A224" s="1">
        <v>42783</v>
      </c>
      <c r="B224">
        <v>12.220626695627439</v>
      </c>
    </row>
    <row r="225" spans="1:2" x14ac:dyDescent="0.2">
      <c r="A225" s="1">
        <v>42786</v>
      </c>
      <c r="B225">
        <v>12.084440001575169</v>
      </c>
    </row>
    <row r="226" spans="1:2" x14ac:dyDescent="0.2">
      <c r="A226" s="1">
        <v>42787</v>
      </c>
      <c r="B226">
        <v>12.298376370152591</v>
      </c>
    </row>
    <row r="227" spans="1:2" x14ac:dyDescent="0.2">
      <c r="A227" s="1">
        <v>42788</v>
      </c>
      <c r="B227">
        <v>11.89446229892439</v>
      </c>
    </row>
    <row r="228" spans="1:2" x14ac:dyDescent="0.2">
      <c r="A228" s="1">
        <v>42789</v>
      </c>
      <c r="B228">
        <v>11.056038900900489</v>
      </c>
    </row>
    <row r="229" spans="1:2" x14ac:dyDescent="0.2">
      <c r="A229" s="1">
        <v>42790</v>
      </c>
      <c r="B229">
        <v>11.2159209276523</v>
      </c>
    </row>
    <row r="230" spans="1:2" x14ac:dyDescent="0.2">
      <c r="A230" s="1">
        <v>42793</v>
      </c>
      <c r="B230">
        <v>11.992309903717469</v>
      </c>
    </row>
    <row r="231" spans="1:2" x14ac:dyDescent="0.2">
      <c r="A231" s="1">
        <v>42794</v>
      </c>
      <c r="B231">
        <v>11.941096737068269</v>
      </c>
    </row>
    <row r="232" spans="1:2" x14ac:dyDescent="0.2">
      <c r="A232" s="1">
        <v>42795</v>
      </c>
      <c r="B232">
        <v>11.71435174937954</v>
      </c>
    </row>
    <row r="233" spans="1:2" x14ac:dyDescent="0.2">
      <c r="A233" s="1">
        <v>42796</v>
      </c>
      <c r="B233">
        <v>12.033117036021</v>
      </c>
    </row>
    <row r="234" spans="1:2" x14ac:dyDescent="0.2">
      <c r="A234" s="1">
        <v>42797</v>
      </c>
      <c r="B234">
        <v>11.228573197366501</v>
      </c>
    </row>
    <row r="235" spans="1:2" x14ac:dyDescent="0.2">
      <c r="A235" s="1">
        <v>42800</v>
      </c>
      <c r="B235">
        <v>11.686121238638741</v>
      </c>
    </row>
    <row r="236" spans="1:2" x14ac:dyDescent="0.2">
      <c r="A236" s="1">
        <v>42801</v>
      </c>
      <c r="B236">
        <v>11.60488198289303</v>
      </c>
    </row>
    <row r="237" spans="1:2" x14ac:dyDescent="0.2">
      <c r="A237" s="1">
        <v>42802</v>
      </c>
      <c r="B237">
        <v>10.801592896326071</v>
      </c>
    </row>
    <row r="238" spans="1:2" x14ac:dyDescent="0.2">
      <c r="A238" s="1">
        <v>42803</v>
      </c>
      <c r="B238">
        <v>10.45551941560468</v>
      </c>
    </row>
    <row r="239" spans="1:2" x14ac:dyDescent="0.2">
      <c r="A239" s="1">
        <v>42804</v>
      </c>
      <c r="B239">
        <v>10.202641830166289</v>
      </c>
    </row>
    <row r="240" spans="1:2" x14ac:dyDescent="0.2">
      <c r="A240" s="1">
        <v>42807</v>
      </c>
      <c r="B240">
        <v>10.63911497975025</v>
      </c>
    </row>
    <row r="241" spans="1:2" x14ac:dyDescent="0.2">
      <c r="A241" s="1">
        <v>42808</v>
      </c>
      <c r="B241">
        <v>10.716091860494</v>
      </c>
    </row>
    <row r="242" spans="1:2" x14ac:dyDescent="0.2">
      <c r="A242" s="1">
        <v>42809</v>
      </c>
      <c r="B242">
        <v>13.102313948207231</v>
      </c>
    </row>
    <row r="243" spans="1:2" x14ac:dyDescent="0.2">
      <c r="A243" s="1">
        <v>42810</v>
      </c>
      <c r="B243">
        <v>12.09506885024587</v>
      </c>
    </row>
    <row r="244" spans="1:2" x14ac:dyDescent="0.2">
      <c r="A244" s="1">
        <v>42811</v>
      </c>
      <c r="B244">
        <v>11.602636595833779</v>
      </c>
    </row>
    <row r="245" spans="1:2" x14ac:dyDescent="0.2">
      <c r="A245" s="1">
        <v>42814</v>
      </c>
      <c r="B245">
        <v>11.163145560159339</v>
      </c>
    </row>
    <row r="246" spans="1:2" x14ac:dyDescent="0.2">
      <c r="A246" s="1">
        <v>42815</v>
      </c>
      <c r="B246">
        <v>11.07539992288063</v>
      </c>
    </row>
    <row r="247" spans="1:2" x14ac:dyDescent="0.2">
      <c r="A247" s="1">
        <v>42816</v>
      </c>
      <c r="B247">
        <v>10.848373654313271</v>
      </c>
    </row>
    <row r="248" spans="1:2" x14ac:dyDescent="0.2">
      <c r="A248" s="1">
        <v>42817</v>
      </c>
      <c r="B248">
        <v>10.012598071261991</v>
      </c>
    </row>
    <row r="249" spans="1:2" x14ac:dyDescent="0.2">
      <c r="A249" s="1">
        <v>42818</v>
      </c>
      <c r="B249">
        <v>9.8934650691040371</v>
      </c>
    </row>
    <row r="250" spans="1:2" x14ac:dyDescent="0.2">
      <c r="A250" s="1">
        <v>42821</v>
      </c>
      <c r="B250">
        <v>10.25771135868764</v>
      </c>
    </row>
    <row r="251" spans="1:2" x14ac:dyDescent="0.2">
      <c r="A251" s="1">
        <v>42822</v>
      </c>
      <c r="B251">
        <v>10.351078448884911</v>
      </c>
    </row>
    <row r="252" spans="1:2" x14ac:dyDescent="0.2">
      <c r="A252" s="1">
        <v>42823</v>
      </c>
      <c r="B252">
        <v>10.03904773911875</v>
      </c>
    </row>
    <row r="253" spans="1:2" x14ac:dyDescent="0.2">
      <c r="A253" s="1">
        <v>42824</v>
      </c>
      <c r="B253">
        <v>9.9061381156062023</v>
      </c>
    </row>
    <row r="254" spans="1:2" x14ac:dyDescent="0.2">
      <c r="A254" s="1">
        <v>42825</v>
      </c>
      <c r="B254">
        <v>9.6546870549313386</v>
      </c>
    </row>
    <row r="255" spans="1:2" x14ac:dyDescent="0.2">
      <c r="A255" s="1">
        <v>42830</v>
      </c>
      <c r="B255">
        <v>10.073461338745391</v>
      </c>
    </row>
    <row r="256" spans="1:2" x14ac:dyDescent="0.2">
      <c r="A256" s="1">
        <v>42831</v>
      </c>
      <c r="B256">
        <v>10.09320360489334</v>
      </c>
    </row>
    <row r="257" spans="1:2" x14ac:dyDescent="0.2">
      <c r="A257" s="1">
        <v>42832</v>
      </c>
      <c r="B257">
        <v>10.05595525801729</v>
      </c>
    </row>
    <row r="258" spans="1:2" x14ac:dyDescent="0.2">
      <c r="A258" s="1">
        <v>42835</v>
      </c>
      <c r="B258">
        <v>10.12526896852447</v>
      </c>
    </row>
    <row r="259" spans="1:2" x14ac:dyDescent="0.2">
      <c r="A259" s="1">
        <v>42836</v>
      </c>
      <c r="B259">
        <v>9.9812646521542163</v>
      </c>
    </row>
    <row r="260" spans="1:2" x14ac:dyDescent="0.2">
      <c r="A260" s="1">
        <v>42837</v>
      </c>
      <c r="B260">
        <v>9.9934992483600489</v>
      </c>
    </row>
    <row r="261" spans="1:2" x14ac:dyDescent="0.2">
      <c r="A261" s="1">
        <v>42838</v>
      </c>
      <c r="B261">
        <v>9.9889169534773909</v>
      </c>
    </row>
    <row r="262" spans="1:2" x14ac:dyDescent="0.2">
      <c r="A262" s="1">
        <v>42839</v>
      </c>
      <c r="B262">
        <v>10.4221912825689</v>
      </c>
    </row>
    <row r="263" spans="1:2" x14ac:dyDescent="0.2">
      <c r="A263" s="1">
        <v>42842</v>
      </c>
      <c r="B263">
        <v>10.252236772940851</v>
      </c>
    </row>
    <row r="264" spans="1:2" x14ac:dyDescent="0.2">
      <c r="A264" s="1">
        <v>42843</v>
      </c>
      <c r="B264">
        <v>10.260013580454901</v>
      </c>
    </row>
    <row r="265" spans="1:2" x14ac:dyDescent="0.2">
      <c r="A265" s="1">
        <v>42844</v>
      </c>
      <c r="B265">
        <v>11.282070144428261</v>
      </c>
    </row>
    <row r="266" spans="1:2" x14ac:dyDescent="0.2">
      <c r="A266" s="1">
        <v>42845</v>
      </c>
      <c r="B266">
        <v>10.85072144388444</v>
      </c>
    </row>
    <row r="267" spans="1:2" x14ac:dyDescent="0.2">
      <c r="A267" s="1">
        <v>42846</v>
      </c>
      <c r="B267">
        <v>10.193799251208111</v>
      </c>
    </row>
    <row r="268" spans="1:2" x14ac:dyDescent="0.2">
      <c r="A268" s="1">
        <v>42849</v>
      </c>
      <c r="B268">
        <v>10.078099390201031</v>
      </c>
    </row>
    <row r="269" spans="1:2" x14ac:dyDescent="0.2">
      <c r="A269" s="1">
        <v>42850</v>
      </c>
      <c r="B269">
        <v>9.6693574740410728</v>
      </c>
    </row>
    <row r="270" spans="1:2" x14ac:dyDescent="0.2">
      <c r="A270" s="1">
        <v>42851</v>
      </c>
      <c r="B270">
        <v>9.2938984549308792</v>
      </c>
    </row>
    <row r="271" spans="1:2" x14ac:dyDescent="0.2">
      <c r="A271" s="1">
        <v>42852</v>
      </c>
      <c r="B271">
        <v>9.0999381428499539</v>
      </c>
    </row>
    <row r="272" spans="1:2" x14ac:dyDescent="0.2">
      <c r="A272" s="1">
        <v>42853</v>
      </c>
      <c r="B272">
        <v>9.1333424962565779</v>
      </c>
    </row>
    <row r="273" spans="1:2" x14ac:dyDescent="0.2">
      <c r="A273" s="1">
        <v>42857</v>
      </c>
      <c r="B273">
        <v>9.0985515063978557</v>
      </c>
    </row>
    <row r="274" spans="1:2" x14ac:dyDescent="0.2">
      <c r="A274" s="1">
        <v>42858</v>
      </c>
      <c r="B274">
        <v>9.0691141317031647</v>
      </c>
    </row>
    <row r="275" spans="1:2" x14ac:dyDescent="0.2">
      <c r="A275" s="1">
        <v>42859</v>
      </c>
      <c r="B275">
        <v>9.015974808563973</v>
      </c>
    </row>
    <row r="276" spans="1:2" x14ac:dyDescent="0.2">
      <c r="A276" s="1">
        <v>42860</v>
      </c>
      <c r="B276">
        <v>9.3061443793011893</v>
      </c>
    </row>
    <row r="277" spans="1:2" x14ac:dyDescent="0.2">
      <c r="A277" s="1">
        <v>42863</v>
      </c>
      <c r="B277">
        <v>9.2596523648081757</v>
      </c>
    </row>
    <row r="278" spans="1:2" x14ac:dyDescent="0.2">
      <c r="A278" s="1">
        <v>42864</v>
      </c>
      <c r="B278">
        <v>8.8550888964331911</v>
      </c>
    </row>
    <row r="279" spans="1:2" x14ac:dyDescent="0.2">
      <c r="A279" s="1">
        <v>42865</v>
      </c>
      <c r="B279">
        <v>8.37953600845103</v>
      </c>
    </row>
    <row r="280" spans="1:2" x14ac:dyDescent="0.2">
      <c r="A280" s="1">
        <v>42866</v>
      </c>
      <c r="B280">
        <v>8.3181070547652745</v>
      </c>
    </row>
    <row r="281" spans="1:2" x14ac:dyDescent="0.2">
      <c r="A281" s="1">
        <v>42867</v>
      </c>
      <c r="B281">
        <v>8.7299775488917284</v>
      </c>
    </row>
    <row r="282" spans="1:2" x14ac:dyDescent="0.2">
      <c r="A282" s="1">
        <v>42870</v>
      </c>
      <c r="B282">
        <v>8.8699672317829137</v>
      </c>
    </row>
    <row r="283" spans="1:2" x14ac:dyDescent="0.2">
      <c r="A283" s="1">
        <v>42871</v>
      </c>
      <c r="B283">
        <v>8.6673045629419718</v>
      </c>
    </row>
    <row r="284" spans="1:2" x14ac:dyDescent="0.2">
      <c r="A284" s="1">
        <v>42872</v>
      </c>
      <c r="B284">
        <v>9.9199659694098177</v>
      </c>
    </row>
    <row r="285" spans="1:2" x14ac:dyDescent="0.2">
      <c r="A285" s="1">
        <v>42873</v>
      </c>
      <c r="B285">
        <v>9.9094154419148062</v>
      </c>
    </row>
    <row r="286" spans="1:2" x14ac:dyDescent="0.2">
      <c r="A286" s="1">
        <v>42874</v>
      </c>
      <c r="B286">
        <v>10.03583534615662</v>
      </c>
    </row>
    <row r="287" spans="1:2" x14ac:dyDescent="0.2">
      <c r="A287" s="1">
        <v>42877</v>
      </c>
      <c r="B287">
        <v>9.4044908174481243</v>
      </c>
    </row>
    <row r="288" spans="1:2" x14ac:dyDescent="0.2">
      <c r="A288" s="1">
        <v>42878</v>
      </c>
      <c r="B288">
        <v>9.4019907767168185</v>
      </c>
    </row>
    <row r="289" spans="1:2" x14ac:dyDescent="0.2">
      <c r="A289" s="1">
        <v>42879</v>
      </c>
      <c r="B289">
        <v>9.3718947723786119</v>
      </c>
    </row>
    <row r="290" spans="1:2" x14ac:dyDescent="0.2">
      <c r="A290" s="1">
        <v>42880</v>
      </c>
      <c r="B290">
        <v>13.1335342891383</v>
      </c>
    </row>
    <row r="291" spans="1:2" x14ac:dyDescent="0.2">
      <c r="A291" s="1">
        <v>42881</v>
      </c>
      <c r="B291">
        <v>11.37150121139625</v>
      </c>
    </row>
    <row r="292" spans="1:2" x14ac:dyDescent="0.2">
      <c r="A292" s="1">
        <v>42886</v>
      </c>
      <c r="B292">
        <v>12.02143428558554</v>
      </c>
    </row>
    <row r="293" spans="1:2" x14ac:dyDescent="0.2">
      <c r="A293" s="1">
        <v>42887</v>
      </c>
      <c r="B293">
        <v>12.12280821839172</v>
      </c>
    </row>
    <row r="294" spans="1:2" x14ac:dyDescent="0.2">
      <c r="A294" s="1">
        <v>42888</v>
      </c>
      <c r="B294">
        <v>12.6228572184767</v>
      </c>
    </row>
    <row r="295" spans="1:2" x14ac:dyDescent="0.2">
      <c r="A295" s="1">
        <v>42891</v>
      </c>
      <c r="B295">
        <v>11.83721309498763</v>
      </c>
    </row>
    <row r="296" spans="1:2" x14ac:dyDescent="0.2">
      <c r="A296" s="1">
        <v>42892</v>
      </c>
      <c r="B296">
        <v>12.388610227338511</v>
      </c>
    </row>
    <row r="297" spans="1:2" x14ac:dyDescent="0.2">
      <c r="A297" s="1">
        <v>42893</v>
      </c>
      <c r="B297">
        <v>13.524383717242671</v>
      </c>
    </row>
    <row r="298" spans="1:2" x14ac:dyDescent="0.2">
      <c r="A298" s="1">
        <v>42894</v>
      </c>
      <c r="B298">
        <v>14.18423254284024</v>
      </c>
    </row>
    <row r="299" spans="1:2" x14ac:dyDescent="0.2">
      <c r="A299" s="1">
        <v>42895</v>
      </c>
      <c r="B299">
        <v>14.95243881400709</v>
      </c>
    </row>
    <row r="300" spans="1:2" x14ac:dyDescent="0.2">
      <c r="A300" s="1">
        <v>42898</v>
      </c>
      <c r="B300">
        <v>15.399513299982489</v>
      </c>
    </row>
    <row r="301" spans="1:2" x14ac:dyDescent="0.2">
      <c r="A301" s="1">
        <v>42899</v>
      </c>
      <c r="B301">
        <v>15.03984202363489</v>
      </c>
    </row>
    <row r="302" spans="1:2" x14ac:dyDescent="0.2">
      <c r="A302" s="1">
        <v>42900</v>
      </c>
      <c r="B302">
        <v>14.257857976395981</v>
      </c>
    </row>
    <row r="303" spans="1:2" x14ac:dyDescent="0.2">
      <c r="A303" s="1">
        <v>42901</v>
      </c>
      <c r="B303">
        <v>13.76972552025426</v>
      </c>
    </row>
    <row r="304" spans="1:2" x14ac:dyDescent="0.2">
      <c r="A304" s="1">
        <v>42902</v>
      </c>
      <c r="B304">
        <v>13.202928934687129</v>
      </c>
    </row>
    <row r="305" spans="1:2" x14ac:dyDescent="0.2">
      <c r="A305" s="1">
        <v>42905</v>
      </c>
      <c r="B305">
        <v>13.71607741722619</v>
      </c>
    </row>
    <row r="306" spans="1:2" x14ac:dyDescent="0.2">
      <c r="A306" s="1">
        <v>42906</v>
      </c>
      <c r="B306">
        <v>13.8833257524937</v>
      </c>
    </row>
    <row r="307" spans="1:2" x14ac:dyDescent="0.2">
      <c r="A307" s="1">
        <v>42907</v>
      </c>
      <c r="B307">
        <v>14.316070978727501</v>
      </c>
    </row>
    <row r="308" spans="1:2" x14ac:dyDescent="0.2">
      <c r="A308" s="1">
        <v>42908</v>
      </c>
      <c r="B308">
        <v>14.50144370869323</v>
      </c>
    </row>
    <row r="309" spans="1:2" x14ac:dyDescent="0.2">
      <c r="A309" s="1">
        <v>42909</v>
      </c>
      <c r="B309">
        <v>14.59119617946844</v>
      </c>
    </row>
    <row r="310" spans="1:2" x14ac:dyDescent="0.2">
      <c r="A310" s="1">
        <v>42912</v>
      </c>
      <c r="B310">
        <v>15.3855108430129</v>
      </c>
    </row>
    <row r="311" spans="1:2" x14ac:dyDescent="0.2">
      <c r="A311" s="1">
        <v>42913</v>
      </c>
      <c r="B311">
        <v>14.86314224536266</v>
      </c>
    </row>
    <row r="312" spans="1:2" x14ac:dyDescent="0.2">
      <c r="A312" s="1">
        <v>42914</v>
      </c>
      <c r="B312">
        <v>15.04977079141141</v>
      </c>
    </row>
    <row r="313" spans="1:2" x14ac:dyDescent="0.2">
      <c r="A313" s="1">
        <v>42915</v>
      </c>
      <c r="B313">
        <v>14.473910541955661</v>
      </c>
    </row>
    <row r="314" spans="1:2" x14ac:dyDescent="0.2">
      <c r="A314" s="1">
        <v>42916</v>
      </c>
      <c r="B314">
        <v>14.409003845190981</v>
      </c>
    </row>
    <row r="315" spans="1:2" x14ac:dyDescent="0.2">
      <c r="A315" s="1">
        <v>42919</v>
      </c>
      <c r="B315">
        <v>13.94141752802048</v>
      </c>
    </row>
    <row r="316" spans="1:2" x14ac:dyDescent="0.2">
      <c r="A316" s="1">
        <v>42920</v>
      </c>
      <c r="B316">
        <v>13.124499189891109</v>
      </c>
    </row>
    <row r="317" spans="1:2" x14ac:dyDescent="0.2">
      <c r="A317" s="1">
        <v>42921</v>
      </c>
      <c r="B317">
        <v>14.23705336411278</v>
      </c>
    </row>
    <row r="318" spans="1:2" x14ac:dyDescent="0.2">
      <c r="A318" s="1">
        <v>42922</v>
      </c>
      <c r="B318">
        <v>13.828502046775579</v>
      </c>
    </row>
    <row r="319" spans="1:2" x14ac:dyDescent="0.2">
      <c r="A319" s="1">
        <v>42923</v>
      </c>
      <c r="B319">
        <v>13.88124187835199</v>
      </c>
    </row>
    <row r="320" spans="1:2" x14ac:dyDescent="0.2">
      <c r="A320" s="1">
        <v>42926</v>
      </c>
      <c r="B320">
        <v>13.90428207965245</v>
      </c>
    </row>
    <row r="321" spans="1:2" x14ac:dyDescent="0.2">
      <c r="A321" s="1">
        <v>42927</v>
      </c>
      <c r="B321">
        <v>13.734527115930369</v>
      </c>
    </row>
    <row r="322" spans="1:2" x14ac:dyDescent="0.2">
      <c r="A322" s="1">
        <v>42928</v>
      </c>
      <c r="B322">
        <v>14.78084159351334</v>
      </c>
    </row>
    <row r="323" spans="1:2" x14ac:dyDescent="0.2">
      <c r="A323" s="1">
        <v>42929</v>
      </c>
      <c r="B323">
        <v>14.791152785770549</v>
      </c>
    </row>
    <row r="324" spans="1:2" x14ac:dyDescent="0.2">
      <c r="A324" s="1">
        <v>42930</v>
      </c>
      <c r="B324">
        <v>15.77438433670096</v>
      </c>
    </row>
    <row r="325" spans="1:2" x14ac:dyDescent="0.2">
      <c r="A325" s="1">
        <v>42933</v>
      </c>
      <c r="B325">
        <v>17.354942806262709</v>
      </c>
    </row>
    <row r="326" spans="1:2" x14ac:dyDescent="0.2">
      <c r="A326" s="1">
        <v>42934</v>
      </c>
      <c r="B326">
        <v>16.930518337044479</v>
      </c>
    </row>
    <row r="327" spans="1:2" x14ac:dyDescent="0.2">
      <c r="A327" s="1">
        <v>42935</v>
      </c>
      <c r="B327">
        <v>17.245708260786959</v>
      </c>
    </row>
    <row r="328" spans="1:2" x14ac:dyDescent="0.2">
      <c r="A328" s="1">
        <v>42936</v>
      </c>
      <c r="B328">
        <v>18.320908641345909</v>
      </c>
    </row>
    <row r="329" spans="1:2" x14ac:dyDescent="0.2">
      <c r="A329" s="1">
        <v>42937</v>
      </c>
      <c r="B329">
        <v>16.95183496306997</v>
      </c>
    </row>
    <row r="330" spans="1:2" x14ac:dyDescent="0.2">
      <c r="A330" s="1">
        <v>42940</v>
      </c>
      <c r="B330">
        <v>15.71826505417914</v>
      </c>
    </row>
    <row r="331" spans="1:2" x14ac:dyDescent="0.2">
      <c r="A331" s="1">
        <v>42941</v>
      </c>
      <c r="B331">
        <v>15.39140548230824</v>
      </c>
    </row>
    <row r="332" spans="1:2" x14ac:dyDescent="0.2">
      <c r="A332" s="1">
        <v>42942</v>
      </c>
      <c r="B332">
        <v>15.94952716816282</v>
      </c>
    </row>
    <row r="333" spans="1:2" x14ac:dyDescent="0.2">
      <c r="A333" s="1">
        <v>42943</v>
      </c>
      <c r="B333">
        <v>15.88858720110729</v>
      </c>
    </row>
    <row r="334" spans="1:2" x14ac:dyDescent="0.2">
      <c r="A334" s="1">
        <v>42944</v>
      </c>
      <c r="B334">
        <v>15.57472042405543</v>
      </c>
    </row>
    <row r="335" spans="1:2" x14ac:dyDescent="0.2">
      <c r="A335" s="1">
        <v>42947</v>
      </c>
      <c r="B335">
        <v>15.75842769624567</v>
      </c>
    </row>
    <row r="336" spans="1:2" x14ac:dyDescent="0.2">
      <c r="A336" s="1">
        <v>42948</v>
      </c>
      <c r="B336">
        <v>15.071414759615489</v>
      </c>
    </row>
    <row r="337" spans="1:2" x14ac:dyDescent="0.2">
      <c r="A337" s="1">
        <v>42949</v>
      </c>
      <c r="B337">
        <v>14.83629875483051</v>
      </c>
    </row>
    <row r="338" spans="1:2" x14ac:dyDescent="0.2">
      <c r="A338" s="1">
        <v>42950</v>
      </c>
      <c r="B338">
        <v>15.276733936663829</v>
      </c>
    </row>
    <row r="339" spans="1:2" x14ac:dyDescent="0.2">
      <c r="A339" s="1">
        <v>42951</v>
      </c>
      <c r="B339">
        <v>14.952700230169111</v>
      </c>
    </row>
    <row r="340" spans="1:2" x14ac:dyDescent="0.2">
      <c r="A340" s="1">
        <v>42954</v>
      </c>
      <c r="B340">
        <v>15.37735300835778</v>
      </c>
    </row>
    <row r="341" spans="1:2" x14ac:dyDescent="0.2">
      <c r="A341" s="1">
        <v>42955</v>
      </c>
      <c r="B341">
        <v>15.016042608018131</v>
      </c>
    </row>
    <row r="342" spans="1:2" x14ac:dyDescent="0.2">
      <c r="A342" s="1">
        <v>42956</v>
      </c>
      <c r="B342">
        <v>14.262314886144891</v>
      </c>
    </row>
    <row r="343" spans="1:2" x14ac:dyDescent="0.2">
      <c r="A343" s="1">
        <v>42957</v>
      </c>
      <c r="B343">
        <v>13.69574297654961</v>
      </c>
    </row>
    <row r="344" spans="1:2" x14ac:dyDescent="0.2">
      <c r="A344" s="1">
        <v>42958</v>
      </c>
      <c r="B344">
        <v>14.612302844405949</v>
      </c>
    </row>
    <row r="345" spans="1:2" x14ac:dyDescent="0.2">
      <c r="A345" s="1">
        <v>42961</v>
      </c>
      <c r="B345">
        <v>14.26767533053305</v>
      </c>
    </row>
    <row r="346" spans="1:2" x14ac:dyDescent="0.2">
      <c r="A346" s="1">
        <v>42962</v>
      </c>
      <c r="B346">
        <v>14.011074166841571</v>
      </c>
    </row>
    <row r="347" spans="1:2" x14ac:dyDescent="0.2">
      <c r="A347" s="1">
        <v>42963</v>
      </c>
      <c r="B347">
        <v>16.30507008875167</v>
      </c>
    </row>
    <row r="348" spans="1:2" x14ac:dyDescent="0.2">
      <c r="A348" s="1">
        <v>42964</v>
      </c>
      <c r="B348">
        <v>16.016218645201789</v>
      </c>
    </row>
    <row r="349" spans="1:2" x14ac:dyDescent="0.2">
      <c r="A349" s="1">
        <v>42965</v>
      </c>
      <c r="B349">
        <v>15.55089359764338</v>
      </c>
    </row>
    <row r="350" spans="1:2" x14ac:dyDescent="0.2">
      <c r="A350" s="1">
        <v>42968</v>
      </c>
      <c r="B350">
        <v>14.55124763276544</v>
      </c>
    </row>
    <row r="351" spans="1:2" x14ac:dyDescent="0.2">
      <c r="A351" s="1">
        <v>42969</v>
      </c>
      <c r="B351">
        <v>13.678296887987891</v>
      </c>
    </row>
    <row r="352" spans="1:2" x14ac:dyDescent="0.2">
      <c r="A352" s="1">
        <v>42970</v>
      </c>
      <c r="B352">
        <v>14.17726159854573</v>
      </c>
    </row>
    <row r="353" spans="1:2" x14ac:dyDescent="0.2">
      <c r="A353" s="1">
        <v>42971</v>
      </c>
      <c r="B353">
        <v>13.61314312311068</v>
      </c>
    </row>
    <row r="354" spans="1:2" x14ac:dyDescent="0.2">
      <c r="A354" s="1">
        <v>42972</v>
      </c>
      <c r="B354">
        <v>14.51298522770697</v>
      </c>
    </row>
    <row r="355" spans="1:2" x14ac:dyDescent="0.2">
      <c r="A355" s="1">
        <v>42975</v>
      </c>
      <c r="B355">
        <v>14.333271880305951</v>
      </c>
    </row>
    <row r="356" spans="1:2" x14ac:dyDescent="0.2">
      <c r="A356" s="1">
        <v>42976</v>
      </c>
      <c r="B356">
        <v>14.94741594962912</v>
      </c>
    </row>
    <row r="357" spans="1:2" x14ac:dyDescent="0.2">
      <c r="A357" s="1">
        <v>42977</v>
      </c>
      <c r="B357">
        <v>14.674779488211041</v>
      </c>
    </row>
    <row r="358" spans="1:2" x14ac:dyDescent="0.2">
      <c r="A358" s="1">
        <v>42978</v>
      </c>
      <c r="B358">
        <v>14.6018732066489</v>
      </c>
    </row>
    <row r="359" spans="1:2" x14ac:dyDescent="0.2">
      <c r="A359" s="1">
        <v>42979</v>
      </c>
      <c r="B359">
        <v>14.515363143792159</v>
      </c>
    </row>
    <row r="360" spans="1:2" x14ac:dyDescent="0.2">
      <c r="A360" s="1">
        <v>42982</v>
      </c>
      <c r="B360">
        <v>15.01886253660553</v>
      </c>
    </row>
    <row r="361" spans="1:2" x14ac:dyDescent="0.2">
      <c r="A361" s="1">
        <v>42983</v>
      </c>
      <c r="B361">
        <v>15.00880919770445</v>
      </c>
    </row>
    <row r="362" spans="1:2" x14ac:dyDescent="0.2">
      <c r="A362" s="1">
        <v>42984</v>
      </c>
      <c r="B362">
        <v>15.23699243583914</v>
      </c>
    </row>
    <row r="363" spans="1:2" x14ac:dyDescent="0.2">
      <c r="A363" s="1">
        <v>42985</v>
      </c>
      <c r="B363">
        <v>14.715286979593101</v>
      </c>
    </row>
    <row r="364" spans="1:2" x14ac:dyDescent="0.2">
      <c r="A364" s="1">
        <v>42986</v>
      </c>
      <c r="B364">
        <v>14.46853201430546</v>
      </c>
    </row>
    <row r="365" spans="1:2" x14ac:dyDescent="0.2">
      <c r="A365" s="1">
        <v>42989</v>
      </c>
      <c r="B365">
        <v>15.118778107566261</v>
      </c>
    </row>
    <row r="366" spans="1:2" x14ac:dyDescent="0.2">
      <c r="A366" s="1">
        <v>42990</v>
      </c>
      <c r="B366">
        <v>15.186128589846071</v>
      </c>
    </row>
    <row r="367" spans="1:2" x14ac:dyDescent="0.2">
      <c r="A367" s="1">
        <v>42991</v>
      </c>
      <c r="B367">
        <v>15.31460969473398</v>
      </c>
    </row>
    <row r="368" spans="1:2" x14ac:dyDescent="0.2">
      <c r="A368" s="1">
        <v>42992</v>
      </c>
      <c r="B368">
        <v>14.074962517045639</v>
      </c>
    </row>
    <row r="369" spans="1:2" x14ac:dyDescent="0.2">
      <c r="A369" s="1">
        <v>42993</v>
      </c>
      <c r="B369">
        <v>13.62557067215859</v>
      </c>
    </row>
    <row r="370" spans="1:2" x14ac:dyDescent="0.2">
      <c r="A370" s="1">
        <v>42996</v>
      </c>
      <c r="B370">
        <v>13.713636165193771</v>
      </c>
    </row>
    <row r="371" spans="1:2" x14ac:dyDescent="0.2">
      <c r="A371" s="1">
        <v>42997</v>
      </c>
      <c r="B371">
        <v>12.954142969640509</v>
      </c>
    </row>
    <row r="372" spans="1:2" x14ac:dyDescent="0.2">
      <c r="A372" s="1">
        <v>42998</v>
      </c>
      <c r="B372">
        <v>13.77376034376344</v>
      </c>
    </row>
    <row r="373" spans="1:2" x14ac:dyDescent="0.2">
      <c r="A373" s="1">
        <v>42999</v>
      </c>
      <c r="B373">
        <v>13.58537120505189</v>
      </c>
    </row>
    <row r="374" spans="1:2" x14ac:dyDescent="0.2">
      <c r="A374" s="1">
        <v>43000</v>
      </c>
      <c r="B374">
        <v>13.210718190737181</v>
      </c>
    </row>
    <row r="375" spans="1:2" x14ac:dyDescent="0.2">
      <c r="A375" s="1">
        <v>43003</v>
      </c>
      <c r="B375">
        <v>12.83274463164115</v>
      </c>
    </row>
    <row r="376" spans="1:2" x14ac:dyDescent="0.2">
      <c r="A376" s="1">
        <v>43004</v>
      </c>
      <c r="B376">
        <v>12.73177834914406</v>
      </c>
    </row>
    <row r="377" spans="1:2" x14ac:dyDescent="0.2">
      <c r="A377" s="1">
        <v>43005</v>
      </c>
      <c r="B377">
        <v>12.319727421213431</v>
      </c>
    </row>
    <row r="378" spans="1:2" x14ac:dyDescent="0.2">
      <c r="A378" s="1">
        <v>43006</v>
      </c>
      <c r="B378">
        <v>10.5379434539787</v>
      </c>
    </row>
    <row r="379" spans="1:2" x14ac:dyDescent="0.2">
      <c r="A379" s="1">
        <v>43007</v>
      </c>
      <c r="B379">
        <v>10.94404806094858</v>
      </c>
    </row>
    <row r="380" spans="1:2" x14ac:dyDescent="0.2">
      <c r="A380" s="1">
        <v>43017</v>
      </c>
      <c r="B380">
        <v>11.595945301334091</v>
      </c>
    </row>
    <row r="381" spans="1:2" x14ac:dyDescent="0.2">
      <c r="A381" s="1">
        <v>43018</v>
      </c>
      <c r="B381">
        <v>11.65024761701852</v>
      </c>
    </row>
    <row r="382" spans="1:2" x14ac:dyDescent="0.2">
      <c r="A382" s="1">
        <v>43019</v>
      </c>
      <c r="B382">
        <v>11.065421117293649</v>
      </c>
    </row>
    <row r="383" spans="1:2" x14ac:dyDescent="0.2">
      <c r="A383" s="1">
        <v>43020</v>
      </c>
      <c r="B383">
        <v>10.688480723897371</v>
      </c>
    </row>
    <row r="384" spans="1:2" x14ac:dyDescent="0.2">
      <c r="A384" s="1">
        <v>43021</v>
      </c>
      <c r="B384">
        <v>10.67229908945697</v>
      </c>
    </row>
    <row r="385" spans="1:2" x14ac:dyDescent="0.2">
      <c r="A385" s="1">
        <v>43024</v>
      </c>
      <c r="B385">
        <v>10.55918007977262</v>
      </c>
    </row>
    <row r="386" spans="1:2" x14ac:dyDescent="0.2">
      <c r="A386" s="1">
        <v>43025</v>
      </c>
      <c r="B386">
        <v>10.65718867280488</v>
      </c>
    </row>
    <row r="387" spans="1:2" x14ac:dyDescent="0.2">
      <c r="A387" s="1">
        <v>43026</v>
      </c>
      <c r="B387">
        <v>11.068147862460661</v>
      </c>
    </row>
    <row r="388" spans="1:2" x14ac:dyDescent="0.2">
      <c r="A388" s="1">
        <v>43027</v>
      </c>
      <c r="B388">
        <v>11.11188038939366</v>
      </c>
    </row>
    <row r="389" spans="1:2" x14ac:dyDescent="0.2">
      <c r="A389" s="1">
        <v>43028</v>
      </c>
      <c r="B389">
        <v>10.973182377604511</v>
      </c>
    </row>
    <row r="390" spans="1:2" x14ac:dyDescent="0.2">
      <c r="A390" s="1">
        <v>43031</v>
      </c>
      <c r="B390">
        <v>10.332192103328801</v>
      </c>
    </row>
    <row r="391" spans="1:2" x14ac:dyDescent="0.2">
      <c r="A391" s="1">
        <v>43032</v>
      </c>
      <c r="B391">
        <v>11.59062189525544</v>
      </c>
    </row>
    <row r="392" spans="1:2" x14ac:dyDescent="0.2">
      <c r="A392" s="1">
        <v>43033</v>
      </c>
      <c r="B392">
        <v>11.35987768210275</v>
      </c>
    </row>
    <row r="393" spans="1:2" x14ac:dyDescent="0.2">
      <c r="A393" s="1">
        <v>43034</v>
      </c>
      <c r="B393">
        <v>11.166169944383491</v>
      </c>
    </row>
    <row r="394" spans="1:2" x14ac:dyDescent="0.2">
      <c r="A394" s="1">
        <v>43035</v>
      </c>
      <c r="B394">
        <v>10.723671434705491</v>
      </c>
    </row>
    <row r="395" spans="1:2" x14ac:dyDescent="0.2">
      <c r="A395" s="1">
        <v>43038</v>
      </c>
      <c r="B395">
        <v>11.59986299255762</v>
      </c>
    </row>
    <row r="396" spans="1:2" x14ac:dyDescent="0.2">
      <c r="A396" s="1">
        <v>43039</v>
      </c>
      <c r="B396">
        <v>10.94882738741879</v>
      </c>
    </row>
    <row r="397" spans="1:2" x14ac:dyDescent="0.2">
      <c r="A397" s="1">
        <v>43040</v>
      </c>
      <c r="B397">
        <v>10.63930204799825</v>
      </c>
    </row>
    <row r="398" spans="1:2" x14ac:dyDescent="0.2">
      <c r="A398" s="1">
        <v>43041</v>
      </c>
      <c r="B398">
        <v>10.577392779453721</v>
      </c>
    </row>
    <row r="399" spans="1:2" x14ac:dyDescent="0.2">
      <c r="A399" s="1">
        <v>43042</v>
      </c>
      <c r="B399">
        <v>10.41753193915253</v>
      </c>
    </row>
    <row r="400" spans="1:2" x14ac:dyDescent="0.2">
      <c r="A400" s="1">
        <v>43045</v>
      </c>
      <c r="B400">
        <v>10.692022527062351</v>
      </c>
    </row>
    <row r="401" spans="1:2" x14ac:dyDescent="0.2">
      <c r="A401" s="1">
        <v>43046</v>
      </c>
      <c r="B401">
        <v>10.419072344206061</v>
      </c>
    </row>
    <row r="402" spans="1:2" x14ac:dyDescent="0.2">
      <c r="A402" s="1">
        <v>43047</v>
      </c>
      <c r="B402">
        <v>10.762597011547751</v>
      </c>
    </row>
    <row r="403" spans="1:2" x14ac:dyDescent="0.2">
      <c r="A403" s="1">
        <v>43048</v>
      </c>
      <c r="B403">
        <v>10.871533191888419</v>
      </c>
    </row>
    <row r="404" spans="1:2" x14ac:dyDescent="0.2">
      <c r="A404" s="1">
        <v>43049</v>
      </c>
      <c r="B404">
        <v>11.43970161956536</v>
      </c>
    </row>
    <row r="405" spans="1:2" x14ac:dyDescent="0.2">
      <c r="A405" s="1">
        <v>43052</v>
      </c>
      <c r="B405">
        <v>11.5329734083675</v>
      </c>
    </row>
    <row r="406" spans="1:2" x14ac:dyDescent="0.2">
      <c r="A406" s="1">
        <v>43053</v>
      </c>
      <c r="B406">
        <v>12.22961303945444</v>
      </c>
    </row>
    <row r="407" spans="1:2" x14ac:dyDescent="0.2">
      <c r="A407" s="1">
        <v>43054</v>
      </c>
      <c r="B407">
        <v>14.5785860523051</v>
      </c>
    </row>
    <row r="408" spans="1:2" x14ac:dyDescent="0.2">
      <c r="A408" s="1">
        <v>43055</v>
      </c>
      <c r="B408">
        <v>14.08349461405629</v>
      </c>
    </row>
    <row r="409" spans="1:2" x14ac:dyDescent="0.2">
      <c r="A409" s="1">
        <v>43056</v>
      </c>
      <c r="B409">
        <v>14.614407687366841</v>
      </c>
    </row>
    <row r="410" spans="1:2" x14ac:dyDescent="0.2">
      <c r="A410" s="1">
        <v>43059</v>
      </c>
      <c r="B410">
        <v>16.202636221515331</v>
      </c>
    </row>
    <row r="411" spans="1:2" x14ac:dyDescent="0.2">
      <c r="A411" s="1">
        <v>43060</v>
      </c>
      <c r="B411">
        <v>15.965757141484969</v>
      </c>
    </row>
    <row r="412" spans="1:2" x14ac:dyDescent="0.2">
      <c r="A412" s="1">
        <v>43061</v>
      </c>
      <c r="B412">
        <v>16.602157588636128</v>
      </c>
    </row>
    <row r="413" spans="1:2" x14ac:dyDescent="0.2">
      <c r="A413" s="1">
        <v>43062</v>
      </c>
      <c r="B413">
        <v>17.162949713612079</v>
      </c>
    </row>
    <row r="414" spans="1:2" x14ac:dyDescent="0.2">
      <c r="A414" s="1">
        <v>43063</v>
      </c>
      <c r="B414">
        <v>17.761532890788349</v>
      </c>
    </row>
    <row r="415" spans="1:2" x14ac:dyDescent="0.2">
      <c r="A415" s="1">
        <v>43066</v>
      </c>
      <c r="B415">
        <v>18.053514959359209</v>
      </c>
    </row>
    <row r="416" spans="1:2" x14ac:dyDescent="0.2">
      <c r="A416" s="1">
        <v>43067</v>
      </c>
      <c r="B416">
        <v>17.762268685619521</v>
      </c>
    </row>
    <row r="417" spans="1:2" x14ac:dyDescent="0.2">
      <c r="A417" s="1">
        <v>43068</v>
      </c>
      <c r="B417">
        <v>18.281554966952552</v>
      </c>
    </row>
    <row r="418" spans="1:2" x14ac:dyDescent="0.2">
      <c r="A418" s="1">
        <v>43069</v>
      </c>
      <c r="B418">
        <v>19.056763548511341</v>
      </c>
    </row>
    <row r="419" spans="1:2" x14ac:dyDescent="0.2">
      <c r="A419" s="1">
        <v>43070</v>
      </c>
      <c r="B419">
        <v>20.174754895268212</v>
      </c>
    </row>
    <row r="420" spans="1:2" x14ac:dyDescent="0.2">
      <c r="A420" s="1">
        <v>43073</v>
      </c>
      <c r="B420">
        <v>17.92168051317805</v>
      </c>
    </row>
    <row r="421" spans="1:2" x14ac:dyDescent="0.2">
      <c r="A421" s="1">
        <v>43074</v>
      </c>
      <c r="B421">
        <v>17.240906347720891</v>
      </c>
    </row>
    <row r="422" spans="1:2" x14ac:dyDescent="0.2">
      <c r="A422" s="1">
        <v>43075</v>
      </c>
      <c r="B422">
        <v>17.693960300892542</v>
      </c>
    </row>
    <row r="423" spans="1:2" x14ac:dyDescent="0.2">
      <c r="A423" s="1">
        <v>43076</v>
      </c>
      <c r="B423">
        <v>16.623884932549299</v>
      </c>
    </row>
    <row r="424" spans="1:2" x14ac:dyDescent="0.2">
      <c r="A424" s="1">
        <v>43077</v>
      </c>
      <c r="B424">
        <v>16.195217601441851</v>
      </c>
    </row>
    <row r="425" spans="1:2" x14ac:dyDescent="0.2">
      <c r="A425" s="1">
        <v>43080</v>
      </c>
      <c r="B425">
        <v>16.170753556915209</v>
      </c>
    </row>
    <row r="426" spans="1:2" x14ac:dyDescent="0.2">
      <c r="A426" s="1">
        <v>43081</v>
      </c>
      <c r="B426">
        <v>16.20435112061126</v>
      </c>
    </row>
    <row r="427" spans="1:2" x14ac:dyDescent="0.2">
      <c r="A427" s="1">
        <v>43082</v>
      </c>
      <c r="B427">
        <v>15.958274614814361</v>
      </c>
    </row>
    <row r="428" spans="1:2" x14ac:dyDescent="0.2">
      <c r="A428" s="1">
        <v>43083</v>
      </c>
      <c r="B428">
        <v>15.85777005226806</v>
      </c>
    </row>
    <row r="429" spans="1:2" x14ac:dyDescent="0.2">
      <c r="A429" s="1">
        <v>43084</v>
      </c>
      <c r="B429">
        <v>15.31685397154361</v>
      </c>
    </row>
    <row r="430" spans="1:2" x14ac:dyDescent="0.2">
      <c r="A430" s="1">
        <v>43087</v>
      </c>
      <c r="B430">
        <v>16.00785559122199</v>
      </c>
    </row>
    <row r="431" spans="1:2" x14ac:dyDescent="0.2">
      <c r="A431" s="1">
        <v>43088</v>
      </c>
      <c r="B431">
        <v>15.79014921625817</v>
      </c>
    </row>
    <row r="432" spans="1:2" x14ac:dyDescent="0.2">
      <c r="A432" s="1">
        <v>43089</v>
      </c>
      <c r="B432">
        <v>17.177358719691359</v>
      </c>
    </row>
    <row r="433" spans="1:2" x14ac:dyDescent="0.2">
      <c r="A433" s="1">
        <v>43090</v>
      </c>
      <c r="B433">
        <v>17.060065235539341</v>
      </c>
    </row>
    <row r="434" spans="1:2" x14ac:dyDescent="0.2">
      <c r="A434" s="1">
        <v>43091</v>
      </c>
      <c r="B434">
        <v>16.901140500904059</v>
      </c>
    </row>
    <row r="435" spans="1:2" x14ac:dyDescent="0.2">
      <c r="A435" s="1">
        <v>43094</v>
      </c>
      <c r="B435">
        <v>16.147900698136951</v>
      </c>
    </row>
    <row r="436" spans="1:2" x14ac:dyDescent="0.2">
      <c r="A436" s="1">
        <v>43095</v>
      </c>
      <c r="B436">
        <v>16.620391110267221</v>
      </c>
    </row>
    <row r="437" spans="1:2" x14ac:dyDescent="0.2">
      <c r="A437" s="1">
        <v>43096</v>
      </c>
      <c r="B437">
        <v>17.988431763238221</v>
      </c>
    </row>
    <row r="438" spans="1:2" x14ac:dyDescent="0.2">
      <c r="A438" s="1">
        <v>43097</v>
      </c>
      <c r="B438">
        <v>15.940134136412979</v>
      </c>
    </row>
    <row r="439" spans="1:2" x14ac:dyDescent="0.2">
      <c r="A439" s="1">
        <v>43098</v>
      </c>
      <c r="B439">
        <v>14.53533992853913</v>
      </c>
    </row>
    <row r="440" spans="1:2" x14ac:dyDescent="0.2">
      <c r="A440" s="1">
        <v>43102</v>
      </c>
      <c r="B440">
        <v>14.861205539285811</v>
      </c>
    </row>
    <row r="441" spans="1:2" x14ac:dyDescent="0.2">
      <c r="A441" s="1">
        <v>43103</v>
      </c>
      <c r="B441">
        <v>14.5176662993611</v>
      </c>
    </row>
    <row r="442" spans="1:2" x14ac:dyDescent="0.2">
      <c r="A442" s="1">
        <v>43104</v>
      </c>
      <c r="B442">
        <v>14.31564019524698</v>
      </c>
    </row>
    <row r="443" spans="1:2" x14ac:dyDescent="0.2">
      <c r="A443" s="1">
        <v>43105</v>
      </c>
      <c r="B443">
        <v>14.063709152501669</v>
      </c>
    </row>
    <row r="444" spans="1:2" x14ac:dyDescent="0.2">
      <c r="A444" s="1">
        <v>43108</v>
      </c>
      <c r="B444">
        <v>14.7379821345185</v>
      </c>
    </row>
    <row r="445" spans="1:2" x14ac:dyDescent="0.2">
      <c r="A445" s="1">
        <v>43109</v>
      </c>
      <c r="B445">
        <v>13.991930109946001</v>
      </c>
    </row>
    <row r="446" spans="1:2" x14ac:dyDescent="0.2">
      <c r="A446" s="1">
        <v>43110</v>
      </c>
      <c r="B446">
        <v>14.2103510602517</v>
      </c>
    </row>
    <row r="447" spans="1:2" x14ac:dyDescent="0.2">
      <c r="A447" s="1">
        <v>43111</v>
      </c>
      <c r="B447">
        <v>14.55818758875335</v>
      </c>
    </row>
    <row r="448" spans="1:2" x14ac:dyDescent="0.2">
      <c r="A448" s="1">
        <v>43112</v>
      </c>
      <c r="B448">
        <v>14.28123949930484</v>
      </c>
    </row>
    <row r="449" spans="1:2" x14ac:dyDescent="0.2">
      <c r="A449" s="1">
        <v>43115</v>
      </c>
      <c r="B449">
        <v>15.52952284098459</v>
      </c>
    </row>
    <row r="450" spans="1:2" x14ac:dyDescent="0.2">
      <c r="A450" s="1">
        <v>43116</v>
      </c>
      <c r="B450">
        <v>16.07758444912238</v>
      </c>
    </row>
    <row r="451" spans="1:2" x14ac:dyDescent="0.2">
      <c r="A451" s="1">
        <v>43117</v>
      </c>
      <c r="B451">
        <v>19.742317336498228</v>
      </c>
    </row>
    <row r="452" spans="1:2" x14ac:dyDescent="0.2">
      <c r="A452" s="1">
        <v>43118</v>
      </c>
      <c r="B452">
        <v>22.093193970352608</v>
      </c>
    </row>
    <row r="453" spans="1:2" x14ac:dyDescent="0.2">
      <c r="A453" s="1">
        <v>43119</v>
      </c>
      <c r="B453">
        <v>21.8176992402827</v>
      </c>
    </row>
    <row r="454" spans="1:2" x14ac:dyDescent="0.2">
      <c r="A454" s="1">
        <v>43122</v>
      </c>
      <c r="B454">
        <v>20.97584419194305</v>
      </c>
    </row>
    <row r="455" spans="1:2" x14ac:dyDescent="0.2">
      <c r="A455" s="1">
        <v>43123</v>
      </c>
      <c r="B455">
        <v>21.138696394999371</v>
      </c>
    </row>
    <row r="456" spans="1:2" x14ac:dyDescent="0.2">
      <c r="A456" s="1">
        <v>43124</v>
      </c>
      <c r="B456">
        <v>22.742225347850219</v>
      </c>
    </row>
    <row r="457" spans="1:2" x14ac:dyDescent="0.2">
      <c r="A457" s="1">
        <v>43125</v>
      </c>
      <c r="B457">
        <v>20.00155679019603</v>
      </c>
    </row>
    <row r="458" spans="1:2" x14ac:dyDescent="0.2">
      <c r="A458" s="1">
        <v>43126</v>
      </c>
      <c r="B458">
        <v>17.961445145899742</v>
      </c>
    </row>
    <row r="459" spans="1:2" x14ac:dyDescent="0.2">
      <c r="A459" s="1">
        <v>43129</v>
      </c>
      <c r="B459">
        <v>18.501230015576549</v>
      </c>
    </row>
    <row r="460" spans="1:2" x14ac:dyDescent="0.2">
      <c r="A460" s="1">
        <v>43130</v>
      </c>
      <c r="B460">
        <v>16.10278725580233</v>
      </c>
    </row>
    <row r="461" spans="1:2" x14ac:dyDescent="0.2">
      <c r="A461" s="1">
        <v>43131</v>
      </c>
      <c r="B461">
        <v>17.169027360149428</v>
      </c>
    </row>
    <row r="462" spans="1:2" x14ac:dyDescent="0.2">
      <c r="A462" s="1">
        <v>43132</v>
      </c>
      <c r="B462">
        <v>16.783801700618611</v>
      </c>
    </row>
    <row r="463" spans="1:2" x14ac:dyDescent="0.2">
      <c r="A463" s="1">
        <v>43133</v>
      </c>
      <c r="B463">
        <v>17.041038680986858</v>
      </c>
    </row>
    <row r="464" spans="1:2" x14ac:dyDescent="0.2">
      <c r="A464" s="1">
        <v>43136</v>
      </c>
      <c r="B464">
        <v>18.57349466611193</v>
      </c>
    </row>
    <row r="465" spans="1:2" x14ac:dyDescent="0.2">
      <c r="A465" s="1">
        <v>43137</v>
      </c>
      <c r="B465">
        <v>22.280661241804211</v>
      </c>
    </row>
    <row r="466" spans="1:2" x14ac:dyDescent="0.2">
      <c r="A466" s="1">
        <v>43138</v>
      </c>
      <c r="B466">
        <v>24.275213012407232</v>
      </c>
    </row>
    <row r="467" spans="1:2" x14ac:dyDescent="0.2">
      <c r="A467" s="1">
        <v>43139</v>
      </c>
      <c r="B467">
        <v>25.922689014796301</v>
      </c>
    </row>
    <row r="468" spans="1:2" x14ac:dyDescent="0.2">
      <c r="A468" s="1">
        <v>43140</v>
      </c>
      <c r="B468">
        <v>34.845078446398539</v>
      </c>
    </row>
    <row r="469" spans="1:2" x14ac:dyDescent="0.2">
      <c r="A469" s="1">
        <v>43143</v>
      </c>
      <c r="B469">
        <v>29.401617210012969</v>
      </c>
    </row>
    <row r="470" spans="1:2" x14ac:dyDescent="0.2">
      <c r="A470" s="1">
        <v>43144</v>
      </c>
      <c r="B470">
        <v>28.458678428643069</v>
      </c>
    </row>
    <row r="471" spans="1:2" x14ac:dyDescent="0.2">
      <c r="A471" s="1">
        <v>43145</v>
      </c>
      <c r="B471">
        <v>28.08259783543302</v>
      </c>
    </row>
    <row r="472" spans="1:2" x14ac:dyDescent="0.2">
      <c r="A472" s="1">
        <v>43153</v>
      </c>
      <c r="B472">
        <v>28.017950941372479</v>
      </c>
    </row>
    <row r="473" spans="1:2" x14ac:dyDescent="0.2">
      <c r="A473" s="1">
        <v>43154</v>
      </c>
      <c r="B473">
        <v>25.007601129732421</v>
      </c>
    </row>
    <row r="474" spans="1:2" x14ac:dyDescent="0.2">
      <c r="A474" s="1">
        <v>43157</v>
      </c>
      <c r="B474">
        <v>24.48491953505933</v>
      </c>
    </row>
    <row r="475" spans="1:2" x14ac:dyDescent="0.2">
      <c r="A475" s="1">
        <v>43158</v>
      </c>
      <c r="B475">
        <v>25.731960766550639</v>
      </c>
    </row>
    <row r="476" spans="1:2" x14ac:dyDescent="0.2">
      <c r="A476" s="1">
        <v>43159</v>
      </c>
      <c r="B476">
        <v>26.120661356434841</v>
      </c>
    </row>
    <row r="477" spans="1:2" x14ac:dyDescent="0.2">
      <c r="A477" s="1">
        <v>43160</v>
      </c>
      <c r="B477">
        <v>23.93014053920891</v>
      </c>
    </row>
    <row r="478" spans="1:2" x14ac:dyDescent="0.2">
      <c r="A478" s="1">
        <v>43161</v>
      </c>
      <c r="B478">
        <v>23.745408477085579</v>
      </c>
    </row>
    <row r="479" spans="1:2" x14ac:dyDescent="0.2">
      <c r="A479" s="1">
        <v>43164</v>
      </c>
      <c r="B479">
        <v>22.328663447526409</v>
      </c>
    </row>
    <row r="480" spans="1:2" x14ac:dyDescent="0.2">
      <c r="A480" s="1">
        <v>43165</v>
      </c>
      <c r="B480">
        <v>21.066097735623991</v>
      </c>
    </row>
    <row r="481" spans="1:2" x14ac:dyDescent="0.2">
      <c r="A481" s="1">
        <v>43166</v>
      </c>
      <c r="B481">
        <v>22.00346628612083</v>
      </c>
    </row>
    <row r="482" spans="1:2" x14ac:dyDescent="0.2">
      <c r="A482" s="1">
        <v>43167</v>
      </c>
      <c r="B482">
        <v>21.07560112733843</v>
      </c>
    </row>
    <row r="483" spans="1:2" x14ac:dyDescent="0.2">
      <c r="A483" s="1">
        <v>43168</v>
      </c>
      <c r="B483">
        <v>20.52726556854407</v>
      </c>
    </row>
    <row r="484" spans="1:2" x14ac:dyDescent="0.2">
      <c r="A484" s="1">
        <v>43171</v>
      </c>
      <c r="B484">
        <v>21.410888202437171</v>
      </c>
    </row>
    <row r="485" spans="1:2" x14ac:dyDescent="0.2">
      <c r="A485" s="1">
        <v>43172</v>
      </c>
      <c r="B485">
        <v>21.83677500555596</v>
      </c>
    </row>
    <row r="486" spans="1:2" x14ac:dyDescent="0.2">
      <c r="A486" s="1">
        <v>43173</v>
      </c>
      <c r="B486">
        <v>21.074527903323819</v>
      </c>
    </row>
    <row r="487" spans="1:2" x14ac:dyDescent="0.2">
      <c r="A487" s="1">
        <v>43174</v>
      </c>
      <c r="B487">
        <v>20.510422892467719</v>
      </c>
    </row>
    <row r="488" spans="1:2" x14ac:dyDescent="0.2">
      <c r="A488" s="1">
        <v>43175</v>
      </c>
      <c r="B488">
        <v>20.849276263359769</v>
      </c>
    </row>
    <row r="489" spans="1:2" x14ac:dyDescent="0.2">
      <c r="A489" s="1">
        <v>43178</v>
      </c>
      <c r="B489">
        <v>21.031106926870649</v>
      </c>
    </row>
    <row r="490" spans="1:2" x14ac:dyDescent="0.2">
      <c r="A490" s="1">
        <v>43179</v>
      </c>
      <c r="B490">
        <v>20.896938644252948</v>
      </c>
    </row>
    <row r="491" spans="1:2" x14ac:dyDescent="0.2">
      <c r="A491" s="1">
        <v>43180</v>
      </c>
      <c r="B491">
        <v>22.91003716295403</v>
      </c>
    </row>
    <row r="492" spans="1:2" x14ac:dyDescent="0.2">
      <c r="A492" s="1">
        <v>43181</v>
      </c>
      <c r="B492">
        <v>22.373814341066609</v>
      </c>
    </row>
    <row r="493" spans="1:2" x14ac:dyDescent="0.2">
      <c r="A493" s="1">
        <v>43182</v>
      </c>
      <c r="B493">
        <v>26.2851991845986</v>
      </c>
    </row>
    <row r="494" spans="1:2" x14ac:dyDescent="0.2">
      <c r="A494" s="1">
        <v>43185</v>
      </c>
      <c r="B494">
        <v>24.771113926559099</v>
      </c>
    </row>
    <row r="495" spans="1:2" x14ac:dyDescent="0.2">
      <c r="A495" s="1">
        <v>43186</v>
      </c>
      <c r="B495">
        <v>23.739740882870048</v>
      </c>
    </row>
    <row r="496" spans="1:2" x14ac:dyDescent="0.2">
      <c r="A496" s="1">
        <v>43187</v>
      </c>
      <c r="B496">
        <v>24.902760686277929</v>
      </c>
    </row>
    <row r="497" spans="1:2" x14ac:dyDescent="0.2">
      <c r="A497" s="1">
        <v>43188</v>
      </c>
      <c r="B497">
        <v>25.072136206657191</v>
      </c>
    </row>
    <row r="498" spans="1:2" x14ac:dyDescent="0.2">
      <c r="A498" s="1">
        <v>43189</v>
      </c>
      <c r="B498">
        <v>25.022035525022311</v>
      </c>
    </row>
    <row r="499" spans="1:2" x14ac:dyDescent="0.2">
      <c r="A499" s="1">
        <v>43192</v>
      </c>
      <c r="B499">
        <v>24.79158884524907</v>
      </c>
    </row>
    <row r="500" spans="1:2" x14ac:dyDescent="0.2">
      <c r="A500" s="1">
        <v>43193</v>
      </c>
      <c r="B500">
        <v>24.704489461786341</v>
      </c>
    </row>
    <row r="501" spans="1:2" x14ac:dyDescent="0.2">
      <c r="A501" s="1">
        <v>43194</v>
      </c>
      <c r="B501">
        <v>24.450181016809399</v>
      </c>
    </row>
    <row r="502" spans="1:2" x14ac:dyDescent="0.2">
      <c r="A502" s="1">
        <v>43199</v>
      </c>
      <c r="B502">
        <v>24.98360859563639</v>
      </c>
    </row>
    <row r="503" spans="1:2" x14ac:dyDescent="0.2">
      <c r="A503" s="1">
        <v>43200</v>
      </c>
      <c r="B503">
        <v>23.456439354097238</v>
      </c>
    </row>
    <row r="504" spans="1:2" x14ac:dyDescent="0.2">
      <c r="A504" s="1">
        <v>43201</v>
      </c>
      <c r="B504">
        <v>23.95139795197743</v>
      </c>
    </row>
    <row r="505" spans="1:2" x14ac:dyDescent="0.2">
      <c r="A505" s="1">
        <v>43202</v>
      </c>
      <c r="B505">
        <v>24.38064792591938</v>
      </c>
    </row>
    <row r="506" spans="1:2" x14ac:dyDescent="0.2">
      <c r="A506" s="1">
        <v>43203</v>
      </c>
      <c r="B506">
        <v>24.66410802138336</v>
      </c>
    </row>
    <row r="507" spans="1:2" x14ac:dyDescent="0.2">
      <c r="A507" s="1">
        <v>43206</v>
      </c>
      <c r="B507">
        <v>25.543102490269771</v>
      </c>
    </row>
    <row r="508" spans="1:2" x14ac:dyDescent="0.2">
      <c r="A508" s="1">
        <v>43207</v>
      </c>
      <c r="B508">
        <v>25.64556520987831</v>
      </c>
    </row>
    <row r="509" spans="1:2" x14ac:dyDescent="0.2">
      <c r="A509" s="1">
        <v>43208</v>
      </c>
      <c r="B509">
        <v>27.10908849261601</v>
      </c>
    </row>
    <row r="510" spans="1:2" x14ac:dyDescent="0.2">
      <c r="A510" s="1">
        <v>43209</v>
      </c>
      <c r="B510">
        <v>25.18917569185831</v>
      </c>
    </row>
    <row r="511" spans="1:2" x14ac:dyDescent="0.2">
      <c r="A511" s="1">
        <v>43210</v>
      </c>
      <c r="B511">
        <v>23.984443460652869</v>
      </c>
    </row>
    <row r="512" spans="1:2" x14ac:dyDescent="0.2">
      <c r="A512" s="1">
        <v>43213</v>
      </c>
      <c r="B512">
        <v>22.853532269590261</v>
      </c>
    </row>
    <row r="513" spans="1:2" x14ac:dyDescent="0.2">
      <c r="A513" s="1">
        <v>43214</v>
      </c>
      <c r="B513">
        <v>23.100679765753171</v>
      </c>
    </row>
    <row r="514" spans="1:2" x14ac:dyDescent="0.2">
      <c r="A514" s="1">
        <v>43215</v>
      </c>
      <c r="B514">
        <v>22.78435069107832</v>
      </c>
    </row>
    <row r="515" spans="1:2" x14ac:dyDescent="0.2">
      <c r="A515" s="1">
        <v>43216</v>
      </c>
      <c r="B515">
        <v>22.95406360274411</v>
      </c>
    </row>
    <row r="516" spans="1:2" x14ac:dyDescent="0.2">
      <c r="A516" s="1">
        <v>43217</v>
      </c>
      <c r="B516">
        <v>23.759194353394172</v>
      </c>
    </row>
    <row r="517" spans="1:2" x14ac:dyDescent="0.2">
      <c r="A517" s="1">
        <v>43222</v>
      </c>
      <c r="B517">
        <v>25.421391346865569</v>
      </c>
    </row>
    <row r="518" spans="1:2" x14ac:dyDescent="0.2">
      <c r="A518" s="1">
        <v>43223</v>
      </c>
      <c r="B518">
        <v>25.629974454605279</v>
      </c>
    </row>
    <row r="519" spans="1:2" x14ac:dyDescent="0.2">
      <c r="A519" s="1">
        <v>43224</v>
      </c>
      <c r="B519">
        <v>25.953814936560729</v>
      </c>
    </row>
    <row r="520" spans="1:2" x14ac:dyDescent="0.2">
      <c r="A520" s="1">
        <v>43227</v>
      </c>
      <c r="B520">
        <v>25.645915012670709</v>
      </c>
    </row>
    <row r="521" spans="1:2" x14ac:dyDescent="0.2">
      <c r="A521" s="1">
        <v>43228</v>
      </c>
      <c r="B521">
        <v>24.5942207589441</v>
      </c>
    </row>
    <row r="522" spans="1:2" x14ac:dyDescent="0.2">
      <c r="A522" s="1">
        <v>43229</v>
      </c>
      <c r="B522">
        <v>24.066229113927839</v>
      </c>
    </row>
    <row r="523" spans="1:2" x14ac:dyDescent="0.2">
      <c r="A523" s="1">
        <v>43230</v>
      </c>
      <c r="B523">
        <v>22.678012734522799</v>
      </c>
    </row>
    <row r="524" spans="1:2" x14ac:dyDescent="0.2">
      <c r="A524" s="1">
        <v>43231</v>
      </c>
      <c r="B524">
        <v>22.236563252081169</v>
      </c>
    </row>
    <row r="525" spans="1:2" x14ac:dyDescent="0.2">
      <c r="A525" s="1">
        <v>43234</v>
      </c>
      <c r="B525">
        <v>20.88804752081748</v>
      </c>
    </row>
    <row r="526" spans="1:2" x14ac:dyDescent="0.2">
      <c r="A526" s="1">
        <v>43235</v>
      </c>
      <c r="B526">
        <v>19.945380001735831</v>
      </c>
    </row>
    <row r="527" spans="1:2" x14ac:dyDescent="0.2">
      <c r="A527" s="1">
        <v>43236</v>
      </c>
      <c r="B527">
        <v>24.060384043014739</v>
      </c>
    </row>
    <row r="528" spans="1:2" x14ac:dyDescent="0.2">
      <c r="A528" s="1">
        <v>43237</v>
      </c>
      <c r="B528">
        <v>22.184060399943402</v>
      </c>
    </row>
    <row r="529" spans="1:2" x14ac:dyDescent="0.2">
      <c r="A529" s="1">
        <v>43238</v>
      </c>
      <c r="B529">
        <v>21.313832594561571</v>
      </c>
    </row>
    <row r="530" spans="1:2" x14ac:dyDescent="0.2">
      <c r="A530" s="1">
        <v>43241</v>
      </c>
      <c r="B530">
        <v>20.167683630813059</v>
      </c>
    </row>
    <row r="531" spans="1:2" x14ac:dyDescent="0.2">
      <c r="A531" s="1">
        <v>43242</v>
      </c>
      <c r="B531">
        <v>19.68722670917969</v>
      </c>
    </row>
    <row r="532" spans="1:2" x14ac:dyDescent="0.2">
      <c r="A532" s="1">
        <v>43243</v>
      </c>
      <c r="B532">
        <v>20.042892055803989</v>
      </c>
    </row>
    <row r="533" spans="1:2" x14ac:dyDescent="0.2">
      <c r="A533" s="1">
        <v>43244</v>
      </c>
      <c r="B533">
        <v>19.015749150638051</v>
      </c>
    </row>
    <row r="534" spans="1:2" x14ac:dyDescent="0.2">
      <c r="A534" s="1">
        <v>43245</v>
      </c>
      <c r="B534">
        <v>18.74744169018317</v>
      </c>
    </row>
    <row r="535" spans="1:2" x14ac:dyDescent="0.2">
      <c r="A535" s="1">
        <v>43248</v>
      </c>
      <c r="B535">
        <v>18.14845427976331</v>
      </c>
    </row>
    <row r="536" spans="1:2" x14ac:dyDescent="0.2">
      <c r="A536" s="1">
        <v>43249</v>
      </c>
      <c r="B536">
        <v>18.59127055369078</v>
      </c>
    </row>
    <row r="537" spans="1:2" x14ac:dyDescent="0.2">
      <c r="A537" s="1">
        <v>43250</v>
      </c>
      <c r="B537">
        <v>21.514089979809739</v>
      </c>
    </row>
    <row r="538" spans="1:2" x14ac:dyDescent="0.2">
      <c r="A538" s="1">
        <v>43251</v>
      </c>
      <c r="B538">
        <v>20.298078518267339</v>
      </c>
    </row>
    <row r="539" spans="1:2" x14ac:dyDescent="0.2">
      <c r="A539" s="1">
        <v>43252</v>
      </c>
      <c r="B539">
        <v>20.42194488855813</v>
      </c>
    </row>
    <row r="540" spans="1:2" x14ac:dyDescent="0.2">
      <c r="A540" s="1">
        <v>43255</v>
      </c>
      <c r="B540">
        <v>19.394963588497351</v>
      </c>
    </row>
    <row r="541" spans="1:2" x14ac:dyDescent="0.2">
      <c r="A541" s="1">
        <v>43256</v>
      </c>
      <c r="B541">
        <v>19.126682771540061</v>
      </c>
    </row>
    <row r="542" spans="1:2" x14ac:dyDescent="0.2">
      <c r="A542" s="1">
        <v>43257</v>
      </c>
      <c r="B542">
        <v>18.769692262468471</v>
      </c>
    </row>
    <row r="543" spans="1:2" x14ac:dyDescent="0.2">
      <c r="A543" s="1">
        <v>43258</v>
      </c>
      <c r="B543">
        <v>18.17222855321695</v>
      </c>
    </row>
    <row r="544" spans="1:2" x14ac:dyDescent="0.2">
      <c r="A544" s="1">
        <v>43259</v>
      </c>
      <c r="B544">
        <v>19.452766954248489</v>
      </c>
    </row>
    <row r="545" spans="1:2" x14ac:dyDescent="0.2">
      <c r="A545" s="1">
        <v>43262</v>
      </c>
      <c r="B545">
        <v>20.124709439551989</v>
      </c>
    </row>
    <row r="546" spans="1:2" x14ac:dyDescent="0.2">
      <c r="A546" s="1">
        <v>43263</v>
      </c>
      <c r="B546">
        <v>19.028764187967418</v>
      </c>
    </row>
    <row r="547" spans="1:2" x14ac:dyDescent="0.2">
      <c r="A547" s="1">
        <v>43264</v>
      </c>
      <c r="B547">
        <v>19.38254100236983</v>
      </c>
    </row>
    <row r="548" spans="1:2" x14ac:dyDescent="0.2">
      <c r="A548" s="1">
        <v>43265</v>
      </c>
      <c r="B548">
        <v>19.786324662768031</v>
      </c>
    </row>
    <row r="549" spans="1:2" x14ac:dyDescent="0.2">
      <c r="A549" s="1">
        <v>43266</v>
      </c>
      <c r="B549">
        <v>20.238685461007741</v>
      </c>
    </row>
    <row r="550" spans="1:2" x14ac:dyDescent="0.2">
      <c r="A550" s="1">
        <v>43270</v>
      </c>
      <c r="B550">
        <v>23.939748797785018</v>
      </c>
    </row>
    <row r="551" spans="1:2" x14ac:dyDescent="0.2">
      <c r="A551" s="1">
        <v>43271</v>
      </c>
      <c r="B551">
        <v>22.95502163149072</v>
      </c>
    </row>
    <row r="552" spans="1:2" x14ac:dyDescent="0.2">
      <c r="A552" s="1">
        <v>43272</v>
      </c>
      <c r="B552">
        <v>21.402423909775031</v>
      </c>
    </row>
    <row r="553" spans="1:2" x14ac:dyDescent="0.2">
      <c r="A553" s="1">
        <v>43273</v>
      </c>
      <c r="B553">
        <v>20.735313342695019</v>
      </c>
    </row>
    <row r="554" spans="1:2" x14ac:dyDescent="0.2">
      <c r="A554" s="1">
        <v>43276</v>
      </c>
      <c r="B554">
        <v>20.884043122674051</v>
      </c>
    </row>
    <row r="555" spans="1:2" x14ac:dyDescent="0.2">
      <c r="A555" s="1">
        <v>43277</v>
      </c>
      <c r="B555">
        <v>21.32861100969285</v>
      </c>
    </row>
    <row r="556" spans="1:2" x14ac:dyDescent="0.2">
      <c r="A556" s="1">
        <v>43278</v>
      </c>
      <c r="B556">
        <v>23.028558790746029</v>
      </c>
    </row>
    <row r="557" spans="1:2" x14ac:dyDescent="0.2">
      <c r="A557" s="1">
        <v>43279</v>
      </c>
      <c r="B557">
        <v>23.559196070007431</v>
      </c>
    </row>
    <row r="558" spans="1:2" x14ac:dyDescent="0.2">
      <c r="A558" s="1">
        <v>43280</v>
      </c>
      <c r="B558">
        <v>21.8300846834601</v>
      </c>
    </row>
    <row r="559" spans="1:2" x14ac:dyDescent="0.2">
      <c r="A559" s="1">
        <v>43283</v>
      </c>
      <c r="B559">
        <v>25.54623233776903</v>
      </c>
    </row>
    <row r="560" spans="1:2" x14ac:dyDescent="0.2">
      <c r="A560" s="1">
        <v>43284</v>
      </c>
      <c r="B560">
        <v>26.332324353386539</v>
      </c>
    </row>
    <row r="561" spans="1:2" x14ac:dyDescent="0.2">
      <c r="A561" s="1">
        <v>43285</v>
      </c>
      <c r="B561">
        <v>26.9387926483092</v>
      </c>
    </row>
    <row r="562" spans="1:2" x14ac:dyDescent="0.2">
      <c r="A562" s="1">
        <v>43286</v>
      </c>
      <c r="B562">
        <v>27.262367505933248</v>
      </c>
    </row>
    <row r="563" spans="1:2" x14ac:dyDescent="0.2">
      <c r="A563" s="1">
        <v>43287</v>
      </c>
      <c r="B563">
        <v>26.230877843690401</v>
      </c>
    </row>
    <row r="564" spans="1:2" x14ac:dyDescent="0.2">
      <c r="A564" s="1">
        <v>43290</v>
      </c>
      <c r="B564">
        <v>23.623927111734321</v>
      </c>
    </row>
    <row r="565" spans="1:2" x14ac:dyDescent="0.2">
      <c r="A565" s="1">
        <v>43291</v>
      </c>
      <c r="B565">
        <v>23.53737389727516</v>
      </c>
    </row>
    <row r="566" spans="1:2" x14ac:dyDescent="0.2">
      <c r="A566" s="1">
        <v>43292</v>
      </c>
      <c r="B566">
        <v>25.61048975449571</v>
      </c>
    </row>
    <row r="567" spans="1:2" x14ac:dyDescent="0.2">
      <c r="A567" s="1">
        <v>43293</v>
      </c>
      <c r="B567">
        <v>24.063683017223919</v>
      </c>
    </row>
    <row r="568" spans="1:2" x14ac:dyDescent="0.2">
      <c r="A568" s="1">
        <v>43294</v>
      </c>
      <c r="B568">
        <v>23.841866505437078</v>
      </c>
    </row>
    <row r="569" spans="1:2" x14ac:dyDescent="0.2">
      <c r="A569" s="1">
        <v>43297</v>
      </c>
      <c r="B569">
        <v>23.672684863151069</v>
      </c>
    </row>
    <row r="570" spans="1:2" x14ac:dyDescent="0.2">
      <c r="A570" s="1">
        <v>43298</v>
      </c>
      <c r="B570">
        <v>23.220916767770468</v>
      </c>
    </row>
    <row r="571" spans="1:2" x14ac:dyDescent="0.2">
      <c r="A571" s="1">
        <v>43299</v>
      </c>
      <c r="B571">
        <v>24.046105328011269</v>
      </c>
    </row>
    <row r="572" spans="1:2" x14ac:dyDescent="0.2">
      <c r="A572" s="1">
        <v>43300</v>
      </c>
      <c r="B572">
        <v>22.854777315274099</v>
      </c>
    </row>
    <row r="573" spans="1:2" x14ac:dyDescent="0.2">
      <c r="A573" s="1">
        <v>43301</v>
      </c>
      <c r="B573">
        <v>22.347153338505539</v>
      </c>
    </row>
    <row r="574" spans="1:2" x14ac:dyDescent="0.2">
      <c r="A574" s="1">
        <v>43304</v>
      </c>
      <c r="B574">
        <v>22.509940851704339</v>
      </c>
    </row>
    <row r="575" spans="1:2" x14ac:dyDescent="0.2">
      <c r="A575" s="1">
        <v>43305</v>
      </c>
      <c r="B575">
        <v>23.78042751970586</v>
      </c>
    </row>
    <row r="576" spans="1:2" x14ac:dyDescent="0.2">
      <c r="A576" s="1">
        <v>43306</v>
      </c>
      <c r="B576">
        <v>24.01816739421848</v>
      </c>
    </row>
    <row r="577" spans="1:2" x14ac:dyDescent="0.2">
      <c r="A577" s="1">
        <v>43307</v>
      </c>
      <c r="B577">
        <v>23.190566750319149</v>
      </c>
    </row>
    <row r="578" spans="1:2" x14ac:dyDescent="0.2">
      <c r="A578" s="1">
        <v>43308</v>
      </c>
      <c r="B578">
        <v>22.13449009182337</v>
      </c>
    </row>
    <row r="579" spans="1:2" x14ac:dyDescent="0.2">
      <c r="A579" s="1">
        <v>43311</v>
      </c>
      <c r="B579">
        <v>22.507189802271672</v>
      </c>
    </row>
    <row r="580" spans="1:2" x14ac:dyDescent="0.2">
      <c r="A580" s="1">
        <v>43312</v>
      </c>
      <c r="B580">
        <v>22.41623088306007</v>
      </c>
    </row>
    <row r="581" spans="1:2" x14ac:dyDescent="0.2">
      <c r="A581" s="1">
        <v>43313</v>
      </c>
      <c r="B581">
        <v>24.180695326151451</v>
      </c>
    </row>
    <row r="582" spans="1:2" x14ac:dyDescent="0.2">
      <c r="A582" s="1">
        <v>43314</v>
      </c>
      <c r="B582">
        <v>25.170203278876041</v>
      </c>
    </row>
    <row r="583" spans="1:2" x14ac:dyDescent="0.2">
      <c r="A583" s="1">
        <v>43315</v>
      </c>
      <c r="B583">
        <v>25.252498224677002</v>
      </c>
    </row>
    <row r="584" spans="1:2" x14ac:dyDescent="0.2">
      <c r="A584" s="1">
        <v>43318</v>
      </c>
      <c r="B584">
        <v>26.056341423972579</v>
      </c>
    </row>
    <row r="585" spans="1:2" x14ac:dyDescent="0.2">
      <c r="A585" s="1">
        <v>43319</v>
      </c>
      <c r="B585">
        <v>25.564188842668589</v>
      </c>
    </row>
    <row r="586" spans="1:2" x14ac:dyDescent="0.2">
      <c r="A586" s="1">
        <v>43320</v>
      </c>
      <c r="B586">
        <v>25.80063189108898</v>
      </c>
    </row>
    <row r="587" spans="1:2" x14ac:dyDescent="0.2">
      <c r="A587" s="1">
        <v>43321</v>
      </c>
      <c r="B587">
        <v>25.724723742728539</v>
      </c>
    </row>
    <row r="588" spans="1:2" x14ac:dyDescent="0.2">
      <c r="A588" s="1">
        <v>43322</v>
      </c>
      <c r="B588">
        <v>24.954692804880491</v>
      </c>
    </row>
    <row r="589" spans="1:2" x14ac:dyDescent="0.2">
      <c r="A589" s="1">
        <v>43325</v>
      </c>
      <c r="B589">
        <v>25.6984787885809</v>
      </c>
    </row>
    <row r="590" spans="1:2" x14ac:dyDescent="0.2">
      <c r="A590" s="1">
        <v>43326</v>
      </c>
      <c r="B590">
        <v>25.577205245762801</v>
      </c>
    </row>
    <row r="591" spans="1:2" x14ac:dyDescent="0.2">
      <c r="A591" s="1">
        <v>43327</v>
      </c>
      <c r="B591">
        <v>30.587319505797591</v>
      </c>
    </row>
    <row r="592" spans="1:2" x14ac:dyDescent="0.2">
      <c r="A592" s="1">
        <v>43328</v>
      </c>
      <c r="B592">
        <v>30.548826956183749</v>
      </c>
    </row>
    <row r="593" spans="1:2" x14ac:dyDescent="0.2">
      <c r="A593" s="1">
        <v>43329</v>
      </c>
      <c r="B593">
        <v>30.317564369040561</v>
      </c>
    </row>
    <row r="594" spans="1:2" x14ac:dyDescent="0.2">
      <c r="A594" s="1">
        <v>43332</v>
      </c>
      <c r="B594">
        <v>29.674909063083</v>
      </c>
    </row>
    <row r="595" spans="1:2" x14ac:dyDescent="0.2">
      <c r="A595" s="1">
        <v>43333</v>
      </c>
      <c r="B595">
        <v>26.667837593803331</v>
      </c>
    </row>
    <row r="596" spans="1:2" x14ac:dyDescent="0.2">
      <c r="A596" s="1">
        <v>43334</v>
      </c>
      <c r="B596">
        <v>25.22642302919515</v>
      </c>
    </row>
    <row r="597" spans="1:2" x14ac:dyDescent="0.2">
      <c r="A597" s="1">
        <v>43335</v>
      </c>
      <c r="B597">
        <v>23.773195862199501</v>
      </c>
    </row>
    <row r="598" spans="1:2" x14ac:dyDescent="0.2">
      <c r="A598" s="1">
        <v>43336</v>
      </c>
      <c r="B598">
        <v>23.288492243753641</v>
      </c>
    </row>
    <row r="599" spans="1:2" x14ac:dyDescent="0.2">
      <c r="A599" s="1">
        <v>43339</v>
      </c>
      <c r="B599">
        <v>22.361424264217501</v>
      </c>
    </row>
    <row r="600" spans="1:2" x14ac:dyDescent="0.2">
      <c r="A600" s="1">
        <v>43340</v>
      </c>
      <c r="B600">
        <v>22.422462229293011</v>
      </c>
    </row>
    <row r="601" spans="1:2" x14ac:dyDescent="0.2">
      <c r="A601" s="1">
        <v>43341</v>
      </c>
      <c r="B601">
        <v>22.777775270897571</v>
      </c>
    </row>
    <row r="602" spans="1:2" x14ac:dyDescent="0.2">
      <c r="A602" s="1">
        <v>43342</v>
      </c>
      <c r="B602">
        <v>22.965912766873512</v>
      </c>
    </row>
    <row r="603" spans="1:2" x14ac:dyDescent="0.2">
      <c r="A603" s="1">
        <v>43343</v>
      </c>
      <c r="B603">
        <v>22.75247895477904</v>
      </c>
    </row>
    <row r="604" spans="1:2" x14ac:dyDescent="0.2">
      <c r="A604" s="1">
        <v>43346</v>
      </c>
      <c r="B604">
        <v>23.309717293848902</v>
      </c>
    </row>
    <row r="605" spans="1:2" x14ac:dyDescent="0.2">
      <c r="A605" s="1">
        <v>43347</v>
      </c>
      <c r="B605">
        <v>22.518173802494299</v>
      </c>
    </row>
    <row r="606" spans="1:2" x14ac:dyDescent="0.2">
      <c r="A606" s="1">
        <v>43348</v>
      </c>
      <c r="B606">
        <v>23.746022356425069</v>
      </c>
    </row>
    <row r="607" spans="1:2" x14ac:dyDescent="0.2">
      <c r="A607" s="1">
        <v>43349</v>
      </c>
      <c r="B607">
        <v>24.007406146594619</v>
      </c>
    </row>
    <row r="608" spans="1:2" x14ac:dyDescent="0.2">
      <c r="A608" s="1">
        <v>43350</v>
      </c>
      <c r="B608">
        <v>23.887618300554159</v>
      </c>
    </row>
    <row r="609" spans="1:2" x14ac:dyDescent="0.2">
      <c r="A609" s="1">
        <v>43353</v>
      </c>
      <c r="B609">
        <v>24.764769134683149</v>
      </c>
    </row>
    <row r="610" spans="1:2" x14ac:dyDescent="0.2">
      <c r="A610" s="1">
        <v>43354</v>
      </c>
      <c r="B610">
        <v>24.293322574521561</v>
      </c>
    </row>
    <row r="611" spans="1:2" x14ac:dyDescent="0.2">
      <c r="A611" s="1">
        <v>43355</v>
      </c>
      <c r="B611">
        <v>24.221223696720489</v>
      </c>
    </row>
    <row r="612" spans="1:2" x14ac:dyDescent="0.2">
      <c r="A612" s="1">
        <v>43356</v>
      </c>
      <c r="B612">
        <v>23.420081432069299</v>
      </c>
    </row>
    <row r="613" spans="1:2" x14ac:dyDescent="0.2">
      <c r="A613" s="1">
        <v>43357</v>
      </c>
      <c r="B613">
        <v>21.942189047269771</v>
      </c>
    </row>
    <row r="614" spans="1:2" x14ac:dyDescent="0.2">
      <c r="A614" s="1">
        <v>43360</v>
      </c>
      <c r="B614">
        <v>21.283104481465781</v>
      </c>
    </row>
    <row r="615" spans="1:2" x14ac:dyDescent="0.2">
      <c r="A615" s="1">
        <v>43361</v>
      </c>
      <c r="B615">
        <v>20.681099870092279</v>
      </c>
    </row>
    <row r="616" spans="1:2" x14ac:dyDescent="0.2">
      <c r="A616" s="1">
        <v>43362</v>
      </c>
      <c r="B616">
        <v>21.0474728373202</v>
      </c>
    </row>
    <row r="617" spans="1:2" x14ac:dyDescent="0.2">
      <c r="A617" s="1">
        <v>43363</v>
      </c>
      <c r="B617">
        <v>19.897500203164249</v>
      </c>
    </row>
    <row r="618" spans="1:2" x14ac:dyDescent="0.2">
      <c r="A618" s="1">
        <v>43364</v>
      </c>
      <c r="B618">
        <v>20.317029805528549</v>
      </c>
    </row>
    <row r="619" spans="1:2" x14ac:dyDescent="0.2">
      <c r="A619" s="1">
        <v>43368</v>
      </c>
      <c r="B619">
        <v>20.808916989232191</v>
      </c>
    </row>
    <row r="620" spans="1:2" x14ac:dyDescent="0.2">
      <c r="A620" s="1">
        <v>43369</v>
      </c>
      <c r="B620">
        <v>21.541045815077059</v>
      </c>
    </row>
    <row r="621" spans="1:2" x14ac:dyDescent="0.2">
      <c r="A621" s="1">
        <v>43370</v>
      </c>
      <c r="B621">
        <v>20.854092283696229</v>
      </c>
    </row>
    <row r="622" spans="1:2" x14ac:dyDescent="0.2">
      <c r="A622" s="1">
        <v>43371</v>
      </c>
      <c r="B622">
        <v>21.187025068787019</v>
      </c>
    </row>
    <row r="623" spans="1:2" x14ac:dyDescent="0.2">
      <c r="A623" s="1">
        <v>43381</v>
      </c>
      <c r="B623">
        <v>23.327739554898859</v>
      </c>
    </row>
    <row r="624" spans="1:2" x14ac:dyDescent="0.2">
      <c r="A624" s="1">
        <v>43382</v>
      </c>
      <c r="B624">
        <v>23.431713012277921</v>
      </c>
    </row>
    <row r="625" spans="1:2" x14ac:dyDescent="0.2">
      <c r="A625" s="1">
        <v>43383</v>
      </c>
      <c r="B625">
        <v>23.403974264971339</v>
      </c>
    </row>
    <row r="626" spans="1:2" x14ac:dyDescent="0.2">
      <c r="A626" s="1">
        <v>43384</v>
      </c>
      <c r="B626">
        <v>25.794422790096569</v>
      </c>
    </row>
    <row r="627" spans="1:2" x14ac:dyDescent="0.2">
      <c r="A627" s="1">
        <v>43385</v>
      </c>
      <c r="B627">
        <v>26.191303089562791</v>
      </c>
    </row>
    <row r="628" spans="1:2" x14ac:dyDescent="0.2">
      <c r="A628" s="1">
        <v>43388</v>
      </c>
      <c r="B628">
        <v>27.231954457868579</v>
      </c>
    </row>
    <row r="629" spans="1:2" x14ac:dyDescent="0.2">
      <c r="A629" s="1">
        <v>43389</v>
      </c>
      <c r="B629">
        <v>26.815893964778049</v>
      </c>
    </row>
    <row r="630" spans="1:2" x14ac:dyDescent="0.2">
      <c r="A630" s="1">
        <v>43390</v>
      </c>
      <c r="B630">
        <v>31.117603291163629</v>
      </c>
    </row>
    <row r="631" spans="1:2" x14ac:dyDescent="0.2">
      <c r="A631" s="1">
        <v>43391</v>
      </c>
      <c r="B631">
        <v>32.657225371281058</v>
      </c>
    </row>
    <row r="632" spans="1:2" x14ac:dyDescent="0.2">
      <c r="A632" s="1">
        <v>43392</v>
      </c>
      <c r="B632">
        <v>30.675598347345179</v>
      </c>
    </row>
    <row r="633" spans="1:2" x14ac:dyDescent="0.2">
      <c r="A633" s="1">
        <v>43395</v>
      </c>
      <c r="B633">
        <v>29.46566622083208</v>
      </c>
    </row>
    <row r="634" spans="1:2" x14ac:dyDescent="0.2">
      <c r="A634" s="1">
        <v>43396</v>
      </c>
      <c r="B634">
        <v>30.72100888267115</v>
      </c>
    </row>
    <row r="635" spans="1:2" x14ac:dyDescent="0.2">
      <c r="A635" s="1">
        <v>43397</v>
      </c>
      <c r="B635">
        <v>30.314570198978458</v>
      </c>
    </row>
    <row r="636" spans="1:2" x14ac:dyDescent="0.2">
      <c r="A636" s="1">
        <v>43398</v>
      </c>
      <c r="B636">
        <v>31.040699206918219</v>
      </c>
    </row>
    <row r="637" spans="1:2" x14ac:dyDescent="0.2">
      <c r="A637" s="1">
        <v>43399</v>
      </c>
      <c r="B637">
        <v>31.529506005392449</v>
      </c>
    </row>
    <row r="638" spans="1:2" x14ac:dyDescent="0.2">
      <c r="A638" s="1">
        <v>43402</v>
      </c>
      <c r="B638">
        <v>31.994770138331539</v>
      </c>
    </row>
    <row r="639" spans="1:2" x14ac:dyDescent="0.2">
      <c r="A639" s="1">
        <v>43403</v>
      </c>
      <c r="B639">
        <v>32.106083307160141</v>
      </c>
    </row>
    <row r="640" spans="1:2" x14ac:dyDescent="0.2">
      <c r="A640" s="1">
        <v>43404</v>
      </c>
      <c r="B640">
        <v>31.397480421733629</v>
      </c>
    </row>
    <row r="641" spans="1:2" x14ac:dyDescent="0.2">
      <c r="A641" s="1">
        <v>43405</v>
      </c>
      <c r="B641">
        <v>30.340136522929019</v>
      </c>
    </row>
    <row r="642" spans="1:2" x14ac:dyDescent="0.2">
      <c r="A642" s="1">
        <v>43406</v>
      </c>
      <c r="B642">
        <v>28.770628755906131</v>
      </c>
    </row>
    <row r="643" spans="1:2" x14ac:dyDescent="0.2">
      <c r="A643" s="1">
        <v>43409</v>
      </c>
      <c r="B643">
        <v>30.553858994994769</v>
      </c>
    </row>
    <row r="644" spans="1:2" x14ac:dyDescent="0.2">
      <c r="A644" s="1">
        <v>43410</v>
      </c>
      <c r="B644">
        <v>31.293740177076721</v>
      </c>
    </row>
    <row r="645" spans="1:2" x14ac:dyDescent="0.2">
      <c r="A645" s="1">
        <v>43411</v>
      </c>
      <c r="B645">
        <v>31.327076734229799</v>
      </c>
    </row>
    <row r="646" spans="1:2" x14ac:dyDescent="0.2">
      <c r="A646" s="1">
        <v>43412</v>
      </c>
      <c r="B646">
        <v>30.814538857137489</v>
      </c>
    </row>
    <row r="647" spans="1:2" x14ac:dyDescent="0.2">
      <c r="A647" s="1">
        <v>43413</v>
      </c>
      <c r="B647">
        <v>31.129915219927572</v>
      </c>
    </row>
    <row r="648" spans="1:2" x14ac:dyDescent="0.2">
      <c r="A648" s="1">
        <v>43416</v>
      </c>
      <c r="B648">
        <v>31.812305629036199</v>
      </c>
    </row>
    <row r="649" spans="1:2" x14ac:dyDescent="0.2">
      <c r="A649" s="1">
        <v>43417</v>
      </c>
      <c r="B649">
        <v>31.027218731547318</v>
      </c>
    </row>
    <row r="650" spans="1:2" x14ac:dyDescent="0.2">
      <c r="A650" s="1">
        <v>43418</v>
      </c>
      <c r="B650">
        <v>30.508956477468011</v>
      </c>
    </row>
    <row r="651" spans="1:2" x14ac:dyDescent="0.2">
      <c r="A651" s="1">
        <v>43419</v>
      </c>
      <c r="B651">
        <v>29.798738988266969</v>
      </c>
    </row>
    <row r="652" spans="1:2" x14ac:dyDescent="0.2">
      <c r="A652" s="1">
        <v>43420</v>
      </c>
      <c r="B652">
        <v>29.11534891953719</v>
      </c>
    </row>
    <row r="653" spans="1:2" x14ac:dyDescent="0.2">
      <c r="A653" s="1">
        <v>43423</v>
      </c>
      <c r="B653">
        <v>28.503186176339739</v>
      </c>
    </row>
    <row r="654" spans="1:2" x14ac:dyDescent="0.2">
      <c r="A654" s="1">
        <v>43424</v>
      </c>
      <c r="B654">
        <v>27.674891646362418</v>
      </c>
    </row>
    <row r="655" spans="1:2" x14ac:dyDescent="0.2">
      <c r="A655" s="1">
        <v>43425</v>
      </c>
      <c r="B655">
        <v>29.53725953466536</v>
      </c>
    </row>
    <row r="656" spans="1:2" x14ac:dyDescent="0.2">
      <c r="A656" s="1">
        <v>43426</v>
      </c>
      <c r="B656">
        <v>28.38488325338983</v>
      </c>
    </row>
    <row r="657" spans="1:2" x14ac:dyDescent="0.2">
      <c r="A657" s="1">
        <v>43427</v>
      </c>
      <c r="B657">
        <v>27.197470664654691</v>
      </c>
    </row>
    <row r="658" spans="1:2" x14ac:dyDescent="0.2">
      <c r="A658" s="1">
        <v>43430</v>
      </c>
      <c r="B658">
        <v>26.15388096544266</v>
      </c>
    </row>
    <row r="659" spans="1:2" x14ac:dyDescent="0.2">
      <c r="A659" s="1">
        <v>43431</v>
      </c>
      <c r="B659">
        <v>25.137632569091679</v>
      </c>
    </row>
    <row r="660" spans="1:2" x14ac:dyDescent="0.2">
      <c r="A660" s="1">
        <v>43432</v>
      </c>
      <c r="B660">
        <v>24.238379664765159</v>
      </c>
    </row>
    <row r="661" spans="1:2" x14ac:dyDescent="0.2">
      <c r="A661" s="1">
        <v>43433</v>
      </c>
      <c r="B661">
        <v>24.112378944716191</v>
      </c>
    </row>
    <row r="662" spans="1:2" x14ac:dyDescent="0.2">
      <c r="A662" s="1">
        <v>43434</v>
      </c>
      <c r="B662">
        <v>25.024584026457521</v>
      </c>
    </row>
    <row r="663" spans="1:2" x14ac:dyDescent="0.2">
      <c r="A663" s="1">
        <v>43437</v>
      </c>
      <c r="B663">
        <v>22.710209842769959</v>
      </c>
    </row>
    <row r="664" spans="1:2" x14ac:dyDescent="0.2">
      <c r="A664" s="1">
        <v>43438</v>
      </c>
      <c r="B664">
        <v>21.007159458089291</v>
      </c>
    </row>
    <row r="665" spans="1:2" x14ac:dyDescent="0.2">
      <c r="A665" s="1">
        <v>43439</v>
      </c>
      <c r="B665">
        <v>21.03267926919942</v>
      </c>
    </row>
    <row r="666" spans="1:2" x14ac:dyDescent="0.2">
      <c r="A666" s="1">
        <v>43440</v>
      </c>
      <c r="B666">
        <v>20.959933128928331</v>
      </c>
    </row>
    <row r="667" spans="1:2" x14ac:dyDescent="0.2">
      <c r="A667" s="1">
        <v>43441</v>
      </c>
      <c r="B667">
        <v>19.671787371721312</v>
      </c>
    </row>
    <row r="668" spans="1:2" x14ac:dyDescent="0.2">
      <c r="A668" s="1">
        <v>43444</v>
      </c>
      <c r="B668">
        <v>20.445611118251271</v>
      </c>
    </row>
    <row r="669" spans="1:2" x14ac:dyDescent="0.2">
      <c r="A669" s="1">
        <v>43445</v>
      </c>
      <c r="B669">
        <v>20.31672883798818</v>
      </c>
    </row>
    <row r="670" spans="1:2" x14ac:dyDescent="0.2">
      <c r="A670" s="1">
        <v>43446</v>
      </c>
      <c r="B670">
        <v>19.9567833129022</v>
      </c>
    </row>
    <row r="671" spans="1:2" x14ac:dyDescent="0.2">
      <c r="A671" s="1">
        <v>43447</v>
      </c>
      <c r="B671">
        <v>19.483612952244151</v>
      </c>
    </row>
    <row r="672" spans="1:2" x14ac:dyDescent="0.2">
      <c r="A672" s="1">
        <v>43448</v>
      </c>
      <c r="B672">
        <v>19.22849373960322</v>
      </c>
    </row>
    <row r="673" spans="1:2" x14ac:dyDescent="0.2">
      <c r="A673" s="1">
        <v>43451</v>
      </c>
      <c r="B673">
        <v>20.141776017139399</v>
      </c>
    </row>
    <row r="674" spans="1:2" x14ac:dyDescent="0.2">
      <c r="A674" s="1">
        <v>43452</v>
      </c>
      <c r="B674">
        <v>20.809419472750879</v>
      </c>
    </row>
    <row r="675" spans="1:2" x14ac:dyDescent="0.2">
      <c r="A675" s="1">
        <v>43453</v>
      </c>
      <c r="B675">
        <v>22.292468968362101</v>
      </c>
    </row>
    <row r="676" spans="1:2" x14ac:dyDescent="0.2">
      <c r="A676" s="1">
        <v>43454</v>
      </c>
      <c r="B676">
        <v>24.36270909453831</v>
      </c>
    </row>
    <row r="677" spans="1:2" x14ac:dyDescent="0.2">
      <c r="A677" s="1">
        <v>43455</v>
      </c>
      <c r="B677">
        <v>25.276576553980352</v>
      </c>
    </row>
    <row r="678" spans="1:2" x14ac:dyDescent="0.2">
      <c r="A678" s="1">
        <v>43458</v>
      </c>
      <c r="B678">
        <v>23.292619455215139</v>
      </c>
    </row>
    <row r="679" spans="1:2" x14ac:dyDescent="0.2">
      <c r="A679" s="1">
        <v>43459</v>
      </c>
      <c r="B679">
        <v>24.25933826477284</v>
      </c>
    </row>
    <row r="680" spans="1:2" x14ac:dyDescent="0.2">
      <c r="A680" s="1">
        <v>43460</v>
      </c>
      <c r="B680">
        <v>23.354601567692839</v>
      </c>
    </row>
    <row r="681" spans="1:2" x14ac:dyDescent="0.2">
      <c r="A681" s="1">
        <v>43461</v>
      </c>
      <c r="B681">
        <v>22.962593016430262</v>
      </c>
    </row>
    <row r="682" spans="1:2" x14ac:dyDescent="0.2">
      <c r="A682" s="1">
        <v>43462</v>
      </c>
      <c r="B682">
        <v>22.71143567902417</v>
      </c>
    </row>
    <row r="683" spans="1:2" x14ac:dyDescent="0.2">
      <c r="A683" s="1">
        <v>43467</v>
      </c>
      <c r="B683">
        <v>22.489782737068591</v>
      </c>
    </row>
    <row r="684" spans="1:2" x14ac:dyDescent="0.2">
      <c r="A684" s="1">
        <v>43468</v>
      </c>
      <c r="B684">
        <v>22.183181204044381</v>
      </c>
    </row>
    <row r="685" spans="1:2" x14ac:dyDescent="0.2">
      <c r="A685" s="1">
        <v>43469</v>
      </c>
      <c r="B685">
        <v>21.459107364607611</v>
      </c>
    </row>
    <row r="686" spans="1:2" x14ac:dyDescent="0.2">
      <c r="A686" s="1">
        <v>43472</v>
      </c>
      <c r="B686">
        <v>21.87839919657733</v>
      </c>
    </row>
    <row r="687" spans="1:2" x14ac:dyDescent="0.2">
      <c r="A687" s="1">
        <v>43473</v>
      </c>
      <c r="B687">
        <v>20.909635981716729</v>
      </c>
    </row>
    <row r="688" spans="1:2" x14ac:dyDescent="0.2">
      <c r="A688" s="1">
        <v>43474</v>
      </c>
      <c r="B688">
        <v>19.150140554573049</v>
      </c>
    </row>
    <row r="689" spans="1:2" x14ac:dyDescent="0.2">
      <c r="A689" s="1">
        <v>43475</v>
      </c>
      <c r="B689">
        <v>18.930312589980879</v>
      </c>
    </row>
    <row r="690" spans="1:2" x14ac:dyDescent="0.2">
      <c r="A690" s="1">
        <v>43476</v>
      </c>
      <c r="B690">
        <v>18.309981294267509</v>
      </c>
    </row>
    <row r="691" spans="1:2" x14ac:dyDescent="0.2">
      <c r="A691" s="1">
        <v>43479</v>
      </c>
      <c r="B691">
        <v>18.728139104960839</v>
      </c>
    </row>
    <row r="692" spans="1:2" x14ac:dyDescent="0.2">
      <c r="A692" s="1">
        <v>43480</v>
      </c>
      <c r="B692">
        <v>17.905542450833089</v>
      </c>
    </row>
    <row r="693" spans="1:2" x14ac:dyDescent="0.2">
      <c r="A693" s="1">
        <v>43481</v>
      </c>
      <c r="B693">
        <v>19.613730850569659</v>
      </c>
    </row>
    <row r="694" spans="1:2" x14ac:dyDescent="0.2">
      <c r="A694" s="1">
        <v>43482</v>
      </c>
      <c r="B694">
        <v>20.191103797870198</v>
      </c>
    </row>
    <row r="695" spans="1:2" x14ac:dyDescent="0.2">
      <c r="A695" s="1">
        <v>43483</v>
      </c>
      <c r="B695">
        <v>20.5056819759265</v>
      </c>
    </row>
    <row r="696" spans="1:2" x14ac:dyDescent="0.2">
      <c r="A696" s="1">
        <v>43486</v>
      </c>
      <c r="B696">
        <v>21.279348748563621</v>
      </c>
    </row>
    <row r="697" spans="1:2" x14ac:dyDescent="0.2">
      <c r="A697" s="1">
        <v>43487</v>
      </c>
      <c r="B697">
        <v>19.366860953417191</v>
      </c>
    </row>
    <row r="698" spans="1:2" x14ac:dyDescent="0.2">
      <c r="A698" s="1">
        <v>43488</v>
      </c>
      <c r="B698">
        <v>18.52025352737855</v>
      </c>
    </row>
    <row r="699" spans="1:2" x14ac:dyDescent="0.2">
      <c r="A699" s="1">
        <v>43489</v>
      </c>
      <c r="B699">
        <v>16.58613760237672</v>
      </c>
    </row>
    <row r="700" spans="1:2" x14ac:dyDescent="0.2">
      <c r="A700" s="1">
        <v>43490</v>
      </c>
      <c r="B700">
        <v>16.02074423105746</v>
      </c>
    </row>
    <row r="701" spans="1:2" x14ac:dyDescent="0.2">
      <c r="A701" s="1">
        <v>43493</v>
      </c>
      <c r="B701">
        <v>16.782977846395749</v>
      </c>
    </row>
    <row r="702" spans="1:2" x14ac:dyDescent="0.2">
      <c r="A702" s="1">
        <v>43494</v>
      </c>
      <c r="B702">
        <v>18.130443015977409</v>
      </c>
    </row>
    <row r="703" spans="1:2" x14ac:dyDescent="0.2">
      <c r="A703" s="1">
        <v>43495</v>
      </c>
      <c r="B703">
        <v>18.753245542625699</v>
      </c>
    </row>
    <row r="704" spans="1:2" x14ac:dyDescent="0.2">
      <c r="A704" s="1">
        <v>43496</v>
      </c>
      <c r="B704">
        <v>18.563115492897701</v>
      </c>
    </row>
    <row r="705" spans="1:2" x14ac:dyDescent="0.2">
      <c r="A705" s="1">
        <v>43497</v>
      </c>
      <c r="B705">
        <v>18.976205234160791</v>
      </c>
    </row>
    <row r="706" spans="1:2" x14ac:dyDescent="0.2">
      <c r="A706" s="1">
        <v>43507</v>
      </c>
      <c r="B706">
        <v>19.366827136843479</v>
      </c>
    </row>
    <row r="707" spans="1:2" x14ac:dyDescent="0.2">
      <c r="A707" s="1">
        <v>43508</v>
      </c>
      <c r="B707">
        <v>18.937783424814519</v>
      </c>
    </row>
    <row r="708" spans="1:2" x14ac:dyDescent="0.2">
      <c r="A708" s="1">
        <v>43509</v>
      </c>
      <c r="B708">
        <v>20.29252622478726</v>
      </c>
    </row>
    <row r="709" spans="1:2" x14ac:dyDescent="0.2">
      <c r="A709" s="1">
        <v>43510</v>
      </c>
      <c r="B709">
        <v>21.445352942750809</v>
      </c>
    </row>
    <row r="710" spans="1:2" x14ac:dyDescent="0.2">
      <c r="A710" s="1">
        <v>43511</v>
      </c>
      <c r="B710">
        <v>20.84255269536613</v>
      </c>
    </row>
    <row r="711" spans="1:2" x14ac:dyDescent="0.2">
      <c r="A711" s="1">
        <v>43514</v>
      </c>
      <c r="B711">
        <v>21.815422687979321</v>
      </c>
    </row>
    <row r="712" spans="1:2" x14ac:dyDescent="0.2">
      <c r="A712" s="1">
        <v>43515</v>
      </c>
      <c r="B712">
        <v>22.88913028644258</v>
      </c>
    </row>
    <row r="713" spans="1:2" x14ac:dyDescent="0.2">
      <c r="A713" s="1">
        <v>43516</v>
      </c>
      <c r="B713">
        <v>25.08985798432445</v>
      </c>
    </row>
    <row r="714" spans="1:2" x14ac:dyDescent="0.2">
      <c r="A714" s="1">
        <v>43517</v>
      </c>
      <c r="B714">
        <v>24.30809014852883</v>
      </c>
    </row>
    <row r="715" spans="1:2" x14ac:dyDescent="0.2">
      <c r="A715" s="1">
        <v>43518</v>
      </c>
      <c r="B715">
        <v>23.289600903402381</v>
      </c>
    </row>
    <row r="716" spans="1:2" x14ac:dyDescent="0.2">
      <c r="A716" s="1">
        <v>43521</v>
      </c>
      <c r="B716">
        <v>25.261186152854481</v>
      </c>
    </row>
    <row r="717" spans="1:2" x14ac:dyDescent="0.2">
      <c r="A717" s="1">
        <v>43522</v>
      </c>
      <c r="B717">
        <v>31.02340282169283</v>
      </c>
    </row>
    <row r="718" spans="1:2" x14ac:dyDescent="0.2">
      <c r="A718" s="1">
        <v>43523</v>
      </c>
      <c r="B718">
        <v>30.944777081020518</v>
      </c>
    </row>
    <row r="719" spans="1:2" x14ac:dyDescent="0.2">
      <c r="A719" s="1">
        <v>43524</v>
      </c>
      <c r="B719">
        <v>28.625924135738291</v>
      </c>
    </row>
    <row r="720" spans="1:2" x14ac:dyDescent="0.2">
      <c r="A720" s="1">
        <v>43525</v>
      </c>
      <c r="B720">
        <v>27.495178012892659</v>
      </c>
    </row>
    <row r="721" spans="1:2" x14ac:dyDescent="0.2">
      <c r="A721" s="1">
        <v>43528</v>
      </c>
      <c r="B721">
        <v>29.788762157768019</v>
      </c>
    </row>
    <row r="722" spans="1:2" x14ac:dyDescent="0.2">
      <c r="A722" s="1">
        <v>43529</v>
      </c>
      <c r="B722">
        <v>30.611598688960989</v>
      </c>
    </row>
    <row r="723" spans="1:2" x14ac:dyDescent="0.2">
      <c r="A723" s="1">
        <v>43530</v>
      </c>
      <c r="B723">
        <v>31.609122943284579</v>
      </c>
    </row>
    <row r="724" spans="1:2" x14ac:dyDescent="0.2">
      <c r="A724" s="1">
        <v>43531</v>
      </c>
      <c r="B724">
        <v>32.845386619322177</v>
      </c>
    </row>
    <row r="725" spans="1:2" x14ac:dyDescent="0.2">
      <c r="A725" s="1">
        <v>43532</v>
      </c>
      <c r="B725">
        <v>33.12570555325928</v>
      </c>
    </row>
    <row r="726" spans="1:2" x14ac:dyDescent="0.2">
      <c r="A726" s="1">
        <v>43535</v>
      </c>
      <c r="B726">
        <v>30.36865260968661</v>
      </c>
    </row>
    <row r="727" spans="1:2" x14ac:dyDescent="0.2">
      <c r="A727" s="1">
        <v>43536</v>
      </c>
      <c r="B727">
        <v>30.380847315954661</v>
      </c>
    </row>
    <row r="728" spans="1:2" x14ac:dyDescent="0.2">
      <c r="A728" s="1">
        <v>43537</v>
      </c>
      <c r="B728">
        <v>30.318702710281809</v>
      </c>
    </row>
    <row r="729" spans="1:2" x14ac:dyDescent="0.2">
      <c r="A729" s="1">
        <v>43538</v>
      </c>
      <c r="B729">
        <v>29.124976400476591</v>
      </c>
    </row>
    <row r="730" spans="1:2" x14ac:dyDescent="0.2">
      <c r="A730" s="1">
        <v>43539</v>
      </c>
      <c r="B730">
        <v>27.382673431552881</v>
      </c>
    </row>
    <row r="731" spans="1:2" x14ac:dyDescent="0.2">
      <c r="A731" s="1">
        <v>43542</v>
      </c>
      <c r="B731">
        <v>28.209251985985851</v>
      </c>
    </row>
    <row r="732" spans="1:2" x14ac:dyDescent="0.2">
      <c r="A732" s="1">
        <v>43543</v>
      </c>
      <c r="B732">
        <v>28.89716582336014</v>
      </c>
    </row>
    <row r="733" spans="1:2" x14ac:dyDescent="0.2">
      <c r="A733" s="1">
        <v>43544</v>
      </c>
      <c r="B733">
        <v>31.083076595504689</v>
      </c>
    </row>
    <row r="734" spans="1:2" x14ac:dyDescent="0.2">
      <c r="A734" s="1">
        <v>43545</v>
      </c>
      <c r="B734">
        <v>31.583097979824021</v>
      </c>
    </row>
    <row r="735" spans="1:2" x14ac:dyDescent="0.2">
      <c r="A735" s="1">
        <v>43546</v>
      </c>
      <c r="B735">
        <v>30.738924544097141</v>
      </c>
    </row>
    <row r="736" spans="1:2" x14ac:dyDescent="0.2">
      <c r="A736" s="1">
        <v>43549</v>
      </c>
      <c r="B736">
        <v>27.451609528407548</v>
      </c>
    </row>
    <row r="737" spans="1:2" x14ac:dyDescent="0.2">
      <c r="A737" s="1">
        <v>43550</v>
      </c>
      <c r="B737">
        <v>25.840598881774941</v>
      </c>
    </row>
    <row r="738" spans="1:2" x14ac:dyDescent="0.2">
      <c r="A738" s="1">
        <v>43551</v>
      </c>
      <c r="B738">
        <v>24.91989980792577</v>
      </c>
    </row>
    <row r="739" spans="1:2" x14ac:dyDescent="0.2">
      <c r="A739" s="1">
        <v>43552</v>
      </c>
      <c r="B739">
        <v>23.588198195849671</v>
      </c>
    </row>
    <row r="740" spans="1:2" x14ac:dyDescent="0.2">
      <c r="A740" s="1">
        <v>43553</v>
      </c>
      <c r="B740">
        <v>24.612871172990818</v>
      </c>
    </row>
    <row r="741" spans="1:2" x14ac:dyDescent="0.2">
      <c r="A741" s="1">
        <v>43556</v>
      </c>
      <c r="B741">
        <v>26.571415548589659</v>
      </c>
    </row>
    <row r="742" spans="1:2" x14ac:dyDescent="0.2">
      <c r="A742" s="1">
        <v>43557</v>
      </c>
      <c r="B742">
        <v>28.973229868272121</v>
      </c>
    </row>
    <row r="743" spans="1:2" x14ac:dyDescent="0.2">
      <c r="A743" s="1">
        <v>43558</v>
      </c>
      <c r="B743">
        <v>28.428855690831941</v>
      </c>
    </row>
    <row r="744" spans="1:2" x14ac:dyDescent="0.2">
      <c r="A744" s="1">
        <v>43559</v>
      </c>
      <c r="B744">
        <v>30.155555132720149</v>
      </c>
    </row>
    <row r="745" spans="1:2" x14ac:dyDescent="0.2">
      <c r="A745" s="1">
        <v>43563</v>
      </c>
      <c r="B745">
        <v>32.230984089718568</v>
      </c>
    </row>
    <row r="746" spans="1:2" x14ac:dyDescent="0.2">
      <c r="A746" s="1">
        <v>43564</v>
      </c>
      <c r="B746">
        <v>30.400608987638041</v>
      </c>
    </row>
    <row r="747" spans="1:2" x14ac:dyDescent="0.2">
      <c r="A747" s="1">
        <v>43565</v>
      </c>
      <c r="B747">
        <v>30.599384516962822</v>
      </c>
    </row>
    <row r="748" spans="1:2" x14ac:dyDescent="0.2">
      <c r="A748" s="1">
        <v>43566</v>
      </c>
      <c r="B748">
        <v>30.514397006857649</v>
      </c>
    </row>
    <row r="749" spans="1:2" x14ac:dyDescent="0.2">
      <c r="A749" s="1">
        <v>43567</v>
      </c>
      <c r="B749">
        <v>27.942686174482329</v>
      </c>
    </row>
    <row r="750" spans="1:2" x14ac:dyDescent="0.2">
      <c r="A750" s="1">
        <v>43570</v>
      </c>
      <c r="B750">
        <v>28.02957842765478</v>
      </c>
    </row>
    <row r="751" spans="1:2" x14ac:dyDescent="0.2">
      <c r="A751" s="1">
        <v>43571</v>
      </c>
      <c r="B751">
        <v>27.84780773472</v>
      </c>
    </row>
    <row r="752" spans="1:2" x14ac:dyDescent="0.2">
      <c r="A752" s="1">
        <v>43572</v>
      </c>
      <c r="B752">
        <v>31.11165376061145</v>
      </c>
    </row>
    <row r="753" spans="1:2" x14ac:dyDescent="0.2">
      <c r="A753" s="1">
        <v>43573</v>
      </c>
      <c r="B753">
        <v>30.6054237287481</v>
      </c>
    </row>
    <row r="754" spans="1:2" x14ac:dyDescent="0.2">
      <c r="A754" s="1">
        <v>43574</v>
      </c>
      <c r="B754">
        <v>29.695061199404542</v>
      </c>
    </row>
    <row r="755" spans="1:2" x14ac:dyDescent="0.2">
      <c r="A755" s="1">
        <v>43577</v>
      </c>
      <c r="B755">
        <v>29.67198966131669</v>
      </c>
    </row>
    <row r="756" spans="1:2" x14ac:dyDescent="0.2">
      <c r="A756" s="1">
        <v>43578</v>
      </c>
      <c r="B756">
        <v>27.77377510047609</v>
      </c>
    </row>
    <row r="757" spans="1:2" x14ac:dyDescent="0.2">
      <c r="A757" s="1">
        <v>43579</v>
      </c>
      <c r="B757">
        <v>27.222484790065131</v>
      </c>
    </row>
    <row r="758" spans="1:2" x14ac:dyDescent="0.2">
      <c r="A758" s="1">
        <v>43580</v>
      </c>
      <c r="B758">
        <v>26.937357259256348</v>
      </c>
    </row>
    <row r="759" spans="1:2" x14ac:dyDescent="0.2">
      <c r="A759" s="1">
        <v>43581</v>
      </c>
      <c r="B759">
        <v>26.156676192995459</v>
      </c>
    </row>
    <row r="760" spans="1:2" x14ac:dyDescent="0.2">
      <c r="A760" s="1">
        <v>43584</v>
      </c>
      <c r="B760">
        <v>25.622136880090761</v>
      </c>
    </row>
    <row r="761" spans="1:2" x14ac:dyDescent="0.2">
      <c r="A761" s="1">
        <v>43585</v>
      </c>
      <c r="B761">
        <v>25.80808577914275</v>
      </c>
    </row>
    <row r="762" spans="1:2" x14ac:dyDescent="0.2">
      <c r="A762" s="1">
        <v>43591</v>
      </c>
      <c r="B762">
        <v>29.53882535616059</v>
      </c>
    </row>
    <row r="763" spans="1:2" x14ac:dyDescent="0.2">
      <c r="A763" s="1">
        <v>43592</v>
      </c>
      <c r="B763">
        <v>26.490795363200601</v>
      </c>
    </row>
    <row r="764" spans="1:2" x14ac:dyDescent="0.2">
      <c r="A764" s="1">
        <v>43593</v>
      </c>
      <c r="B764">
        <v>27.432174364942721</v>
      </c>
    </row>
    <row r="765" spans="1:2" x14ac:dyDescent="0.2">
      <c r="A765" s="1">
        <v>43594</v>
      </c>
      <c r="B765">
        <v>29.19291760046324</v>
      </c>
    </row>
    <row r="766" spans="1:2" x14ac:dyDescent="0.2">
      <c r="A766" s="1">
        <v>43595</v>
      </c>
      <c r="B766">
        <v>29.135627305469061</v>
      </c>
    </row>
    <row r="767" spans="1:2" x14ac:dyDescent="0.2">
      <c r="A767" s="1">
        <v>43598</v>
      </c>
      <c r="B767">
        <v>27.932570387355661</v>
      </c>
    </row>
    <row r="768" spans="1:2" x14ac:dyDescent="0.2">
      <c r="A768" s="1">
        <v>43599</v>
      </c>
      <c r="B768">
        <v>26.969698554475841</v>
      </c>
    </row>
    <row r="769" spans="1:2" x14ac:dyDescent="0.2">
      <c r="A769" s="1">
        <v>43600</v>
      </c>
      <c r="B769">
        <v>29.86314187728928</v>
      </c>
    </row>
    <row r="770" spans="1:2" x14ac:dyDescent="0.2">
      <c r="A770" s="1">
        <v>43601</v>
      </c>
      <c r="B770">
        <v>28.12954874801969</v>
      </c>
    </row>
    <row r="771" spans="1:2" x14ac:dyDescent="0.2">
      <c r="A771" s="1">
        <v>43602</v>
      </c>
      <c r="B771">
        <v>27.539131009113419</v>
      </c>
    </row>
    <row r="772" spans="1:2" x14ac:dyDescent="0.2">
      <c r="A772" s="1">
        <v>43605</v>
      </c>
      <c r="B772">
        <v>26.09413334010388</v>
      </c>
    </row>
    <row r="773" spans="1:2" x14ac:dyDescent="0.2">
      <c r="A773" s="1">
        <v>43606</v>
      </c>
      <c r="B773">
        <v>24.72373639649086</v>
      </c>
    </row>
    <row r="774" spans="1:2" x14ac:dyDescent="0.2">
      <c r="A774" s="1">
        <v>43607</v>
      </c>
      <c r="B774">
        <v>23.544352455537091</v>
      </c>
    </row>
    <row r="775" spans="1:2" x14ac:dyDescent="0.2">
      <c r="A775" s="1">
        <v>43608</v>
      </c>
      <c r="B775">
        <v>23.31565860192752</v>
      </c>
    </row>
    <row r="776" spans="1:2" x14ac:dyDescent="0.2">
      <c r="A776" s="1">
        <v>43609</v>
      </c>
      <c r="B776">
        <v>23.366462311283641</v>
      </c>
    </row>
    <row r="777" spans="1:2" x14ac:dyDescent="0.2">
      <c r="A777" s="1">
        <v>43612</v>
      </c>
      <c r="B777">
        <v>23.490113483216369</v>
      </c>
    </row>
    <row r="778" spans="1:2" x14ac:dyDescent="0.2">
      <c r="A778" s="1">
        <v>43613</v>
      </c>
      <c r="B778">
        <v>22.339335212612522</v>
      </c>
    </row>
    <row r="779" spans="1:2" x14ac:dyDescent="0.2">
      <c r="A779" s="1">
        <v>43614</v>
      </c>
      <c r="B779">
        <v>21.69216970894858</v>
      </c>
    </row>
    <row r="780" spans="1:2" x14ac:dyDescent="0.2">
      <c r="A780" s="1">
        <v>43615</v>
      </c>
      <c r="B780">
        <v>21.576679386342981</v>
      </c>
    </row>
    <row r="781" spans="1:2" x14ac:dyDescent="0.2">
      <c r="A781" s="1">
        <v>43616</v>
      </c>
      <c r="B781">
        <v>22.268959072959479</v>
      </c>
    </row>
    <row r="782" spans="1:2" x14ac:dyDescent="0.2">
      <c r="A782" s="1">
        <v>43619</v>
      </c>
      <c r="B782">
        <v>22.65468238472009</v>
      </c>
    </row>
    <row r="783" spans="1:2" x14ac:dyDescent="0.2">
      <c r="A783" s="1">
        <v>43620</v>
      </c>
      <c r="B783">
        <v>23.24181332975196</v>
      </c>
    </row>
    <row r="784" spans="1:2" x14ac:dyDescent="0.2">
      <c r="A784" s="1">
        <v>43621</v>
      </c>
      <c r="B784">
        <v>22.88407217992722</v>
      </c>
    </row>
    <row r="785" spans="1:2" x14ac:dyDescent="0.2">
      <c r="A785" s="1">
        <v>43622</v>
      </c>
      <c r="B785">
        <v>22.907080641447969</v>
      </c>
    </row>
    <row r="786" spans="1:2" x14ac:dyDescent="0.2">
      <c r="A786" s="1">
        <v>43626</v>
      </c>
      <c r="B786">
        <v>21.690828088610122</v>
      </c>
    </row>
    <row r="787" spans="1:2" x14ac:dyDescent="0.2">
      <c r="A787" s="1">
        <v>43627</v>
      </c>
      <c r="B787">
        <v>20.729414985200549</v>
      </c>
    </row>
    <row r="788" spans="1:2" x14ac:dyDescent="0.2">
      <c r="A788" s="1">
        <v>43628</v>
      </c>
      <c r="B788">
        <v>21.167444976449879</v>
      </c>
    </row>
    <row r="789" spans="1:2" x14ac:dyDescent="0.2">
      <c r="A789" s="1">
        <v>43629</v>
      </c>
      <c r="B789">
        <v>20.62492184230927</v>
      </c>
    </row>
    <row r="790" spans="1:2" x14ac:dyDescent="0.2">
      <c r="A790" s="1">
        <v>43630</v>
      </c>
      <c r="B790">
        <v>20.603319693249869</v>
      </c>
    </row>
    <row r="791" spans="1:2" x14ac:dyDescent="0.2">
      <c r="A791" s="1">
        <v>43633</v>
      </c>
      <c r="B791">
        <v>20.64651702096193</v>
      </c>
    </row>
    <row r="792" spans="1:2" x14ac:dyDescent="0.2">
      <c r="A792" s="1">
        <v>43634</v>
      </c>
      <c r="B792">
        <v>19.938062366121809</v>
      </c>
    </row>
    <row r="793" spans="1:2" x14ac:dyDescent="0.2">
      <c r="A793" s="1">
        <v>43635</v>
      </c>
      <c r="B793">
        <v>20.285057802368119</v>
      </c>
    </row>
    <row r="794" spans="1:2" x14ac:dyDescent="0.2">
      <c r="A794" s="1">
        <v>43636</v>
      </c>
      <c r="B794">
        <v>23.924807113289049</v>
      </c>
    </row>
    <row r="795" spans="1:2" x14ac:dyDescent="0.2">
      <c r="A795" s="1">
        <v>43637</v>
      </c>
      <c r="B795">
        <v>26.305915417675902</v>
      </c>
    </row>
    <row r="796" spans="1:2" x14ac:dyDescent="0.2">
      <c r="A796" s="1">
        <v>43640</v>
      </c>
      <c r="B796">
        <v>26.20478505102836</v>
      </c>
    </row>
    <row r="797" spans="1:2" x14ac:dyDescent="0.2">
      <c r="A797" s="1">
        <v>43641</v>
      </c>
      <c r="B797">
        <v>26.293267398981939</v>
      </c>
    </row>
    <row r="798" spans="1:2" x14ac:dyDescent="0.2">
      <c r="A798" s="1">
        <v>43642</v>
      </c>
      <c r="B798">
        <v>26.288360678179391</v>
      </c>
    </row>
    <row r="799" spans="1:2" x14ac:dyDescent="0.2">
      <c r="A799" s="1">
        <v>43643</v>
      </c>
      <c r="B799">
        <v>26.50793919294923</v>
      </c>
    </row>
    <row r="800" spans="1:2" x14ac:dyDescent="0.2">
      <c r="A800" s="1">
        <v>43644</v>
      </c>
      <c r="B800">
        <v>27.516896059272369</v>
      </c>
    </row>
    <row r="801" spans="1:2" x14ac:dyDescent="0.2">
      <c r="A801" s="1">
        <v>43647</v>
      </c>
      <c r="B801">
        <v>25.195892776910259</v>
      </c>
    </row>
    <row r="802" spans="1:2" x14ac:dyDescent="0.2">
      <c r="A802" s="1">
        <v>43648</v>
      </c>
      <c r="B802">
        <v>24.675237846654159</v>
      </c>
    </row>
    <row r="803" spans="1:2" x14ac:dyDescent="0.2">
      <c r="A803" s="1">
        <v>43649</v>
      </c>
      <c r="B803">
        <v>23.68849124641623</v>
      </c>
    </row>
    <row r="804" spans="1:2" x14ac:dyDescent="0.2">
      <c r="A804" s="1">
        <v>43650</v>
      </c>
      <c r="B804">
        <v>23.222661315165318</v>
      </c>
    </row>
    <row r="805" spans="1:2" x14ac:dyDescent="0.2">
      <c r="A805" s="1">
        <v>43651</v>
      </c>
      <c r="B805">
        <v>23.952911483702419</v>
      </c>
    </row>
    <row r="806" spans="1:2" x14ac:dyDescent="0.2">
      <c r="A806" s="1">
        <v>43654</v>
      </c>
      <c r="B806">
        <v>23.100822738688638</v>
      </c>
    </row>
    <row r="807" spans="1:2" x14ac:dyDescent="0.2">
      <c r="A807" s="1">
        <v>43655</v>
      </c>
      <c r="B807">
        <v>22.08807825298771</v>
      </c>
    </row>
    <row r="808" spans="1:2" x14ac:dyDescent="0.2">
      <c r="A808" s="1">
        <v>43656</v>
      </c>
      <c r="B808">
        <v>22.122239856633669</v>
      </c>
    </row>
    <row r="809" spans="1:2" x14ac:dyDescent="0.2">
      <c r="A809" s="1">
        <v>43657</v>
      </c>
      <c r="B809">
        <v>22.449806873626351</v>
      </c>
    </row>
    <row r="810" spans="1:2" x14ac:dyDescent="0.2">
      <c r="A810" s="1">
        <v>43658</v>
      </c>
      <c r="B810">
        <v>22.361556985816861</v>
      </c>
    </row>
    <row r="811" spans="1:2" x14ac:dyDescent="0.2">
      <c r="A811" s="1">
        <v>43661</v>
      </c>
      <c r="B811">
        <v>22.51989273512514</v>
      </c>
    </row>
    <row r="812" spans="1:2" x14ac:dyDescent="0.2">
      <c r="A812" s="1">
        <v>43662</v>
      </c>
      <c r="B812">
        <v>22.792934278639631</v>
      </c>
    </row>
    <row r="813" spans="1:2" x14ac:dyDescent="0.2">
      <c r="A813" s="1">
        <v>43663</v>
      </c>
      <c r="B813">
        <v>26.164579338959769</v>
      </c>
    </row>
    <row r="814" spans="1:2" x14ac:dyDescent="0.2">
      <c r="A814" s="1">
        <v>43664</v>
      </c>
      <c r="B814">
        <v>25.745001487312429</v>
      </c>
    </row>
    <row r="815" spans="1:2" x14ac:dyDescent="0.2">
      <c r="A815" s="1">
        <v>43665</v>
      </c>
      <c r="B815">
        <v>26.523655343021229</v>
      </c>
    </row>
    <row r="816" spans="1:2" x14ac:dyDescent="0.2">
      <c r="A816" s="1">
        <v>43668</v>
      </c>
      <c r="B816">
        <v>24.236330492698141</v>
      </c>
    </row>
    <row r="817" spans="1:2" x14ac:dyDescent="0.2">
      <c r="A817" s="1">
        <v>43669</v>
      </c>
      <c r="B817">
        <v>22.696259169383492</v>
      </c>
    </row>
    <row r="818" spans="1:2" x14ac:dyDescent="0.2">
      <c r="A818" s="1">
        <v>43670</v>
      </c>
      <c r="B818">
        <v>21.394200428912651</v>
      </c>
    </row>
    <row r="819" spans="1:2" x14ac:dyDescent="0.2">
      <c r="A819" s="1">
        <v>43671</v>
      </c>
      <c r="B819">
        <v>19.942957990286502</v>
      </c>
    </row>
    <row r="820" spans="1:2" x14ac:dyDescent="0.2">
      <c r="A820" s="1">
        <v>43672</v>
      </c>
      <c r="B820">
        <v>19.859294395608401</v>
      </c>
    </row>
    <row r="821" spans="1:2" x14ac:dyDescent="0.2">
      <c r="A821" s="1">
        <v>43675</v>
      </c>
      <c r="B821">
        <v>19.601571878523629</v>
      </c>
    </row>
    <row r="822" spans="1:2" x14ac:dyDescent="0.2">
      <c r="A822" s="1">
        <v>43676</v>
      </c>
      <c r="B822">
        <v>19.78084736830511</v>
      </c>
    </row>
    <row r="823" spans="1:2" x14ac:dyDescent="0.2">
      <c r="A823" s="1">
        <v>43677</v>
      </c>
      <c r="B823">
        <v>20.195873127657119</v>
      </c>
    </row>
    <row r="824" spans="1:2" x14ac:dyDescent="0.2">
      <c r="A824" s="1">
        <v>43678</v>
      </c>
      <c r="B824">
        <v>18.127972926000179</v>
      </c>
    </row>
    <row r="825" spans="1:2" x14ac:dyDescent="0.2">
      <c r="A825" s="1">
        <v>43679</v>
      </c>
      <c r="B825">
        <v>18.692735038656831</v>
      </c>
    </row>
    <row r="826" spans="1:2" x14ac:dyDescent="0.2">
      <c r="A826" s="1">
        <v>43682</v>
      </c>
      <c r="B826">
        <v>20.59804371253453</v>
      </c>
    </row>
    <row r="827" spans="1:2" x14ac:dyDescent="0.2">
      <c r="A827" s="1">
        <v>43683</v>
      </c>
      <c r="B827">
        <v>22.213843145463571</v>
      </c>
    </row>
    <row r="828" spans="1:2" x14ac:dyDescent="0.2">
      <c r="A828" s="1">
        <v>43684</v>
      </c>
      <c r="B828">
        <v>21.42030658925685</v>
      </c>
    </row>
    <row r="829" spans="1:2" x14ac:dyDescent="0.2">
      <c r="A829" s="1">
        <v>43685</v>
      </c>
      <c r="B829">
        <v>20.92802781858498</v>
      </c>
    </row>
    <row r="830" spans="1:2" x14ac:dyDescent="0.2">
      <c r="A830" s="1">
        <v>43686</v>
      </c>
      <c r="B830">
        <v>20.31620923108996</v>
      </c>
    </row>
    <row r="831" spans="1:2" x14ac:dyDescent="0.2">
      <c r="A831" s="1">
        <v>43689</v>
      </c>
      <c r="B831">
        <v>20.7346579531008</v>
      </c>
    </row>
    <row r="832" spans="1:2" x14ac:dyDescent="0.2">
      <c r="A832" s="1">
        <v>43690</v>
      </c>
      <c r="B832">
        <v>20.644550637712872</v>
      </c>
    </row>
    <row r="833" spans="1:2" x14ac:dyDescent="0.2">
      <c r="A833" s="1">
        <v>43691</v>
      </c>
      <c r="B833">
        <v>19.967196786245129</v>
      </c>
    </row>
    <row r="834" spans="1:2" x14ac:dyDescent="0.2">
      <c r="A834" s="1">
        <v>43692</v>
      </c>
      <c r="B834">
        <v>20.59974395616895</v>
      </c>
    </row>
    <row r="835" spans="1:2" x14ac:dyDescent="0.2">
      <c r="A835" s="1">
        <v>43693</v>
      </c>
      <c r="B835">
        <v>20.521061095229321</v>
      </c>
    </row>
    <row r="836" spans="1:2" x14ac:dyDescent="0.2">
      <c r="A836" s="1">
        <v>43696</v>
      </c>
      <c r="B836">
        <v>21.153732477347098</v>
      </c>
    </row>
    <row r="837" spans="1:2" x14ac:dyDescent="0.2">
      <c r="A837" s="1">
        <v>43697</v>
      </c>
      <c r="B837">
        <v>20.99972130905558</v>
      </c>
    </row>
    <row r="838" spans="1:2" x14ac:dyDescent="0.2">
      <c r="A838" s="1">
        <v>43698</v>
      </c>
      <c r="B838">
        <v>21.74150311752874</v>
      </c>
    </row>
    <row r="839" spans="1:2" x14ac:dyDescent="0.2">
      <c r="A839" s="1">
        <v>43699</v>
      </c>
      <c r="B839">
        <v>21.227433328996511</v>
      </c>
    </row>
    <row r="840" spans="1:2" x14ac:dyDescent="0.2">
      <c r="A840" s="1">
        <v>43700</v>
      </c>
      <c r="B840">
        <v>21.235277589320031</v>
      </c>
    </row>
    <row r="841" spans="1:2" x14ac:dyDescent="0.2">
      <c r="A841" s="1">
        <v>43703</v>
      </c>
      <c r="B841">
        <v>21.46517174272363</v>
      </c>
    </row>
    <row r="842" spans="1:2" x14ac:dyDescent="0.2">
      <c r="A842" s="1">
        <v>43704</v>
      </c>
      <c r="B842">
        <v>20.36775610627933</v>
      </c>
    </row>
    <row r="843" spans="1:2" x14ac:dyDescent="0.2">
      <c r="A843" s="1">
        <v>43705</v>
      </c>
      <c r="B843">
        <v>20.140850163070379</v>
      </c>
    </row>
    <row r="844" spans="1:2" x14ac:dyDescent="0.2">
      <c r="A844" s="1">
        <v>43706</v>
      </c>
      <c r="B844">
        <v>19.22373522014647</v>
      </c>
    </row>
    <row r="845" spans="1:2" x14ac:dyDescent="0.2">
      <c r="A845" s="1">
        <v>43707</v>
      </c>
      <c r="B845">
        <v>19.324580971110279</v>
      </c>
    </row>
    <row r="846" spans="1:2" x14ac:dyDescent="0.2">
      <c r="A846" s="1">
        <v>43710</v>
      </c>
      <c r="B846">
        <v>18.588132023963801</v>
      </c>
    </row>
    <row r="847" spans="1:2" x14ac:dyDescent="0.2">
      <c r="A847" s="1">
        <v>43711</v>
      </c>
      <c r="B847">
        <v>18.586194935713959</v>
      </c>
    </row>
    <row r="848" spans="1:2" x14ac:dyDescent="0.2">
      <c r="A848" s="1">
        <v>43712</v>
      </c>
      <c r="B848">
        <v>18.055134379828299</v>
      </c>
    </row>
    <row r="849" spans="1:2" x14ac:dyDescent="0.2">
      <c r="A849" s="1">
        <v>43713</v>
      </c>
      <c r="B849">
        <v>18.884966770578739</v>
      </c>
    </row>
    <row r="850" spans="1:2" x14ac:dyDescent="0.2">
      <c r="A850" s="1">
        <v>43714</v>
      </c>
      <c r="B850">
        <v>19.465134966873642</v>
      </c>
    </row>
    <row r="851" spans="1:2" x14ac:dyDescent="0.2">
      <c r="A851" s="1">
        <v>43717</v>
      </c>
      <c r="B851">
        <v>20.487973269973981</v>
      </c>
    </row>
    <row r="852" spans="1:2" x14ac:dyDescent="0.2">
      <c r="A852" s="1">
        <v>43718</v>
      </c>
      <c r="B852">
        <v>20.033233104098091</v>
      </c>
    </row>
    <row r="853" spans="1:2" x14ac:dyDescent="0.2">
      <c r="A853" s="1">
        <v>43719</v>
      </c>
      <c r="B853">
        <v>19.944069259533219</v>
      </c>
    </row>
    <row r="854" spans="1:2" x14ac:dyDescent="0.2">
      <c r="A854" s="1">
        <v>43720</v>
      </c>
      <c r="B854">
        <v>19.272366112099849</v>
      </c>
    </row>
    <row r="855" spans="1:2" x14ac:dyDescent="0.2">
      <c r="A855" s="1">
        <v>43724</v>
      </c>
      <c r="B855">
        <v>18.957195662440188</v>
      </c>
    </row>
    <row r="856" spans="1:2" x14ac:dyDescent="0.2">
      <c r="A856" s="1">
        <v>43725</v>
      </c>
      <c r="B856">
        <v>18.387011389911109</v>
      </c>
    </row>
    <row r="857" spans="1:2" x14ac:dyDescent="0.2">
      <c r="A857" s="1">
        <v>43726</v>
      </c>
      <c r="B857">
        <v>19.400562786974689</v>
      </c>
    </row>
    <row r="858" spans="1:2" x14ac:dyDescent="0.2">
      <c r="A858" s="1">
        <v>43727</v>
      </c>
      <c r="B858">
        <v>19.028765007557279</v>
      </c>
    </row>
    <row r="859" spans="1:2" x14ac:dyDescent="0.2">
      <c r="A859" s="1">
        <v>43728</v>
      </c>
      <c r="B859">
        <v>18.076369523021668</v>
      </c>
    </row>
    <row r="860" spans="1:2" x14ac:dyDescent="0.2">
      <c r="A860" s="1">
        <v>43731</v>
      </c>
      <c r="B860">
        <v>17.159517923158528</v>
      </c>
    </row>
    <row r="861" spans="1:2" x14ac:dyDescent="0.2">
      <c r="A861" s="1">
        <v>43732</v>
      </c>
      <c r="B861">
        <v>16.86027404815934</v>
      </c>
    </row>
    <row r="862" spans="1:2" x14ac:dyDescent="0.2">
      <c r="A862" s="1">
        <v>43733</v>
      </c>
      <c r="B862">
        <v>17.080650302267561</v>
      </c>
    </row>
    <row r="863" spans="1:2" x14ac:dyDescent="0.2">
      <c r="A863" s="1">
        <v>43734</v>
      </c>
      <c r="B863">
        <v>17.096581884422051</v>
      </c>
    </row>
    <row r="864" spans="1:2" x14ac:dyDescent="0.2">
      <c r="A864" s="1">
        <v>43735</v>
      </c>
      <c r="B864">
        <v>17.542618607664082</v>
      </c>
    </row>
    <row r="865" spans="1:2" x14ac:dyDescent="0.2">
      <c r="A865" s="1">
        <v>43738</v>
      </c>
      <c r="B865">
        <v>17.747530083061701</v>
      </c>
    </row>
    <row r="866" spans="1:2" x14ac:dyDescent="0.2">
      <c r="A866" s="1">
        <v>43746</v>
      </c>
      <c r="B866">
        <v>16.371420481042829</v>
      </c>
    </row>
    <row r="867" spans="1:2" x14ac:dyDescent="0.2">
      <c r="A867" s="1">
        <v>43747</v>
      </c>
      <c r="B867">
        <v>15.61691474694639</v>
      </c>
    </row>
    <row r="868" spans="1:2" x14ac:dyDescent="0.2">
      <c r="A868" s="1">
        <v>43748</v>
      </c>
      <c r="B868">
        <v>15.804338446214359</v>
      </c>
    </row>
    <row r="869" spans="1:2" x14ac:dyDescent="0.2">
      <c r="A869" s="1">
        <v>43749</v>
      </c>
      <c r="B869">
        <v>16.13181207418792</v>
      </c>
    </row>
    <row r="870" spans="1:2" x14ac:dyDescent="0.2">
      <c r="A870" s="1">
        <v>43752</v>
      </c>
      <c r="B870">
        <v>15.091759059765719</v>
      </c>
    </row>
    <row r="871" spans="1:2" x14ac:dyDescent="0.2">
      <c r="A871" s="1">
        <v>43753</v>
      </c>
      <c r="B871">
        <v>14.6045629869362</v>
      </c>
    </row>
    <row r="872" spans="1:2" x14ac:dyDescent="0.2">
      <c r="A872" s="1">
        <v>43754</v>
      </c>
      <c r="B872">
        <v>17.07269329103389</v>
      </c>
    </row>
    <row r="873" spans="1:2" x14ac:dyDescent="0.2">
      <c r="A873" s="1">
        <v>43755</v>
      </c>
      <c r="B873">
        <v>17.332826182811029</v>
      </c>
    </row>
    <row r="874" spans="1:2" x14ac:dyDescent="0.2">
      <c r="A874" s="1">
        <v>43756</v>
      </c>
      <c r="B874">
        <v>17.5388032455357</v>
      </c>
    </row>
    <row r="875" spans="1:2" x14ac:dyDescent="0.2">
      <c r="A875" s="1">
        <v>43759</v>
      </c>
      <c r="B875">
        <v>16.274750941152831</v>
      </c>
    </row>
    <row r="876" spans="1:2" x14ac:dyDescent="0.2">
      <c r="A876" s="1">
        <v>43760</v>
      </c>
      <c r="B876">
        <v>15.774279197520951</v>
      </c>
    </row>
    <row r="877" spans="1:2" x14ac:dyDescent="0.2">
      <c r="A877" s="1">
        <v>43761</v>
      </c>
      <c r="B877">
        <v>15.78742916286439</v>
      </c>
    </row>
    <row r="878" spans="1:2" x14ac:dyDescent="0.2">
      <c r="A878" s="1">
        <v>43762</v>
      </c>
      <c r="B878">
        <v>15.18265494690238</v>
      </c>
    </row>
    <row r="879" spans="1:2" x14ac:dyDescent="0.2">
      <c r="A879" s="1">
        <v>43763</v>
      </c>
      <c r="B879">
        <v>14.605892896068131</v>
      </c>
    </row>
    <row r="880" spans="1:2" x14ac:dyDescent="0.2">
      <c r="A880" s="1">
        <v>43766</v>
      </c>
      <c r="B880">
        <v>14.072003157104639</v>
      </c>
    </row>
    <row r="881" spans="1:2" x14ac:dyDescent="0.2">
      <c r="A881" s="1">
        <v>43767</v>
      </c>
      <c r="B881">
        <v>14.30641814640302</v>
      </c>
    </row>
    <row r="882" spans="1:2" x14ac:dyDescent="0.2">
      <c r="A882" s="1">
        <v>43768</v>
      </c>
      <c r="B882">
        <v>14.58149366870852</v>
      </c>
    </row>
    <row r="883" spans="1:2" x14ac:dyDescent="0.2">
      <c r="A883" s="1">
        <v>43769</v>
      </c>
      <c r="B883">
        <v>14.762283480105291</v>
      </c>
    </row>
    <row r="884" spans="1:2" x14ac:dyDescent="0.2">
      <c r="A884" s="1">
        <v>43770</v>
      </c>
      <c r="B884">
        <v>14.023121654520599</v>
      </c>
    </row>
    <row r="885" spans="1:2" x14ac:dyDescent="0.2">
      <c r="A885" s="1">
        <v>43773</v>
      </c>
      <c r="B885">
        <v>14.08183393467211</v>
      </c>
    </row>
    <row r="886" spans="1:2" x14ac:dyDescent="0.2">
      <c r="A886" s="1">
        <v>43774</v>
      </c>
      <c r="B886">
        <v>14.31719763117184</v>
      </c>
    </row>
    <row r="887" spans="1:2" x14ac:dyDescent="0.2">
      <c r="A887" s="1">
        <v>43775</v>
      </c>
      <c r="B887">
        <v>14.12029669487865</v>
      </c>
    </row>
    <row r="888" spans="1:2" x14ac:dyDescent="0.2">
      <c r="A888" s="1">
        <v>43776</v>
      </c>
      <c r="B888">
        <v>14.34227628930425</v>
      </c>
    </row>
    <row r="889" spans="1:2" x14ac:dyDescent="0.2">
      <c r="A889" s="1">
        <v>43777</v>
      </c>
      <c r="B889">
        <v>14.624391935506271</v>
      </c>
    </row>
    <row r="890" spans="1:2" x14ac:dyDescent="0.2">
      <c r="A890" s="1">
        <v>43780</v>
      </c>
      <c r="B890">
        <v>15.53727785784972</v>
      </c>
    </row>
    <row r="891" spans="1:2" x14ac:dyDescent="0.2">
      <c r="A891" s="1">
        <v>43781</v>
      </c>
      <c r="B891">
        <v>15.03212690549851</v>
      </c>
    </row>
    <row r="892" spans="1:2" x14ac:dyDescent="0.2">
      <c r="A892" s="1">
        <v>43782</v>
      </c>
      <c r="B892">
        <v>15.27542529724056</v>
      </c>
    </row>
    <row r="893" spans="1:2" x14ac:dyDescent="0.2">
      <c r="A893" s="1">
        <v>43783</v>
      </c>
      <c r="B893">
        <v>15.56191763694182</v>
      </c>
    </row>
    <row r="894" spans="1:2" x14ac:dyDescent="0.2">
      <c r="A894" s="1">
        <v>43784</v>
      </c>
      <c r="B894">
        <v>15.533951898054809</v>
      </c>
    </row>
    <row r="895" spans="1:2" x14ac:dyDescent="0.2">
      <c r="A895" s="1">
        <v>43787</v>
      </c>
      <c r="B895">
        <v>14.693557534420989</v>
      </c>
    </row>
    <row r="896" spans="1:2" x14ac:dyDescent="0.2">
      <c r="A896" s="1">
        <v>43788</v>
      </c>
      <c r="B896">
        <v>13.88884688562559</v>
      </c>
    </row>
    <row r="897" spans="1:2" x14ac:dyDescent="0.2">
      <c r="A897" s="1">
        <v>43789</v>
      </c>
      <c r="B897">
        <v>15.012552643632169</v>
      </c>
    </row>
    <row r="898" spans="1:2" x14ac:dyDescent="0.2">
      <c r="A898" s="1">
        <v>43790</v>
      </c>
      <c r="B898">
        <v>14.968630491676629</v>
      </c>
    </row>
    <row r="899" spans="1:2" x14ac:dyDescent="0.2">
      <c r="A899" s="1">
        <v>43791</v>
      </c>
      <c r="B899">
        <v>15.3304053485887</v>
      </c>
    </row>
    <row r="900" spans="1:2" x14ac:dyDescent="0.2">
      <c r="A900" s="1">
        <v>43794</v>
      </c>
      <c r="B900">
        <v>14.60465799910491</v>
      </c>
    </row>
    <row r="901" spans="1:2" x14ac:dyDescent="0.2">
      <c r="A901" s="1">
        <v>43795</v>
      </c>
      <c r="B901">
        <v>14.61047439228402</v>
      </c>
    </row>
    <row r="902" spans="1:2" x14ac:dyDescent="0.2">
      <c r="A902" s="1">
        <v>43796</v>
      </c>
      <c r="B902">
        <v>14.296862251948999</v>
      </c>
    </row>
    <row r="903" spans="1:2" x14ac:dyDescent="0.2">
      <c r="A903" s="1">
        <v>43797</v>
      </c>
      <c r="B903">
        <v>13.64521926837268</v>
      </c>
    </row>
    <row r="904" spans="1:2" x14ac:dyDescent="0.2">
      <c r="A904" s="1">
        <v>43798</v>
      </c>
      <c r="B904">
        <v>14.1681366241821</v>
      </c>
    </row>
    <row r="905" spans="1:2" x14ac:dyDescent="0.2">
      <c r="A905" s="1">
        <v>43801</v>
      </c>
      <c r="B905">
        <v>13.61882318312877</v>
      </c>
    </row>
    <row r="906" spans="1:2" x14ac:dyDescent="0.2">
      <c r="A906" s="1">
        <v>43802</v>
      </c>
      <c r="B906">
        <v>13.3804637200135</v>
      </c>
    </row>
    <row r="907" spans="1:2" x14ac:dyDescent="0.2">
      <c r="A907" s="1">
        <v>43803</v>
      </c>
      <c r="B907">
        <v>13.40997198741937</v>
      </c>
    </row>
    <row r="908" spans="1:2" x14ac:dyDescent="0.2">
      <c r="A908" s="1">
        <v>43804</v>
      </c>
      <c r="B908">
        <v>12.777790623829871</v>
      </c>
    </row>
    <row r="909" spans="1:2" x14ac:dyDescent="0.2">
      <c r="A909" s="1">
        <v>43805</v>
      </c>
      <c r="B909">
        <v>12.217338236978719</v>
      </c>
    </row>
    <row r="910" spans="1:2" x14ac:dyDescent="0.2">
      <c r="A910" s="1">
        <v>43808</v>
      </c>
      <c r="B910">
        <v>12.402768819654341</v>
      </c>
    </row>
    <row r="911" spans="1:2" x14ac:dyDescent="0.2">
      <c r="A911" s="1">
        <v>43809</v>
      </c>
      <c r="B911">
        <v>12.26618119177877</v>
      </c>
    </row>
    <row r="912" spans="1:2" x14ac:dyDescent="0.2">
      <c r="A912" s="1">
        <v>43810</v>
      </c>
      <c r="B912">
        <v>12.505773166467881</v>
      </c>
    </row>
    <row r="913" spans="1:2" x14ac:dyDescent="0.2">
      <c r="A913" s="1">
        <v>43811</v>
      </c>
      <c r="B913">
        <v>12.167795947014319</v>
      </c>
    </row>
    <row r="914" spans="1:2" x14ac:dyDescent="0.2">
      <c r="A914" s="1">
        <v>43812</v>
      </c>
      <c r="B914">
        <v>14.15757713009708</v>
      </c>
    </row>
    <row r="915" spans="1:2" x14ac:dyDescent="0.2">
      <c r="A915" s="1">
        <v>43815</v>
      </c>
      <c r="B915">
        <v>13.48336021982267</v>
      </c>
    </row>
    <row r="916" spans="1:2" x14ac:dyDescent="0.2">
      <c r="A916" s="1">
        <v>43816</v>
      </c>
      <c r="B916">
        <v>14.23941476487264</v>
      </c>
    </row>
    <row r="917" spans="1:2" x14ac:dyDescent="0.2">
      <c r="A917" s="1">
        <v>43817</v>
      </c>
      <c r="B917">
        <v>15.73318082973651</v>
      </c>
    </row>
    <row r="918" spans="1:2" x14ac:dyDescent="0.2">
      <c r="A918" s="1">
        <v>43818</v>
      </c>
      <c r="B918">
        <v>16.175164566097909</v>
      </c>
    </row>
    <row r="919" spans="1:2" x14ac:dyDescent="0.2">
      <c r="A919" s="1">
        <v>43819</v>
      </c>
      <c r="B919">
        <v>15.619812466311791</v>
      </c>
    </row>
    <row r="920" spans="1:2" x14ac:dyDescent="0.2">
      <c r="A920" s="1">
        <v>43822</v>
      </c>
      <c r="B920">
        <v>13.98576249074315</v>
      </c>
    </row>
    <row r="921" spans="1:2" x14ac:dyDescent="0.2">
      <c r="A921" s="1">
        <v>43823</v>
      </c>
      <c r="B921">
        <v>13.690710982138549</v>
      </c>
    </row>
    <row r="922" spans="1:2" x14ac:dyDescent="0.2">
      <c r="A922" s="1">
        <v>43824</v>
      </c>
      <c r="B922">
        <v>13.309050056262491</v>
      </c>
    </row>
    <row r="923" spans="1:2" x14ac:dyDescent="0.2">
      <c r="A923" s="1">
        <v>43825</v>
      </c>
      <c r="B923">
        <v>13.467690069846901</v>
      </c>
    </row>
    <row r="924" spans="1:2" x14ac:dyDescent="0.2">
      <c r="A924" s="1">
        <v>43826</v>
      </c>
      <c r="B924">
        <v>13.787716894155441</v>
      </c>
    </row>
    <row r="925" spans="1:2" x14ac:dyDescent="0.2">
      <c r="A925" s="1">
        <v>43829</v>
      </c>
      <c r="B925">
        <v>14.779218177020629</v>
      </c>
    </row>
    <row r="926" spans="1:2" x14ac:dyDescent="0.2">
      <c r="A926" s="1">
        <v>43830</v>
      </c>
      <c r="B926">
        <v>15.28676204437097</v>
      </c>
    </row>
    <row r="927" spans="1:2" x14ac:dyDescent="0.2">
      <c r="A927" s="1">
        <v>43832</v>
      </c>
      <c r="B927">
        <v>15.713852159121579</v>
      </c>
    </row>
    <row r="928" spans="1:2" x14ac:dyDescent="0.2">
      <c r="A928" s="1">
        <v>43833</v>
      </c>
      <c r="B928">
        <v>15.213415176279691</v>
      </c>
    </row>
    <row r="929" spans="1:2" x14ac:dyDescent="0.2">
      <c r="A929" s="1">
        <v>43836</v>
      </c>
      <c r="B929">
        <v>15.87353552905201</v>
      </c>
    </row>
    <row r="930" spans="1:2" x14ac:dyDescent="0.2">
      <c r="A930" s="1">
        <v>43837</v>
      </c>
      <c r="B930">
        <v>16.084274915658689</v>
      </c>
    </row>
    <row r="931" spans="1:2" x14ac:dyDescent="0.2">
      <c r="A931" s="1">
        <v>43838</v>
      </c>
      <c r="B931">
        <v>16.29081756985893</v>
      </c>
    </row>
    <row r="932" spans="1:2" x14ac:dyDescent="0.2">
      <c r="A932" s="1">
        <v>43839</v>
      </c>
      <c r="B932">
        <v>15.553686627238401</v>
      </c>
    </row>
    <row r="933" spans="1:2" x14ac:dyDescent="0.2">
      <c r="A933" s="1">
        <v>43840</v>
      </c>
      <c r="B933">
        <v>15.1168980041178</v>
      </c>
    </row>
    <row r="934" spans="1:2" x14ac:dyDescent="0.2">
      <c r="A934" s="1">
        <v>43843</v>
      </c>
      <c r="B934">
        <v>15.26930166106464</v>
      </c>
    </row>
    <row r="935" spans="1:2" x14ac:dyDescent="0.2">
      <c r="A935" s="1">
        <v>43844</v>
      </c>
      <c r="B935">
        <v>14.39783809084752</v>
      </c>
    </row>
    <row r="936" spans="1:2" x14ac:dyDescent="0.2">
      <c r="A936" s="1">
        <v>43845</v>
      </c>
      <c r="B936">
        <v>17.093681824126811</v>
      </c>
    </row>
    <row r="937" spans="1:2" x14ac:dyDescent="0.2">
      <c r="A937" s="1">
        <v>43846</v>
      </c>
      <c r="B937">
        <v>16.228204597503851</v>
      </c>
    </row>
    <row r="938" spans="1:2" x14ac:dyDescent="0.2">
      <c r="A938" s="1">
        <v>43847</v>
      </c>
      <c r="B938">
        <v>15.42851178688583</v>
      </c>
    </row>
    <row r="939" spans="1:2" x14ac:dyDescent="0.2">
      <c r="A939" s="1">
        <v>43850</v>
      </c>
      <c r="B939">
        <v>15.383152152124209</v>
      </c>
    </row>
    <row r="940" spans="1:2" x14ac:dyDescent="0.2">
      <c r="A940" s="1">
        <v>43851</v>
      </c>
      <c r="B940">
        <v>17.47705095287283</v>
      </c>
    </row>
    <row r="941" spans="1:2" x14ac:dyDescent="0.2">
      <c r="A941" s="1">
        <v>43852</v>
      </c>
      <c r="B941">
        <v>16.444064013127988</v>
      </c>
    </row>
    <row r="942" spans="1:2" x14ac:dyDescent="0.2">
      <c r="A942" s="1">
        <v>43853</v>
      </c>
      <c r="B942">
        <v>18.12231996360584</v>
      </c>
    </row>
    <row r="943" spans="1:2" x14ac:dyDescent="0.2">
      <c r="A943" s="1">
        <v>43865</v>
      </c>
      <c r="B943">
        <v>23.46748708613433</v>
      </c>
    </row>
    <row r="944" spans="1:2" x14ac:dyDescent="0.2">
      <c r="A944" s="1">
        <v>43866</v>
      </c>
      <c r="B944">
        <v>20.81913497331513</v>
      </c>
    </row>
    <row r="945" spans="1:2" x14ac:dyDescent="0.2">
      <c r="A945" s="1">
        <v>43867</v>
      </c>
      <c r="B945">
        <v>20.96325435529312</v>
      </c>
    </row>
    <row r="946" spans="1:2" x14ac:dyDescent="0.2">
      <c r="A946" s="1">
        <v>43868</v>
      </c>
      <c r="B946">
        <v>22.28626674953928</v>
      </c>
    </row>
    <row r="947" spans="1:2" x14ac:dyDescent="0.2">
      <c r="A947" s="1">
        <v>43871</v>
      </c>
      <c r="B947">
        <v>21.89125379989882</v>
      </c>
    </row>
    <row r="948" spans="1:2" x14ac:dyDescent="0.2">
      <c r="A948" s="1">
        <v>43872</v>
      </c>
      <c r="B948">
        <v>20.12140385764803</v>
      </c>
    </row>
    <row r="949" spans="1:2" x14ac:dyDescent="0.2">
      <c r="A949" s="1">
        <v>43873</v>
      </c>
      <c r="B949">
        <v>19.293128572162619</v>
      </c>
    </row>
    <row r="950" spans="1:2" x14ac:dyDescent="0.2">
      <c r="A950" s="1">
        <v>43874</v>
      </c>
      <c r="B950">
        <v>19.759909819560999</v>
      </c>
    </row>
    <row r="951" spans="1:2" x14ac:dyDescent="0.2">
      <c r="A951" s="1">
        <v>43875</v>
      </c>
      <c r="B951">
        <v>18.84811417105167</v>
      </c>
    </row>
    <row r="952" spans="1:2" x14ac:dyDescent="0.2">
      <c r="A952" s="1">
        <v>43878</v>
      </c>
      <c r="B952">
        <v>18.969655936014689</v>
      </c>
    </row>
    <row r="953" spans="1:2" x14ac:dyDescent="0.2">
      <c r="A953" s="1">
        <v>43879</v>
      </c>
      <c r="B953">
        <v>19.147464533817619</v>
      </c>
    </row>
    <row r="954" spans="1:2" x14ac:dyDescent="0.2">
      <c r="A954" s="1">
        <v>43880</v>
      </c>
      <c r="B954">
        <v>21.053787376580988</v>
      </c>
    </row>
    <row r="955" spans="1:2" x14ac:dyDescent="0.2">
      <c r="A955" s="1">
        <v>43881</v>
      </c>
      <c r="B955">
        <v>20.934443355448568</v>
      </c>
    </row>
    <row r="956" spans="1:2" x14ac:dyDescent="0.2">
      <c r="A956" s="1">
        <v>43882</v>
      </c>
      <c r="B956">
        <v>21.879523799480928</v>
      </c>
    </row>
    <row r="957" spans="1:2" x14ac:dyDescent="0.2">
      <c r="A957" s="1">
        <v>43885</v>
      </c>
      <c r="B957">
        <v>22.84136271331236</v>
      </c>
    </row>
    <row r="958" spans="1:2" x14ac:dyDescent="0.2">
      <c r="A958" s="1">
        <v>43886</v>
      </c>
      <c r="B958">
        <v>23.2367796093944</v>
      </c>
    </row>
    <row r="959" spans="1:2" x14ac:dyDescent="0.2">
      <c r="A959" s="1">
        <v>43887</v>
      </c>
      <c r="B959">
        <v>23.911178932705958</v>
      </c>
    </row>
    <row r="960" spans="1:2" x14ac:dyDescent="0.2">
      <c r="A960" s="1">
        <v>43888</v>
      </c>
      <c r="B960">
        <v>20.500689451399712</v>
      </c>
    </row>
    <row r="961" spans="1:2" x14ac:dyDescent="0.2">
      <c r="A961" s="1">
        <v>43889</v>
      </c>
      <c r="B961">
        <v>23.723325696142709</v>
      </c>
    </row>
    <row r="962" spans="1:2" x14ac:dyDescent="0.2">
      <c r="A962" s="1">
        <v>43892</v>
      </c>
      <c r="B962">
        <v>21.19368619871813</v>
      </c>
    </row>
    <row r="963" spans="1:2" x14ac:dyDescent="0.2">
      <c r="A963" s="1">
        <v>43893</v>
      </c>
      <c r="B963">
        <v>20.82013503437928</v>
      </c>
    </row>
    <row r="964" spans="1:2" x14ac:dyDescent="0.2">
      <c r="A964" s="1">
        <v>43894</v>
      </c>
      <c r="B964">
        <v>20.847063653629441</v>
      </c>
    </row>
    <row r="965" spans="1:2" x14ac:dyDescent="0.2">
      <c r="A965" s="1">
        <v>43895</v>
      </c>
      <c r="B965">
        <v>21.566603613130908</v>
      </c>
    </row>
    <row r="966" spans="1:2" x14ac:dyDescent="0.2">
      <c r="A966" s="1">
        <v>43896</v>
      </c>
      <c r="B966">
        <v>22.904970907702261</v>
      </c>
    </row>
    <row r="967" spans="1:2" x14ac:dyDescent="0.2">
      <c r="A967" s="1">
        <v>43899</v>
      </c>
      <c r="B967">
        <v>28.050362107108551</v>
      </c>
    </row>
    <row r="968" spans="1:2" x14ac:dyDescent="0.2">
      <c r="A968" s="1">
        <v>43900</v>
      </c>
      <c r="B968">
        <v>27.54934920616417</v>
      </c>
    </row>
    <row r="969" spans="1:2" x14ac:dyDescent="0.2">
      <c r="A969" s="1">
        <v>43901</v>
      </c>
      <c r="B969">
        <v>27.42370110329237</v>
      </c>
    </row>
    <row r="970" spans="1:2" x14ac:dyDescent="0.2">
      <c r="A970" s="1">
        <v>43902</v>
      </c>
      <c r="B970">
        <v>29.842855363813332</v>
      </c>
    </row>
    <row r="971" spans="1:2" x14ac:dyDescent="0.2">
      <c r="A971" s="1">
        <v>43903</v>
      </c>
      <c r="B971">
        <v>34.890097345295253</v>
      </c>
    </row>
    <row r="972" spans="1:2" x14ac:dyDescent="0.2">
      <c r="A972" s="1">
        <v>43906</v>
      </c>
      <c r="B972">
        <v>34.657275621113612</v>
      </c>
    </row>
    <row r="973" spans="1:2" x14ac:dyDescent="0.2">
      <c r="A973" s="1">
        <v>43907</v>
      </c>
      <c r="B973">
        <v>37.890422740133907</v>
      </c>
    </row>
    <row r="974" spans="1:2" x14ac:dyDescent="0.2">
      <c r="A974" s="1">
        <v>43908</v>
      </c>
      <c r="B974">
        <v>33.4228421529454</v>
      </c>
    </row>
    <row r="975" spans="1:2" x14ac:dyDescent="0.2">
      <c r="A975" s="1">
        <v>43909</v>
      </c>
      <c r="B975">
        <v>36.815106652815707</v>
      </c>
    </row>
    <row r="976" spans="1:2" x14ac:dyDescent="0.2">
      <c r="A976" s="1">
        <v>43910</v>
      </c>
      <c r="B976">
        <v>34.45232808284203</v>
      </c>
    </row>
    <row r="977" spans="1:2" x14ac:dyDescent="0.2">
      <c r="A977" s="1">
        <v>43913</v>
      </c>
      <c r="B977">
        <v>35.999581491625108</v>
      </c>
    </row>
    <row r="978" spans="1:2" x14ac:dyDescent="0.2">
      <c r="A978" s="1">
        <v>43914</v>
      </c>
      <c r="B978">
        <v>34.331021646380101</v>
      </c>
    </row>
    <row r="979" spans="1:2" x14ac:dyDescent="0.2">
      <c r="A979" s="1">
        <v>43915</v>
      </c>
      <c r="B979">
        <v>33.639737489314278</v>
      </c>
    </row>
    <row r="980" spans="1:2" x14ac:dyDescent="0.2">
      <c r="A980" s="1">
        <v>43916</v>
      </c>
      <c r="B980">
        <v>32.535653350054467</v>
      </c>
    </row>
    <row r="981" spans="1:2" x14ac:dyDescent="0.2">
      <c r="A981" s="1">
        <v>43917</v>
      </c>
      <c r="B981">
        <v>32.66489034274769</v>
      </c>
    </row>
    <row r="982" spans="1:2" x14ac:dyDescent="0.2">
      <c r="A982" s="1">
        <v>43920</v>
      </c>
      <c r="B982">
        <v>31.592197597708179</v>
      </c>
    </row>
    <row r="983" spans="1:2" x14ac:dyDescent="0.2">
      <c r="A983" s="1">
        <v>43921</v>
      </c>
      <c r="B983">
        <v>29.358995963210621</v>
      </c>
    </row>
    <row r="984" spans="1:2" x14ac:dyDescent="0.2">
      <c r="A984" s="1">
        <v>43922</v>
      </c>
      <c r="B984">
        <v>27.628247341225102</v>
      </c>
    </row>
    <row r="985" spans="1:2" x14ac:dyDescent="0.2">
      <c r="A985" s="1">
        <v>43923</v>
      </c>
      <c r="B985">
        <v>26.453036773998839</v>
      </c>
    </row>
    <row r="986" spans="1:2" x14ac:dyDescent="0.2">
      <c r="A986" s="1">
        <v>43924</v>
      </c>
      <c r="B986">
        <v>27.35363249138128</v>
      </c>
    </row>
    <row r="987" spans="1:2" x14ac:dyDescent="0.2">
      <c r="A987" s="1">
        <v>43928</v>
      </c>
      <c r="B987">
        <v>25.04955589099826</v>
      </c>
    </row>
    <row r="988" spans="1:2" x14ac:dyDescent="0.2">
      <c r="A988" s="1">
        <v>43929</v>
      </c>
      <c r="B988">
        <v>23.846321948034529</v>
      </c>
    </row>
    <row r="989" spans="1:2" x14ac:dyDescent="0.2">
      <c r="A989" s="1">
        <v>43930</v>
      </c>
      <c r="B989">
        <v>22.693537760810418</v>
      </c>
    </row>
    <row r="990" spans="1:2" x14ac:dyDescent="0.2">
      <c r="A990" s="1">
        <v>43931</v>
      </c>
      <c r="B990">
        <v>21.92953792233558</v>
      </c>
    </row>
    <row r="991" spans="1:2" x14ac:dyDescent="0.2">
      <c r="A991" s="1">
        <v>43934</v>
      </c>
      <c r="B991">
        <v>20.456070341696751</v>
      </c>
    </row>
    <row r="992" spans="1:2" x14ac:dyDescent="0.2">
      <c r="A992" s="1">
        <v>43935</v>
      </c>
      <c r="B992">
        <v>19.705062881310418</v>
      </c>
    </row>
    <row r="993" spans="1:2" x14ac:dyDescent="0.2">
      <c r="A993" s="1">
        <v>43936</v>
      </c>
      <c r="B993">
        <v>23.88126764209013</v>
      </c>
    </row>
    <row r="994" spans="1:2" x14ac:dyDescent="0.2">
      <c r="A994" s="1">
        <v>43937</v>
      </c>
      <c r="B994">
        <v>23.265976882041539</v>
      </c>
    </row>
    <row r="995" spans="1:2" x14ac:dyDescent="0.2">
      <c r="A995" s="1">
        <v>43938</v>
      </c>
      <c r="B995">
        <v>22.977299965565471</v>
      </c>
    </row>
    <row r="996" spans="1:2" x14ac:dyDescent="0.2">
      <c r="A996" s="1">
        <v>43941</v>
      </c>
      <c r="B996">
        <v>22.65881803910392</v>
      </c>
    </row>
    <row r="997" spans="1:2" x14ac:dyDescent="0.2">
      <c r="A997" s="1">
        <v>43942</v>
      </c>
      <c r="B997">
        <v>22.341385140423</v>
      </c>
    </row>
    <row r="998" spans="1:2" x14ac:dyDescent="0.2">
      <c r="A998" s="1">
        <v>43943</v>
      </c>
      <c r="B998">
        <v>21.711836293870739</v>
      </c>
    </row>
    <row r="999" spans="1:2" x14ac:dyDescent="0.2">
      <c r="A999" s="1">
        <v>43944</v>
      </c>
      <c r="B999">
        <v>20.629095086001389</v>
      </c>
    </row>
    <row r="1000" spans="1:2" x14ac:dyDescent="0.2">
      <c r="A1000" s="1">
        <v>43945</v>
      </c>
      <c r="B1000">
        <v>19.957000196329961</v>
      </c>
    </row>
    <row r="1001" spans="1:2" x14ac:dyDescent="0.2">
      <c r="A1001" s="1">
        <v>43948</v>
      </c>
      <c r="B1001">
        <v>18.427004454576299</v>
      </c>
    </row>
    <row r="1002" spans="1:2" x14ac:dyDescent="0.2">
      <c r="A1002" s="1">
        <v>43949</v>
      </c>
      <c r="B1002">
        <v>18.49277438382941</v>
      </c>
    </row>
    <row r="1003" spans="1:2" x14ac:dyDescent="0.2">
      <c r="A1003" s="1">
        <v>43950</v>
      </c>
      <c r="B1003">
        <v>19.320800739443719</v>
      </c>
    </row>
    <row r="1004" spans="1:2" x14ac:dyDescent="0.2">
      <c r="A1004" s="1">
        <v>43951</v>
      </c>
      <c r="B1004">
        <v>21.412309155716859</v>
      </c>
    </row>
    <row r="1005" spans="1:2" x14ac:dyDescent="0.2">
      <c r="A1005" s="1">
        <v>43957</v>
      </c>
      <c r="B1005">
        <v>20.61595387727569</v>
      </c>
    </row>
    <row r="1006" spans="1:2" x14ac:dyDescent="0.2">
      <c r="A1006" s="1">
        <v>43958</v>
      </c>
      <c r="B1006">
        <v>19.542764711700048</v>
      </c>
    </row>
    <row r="1007" spans="1:2" x14ac:dyDescent="0.2">
      <c r="A1007" s="1">
        <v>43959</v>
      </c>
      <c r="B1007">
        <v>18.635906559774138</v>
      </c>
    </row>
    <row r="1008" spans="1:2" x14ac:dyDescent="0.2">
      <c r="A1008" s="1">
        <v>43962</v>
      </c>
      <c r="B1008">
        <v>18.96421893750453</v>
      </c>
    </row>
    <row r="1009" spans="1:2" x14ac:dyDescent="0.2">
      <c r="A1009" s="1">
        <v>43963</v>
      </c>
      <c r="B1009">
        <v>19.14020156701325</v>
      </c>
    </row>
    <row r="1010" spans="1:2" x14ac:dyDescent="0.2">
      <c r="A1010" s="1">
        <v>43964</v>
      </c>
      <c r="B1010">
        <v>18.960344231355801</v>
      </c>
    </row>
    <row r="1011" spans="1:2" x14ac:dyDescent="0.2">
      <c r="A1011" s="1">
        <v>43965</v>
      </c>
      <c r="B1011">
        <v>19.089858638760951</v>
      </c>
    </row>
    <row r="1012" spans="1:2" x14ac:dyDescent="0.2">
      <c r="A1012" s="1">
        <v>43966</v>
      </c>
      <c r="B1012">
        <v>18.55812948342723</v>
      </c>
    </row>
    <row r="1013" spans="1:2" x14ac:dyDescent="0.2">
      <c r="A1013" s="1">
        <v>43969</v>
      </c>
      <c r="B1013">
        <v>18.224408774927031</v>
      </c>
    </row>
    <row r="1014" spans="1:2" x14ac:dyDescent="0.2">
      <c r="A1014" s="1">
        <v>43970</v>
      </c>
      <c r="B1014">
        <v>17.408808746136149</v>
      </c>
    </row>
    <row r="1015" spans="1:2" x14ac:dyDescent="0.2">
      <c r="A1015" s="1">
        <v>43971</v>
      </c>
      <c r="B1015">
        <v>18.889600502137359</v>
      </c>
    </row>
    <row r="1016" spans="1:2" x14ac:dyDescent="0.2">
      <c r="A1016" s="1">
        <v>43972</v>
      </c>
      <c r="B1016">
        <v>19.74201202079507</v>
      </c>
    </row>
    <row r="1017" spans="1:2" x14ac:dyDescent="0.2">
      <c r="A1017" s="1">
        <v>43973</v>
      </c>
      <c r="B1017">
        <v>22.673923582816052</v>
      </c>
    </row>
    <row r="1018" spans="1:2" x14ac:dyDescent="0.2">
      <c r="A1018" s="1">
        <v>43976</v>
      </c>
      <c r="B1018">
        <v>19.239370494174331</v>
      </c>
    </row>
    <row r="1019" spans="1:2" x14ac:dyDescent="0.2">
      <c r="A1019" s="1">
        <v>43977</v>
      </c>
      <c r="B1019">
        <v>18.588411759069619</v>
      </c>
    </row>
    <row r="1020" spans="1:2" x14ac:dyDescent="0.2">
      <c r="A1020" s="1">
        <v>43978</v>
      </c>
      <c r="B1020">
        <v>19.509392275931251</v>
      </c>
    </row>
    <row r="1021" spans="1:2" x14ac:dyDescent="0.2">
      <c r="A1021" s="1">
        <v>43979</v>
      </c>
      <c r="B1021">
        <v>19.149000811980251</v>
      </c>
    </row>
    <row r="1022" spans="1:2" x14ac:dyDescent="0.2">
      <c r="A1022" s="1">
        <v>43980</v>
      </c>
      <c r="B1022">
        <v>19.408546262760989</v>
      </c>
    </row>
    <row r="1023" spans="1:2" x14ac:dyDescent="0.2">
      <c r="A1023" s="1">
        <v>43983</v>
      </c>
      <c r="B1023">
        <v>17.265230200435791</v>
      </c>
    </row>
    <row r="1024" spans="1:2" x14ac:dyDescent="0.2">
      <c r="A1024" s="1">
        <v>43984</v>
      </c>
      <c r="B1024">
        <v>17.357714047713142</v>
      </c>
    </row>
    <row r="1025" spans="1:2" x14ac:dyDescent="0.2">
      <c r="A1025" s="1">
        <v>43985</v>
      </c>
      <c r="B1025">
        <v>17.928852217298651</v>
      </c>
    </row>
    <row r="1026" spans="1:2" x14ac:dyDescent="0.2">
      <c r="A1026" s="1">
        <v>43986</v>
      </c>
      <c r="B1026">
        <v>18.110168256284311</v>
      </c>
    </row>
    <row r="1027" spans="1:2" x14ac:dyDescent="0.2">
      <c r="A1027" s="1">
        <v>43987</v>
      </c>
      <c r="B1027">
        <v>17.35594902982006</v>
      </c>
    </row>
    <row r="1028" spans="1:2" x14ac:dyDescent="0.2">
      <c r="A1028" s="1">
        <v>43990</v>
      </c>
      <c r="B1028">
        <v>17.351620997381911</v>
      </c>
    </row>
    <row r="1029" spans="1:2" x14ac:dyDescent="0.2">
      <c r="A1029" s="1">
        <v>43991</v>
      </c>
      <c r="B1029">
        <v>17.599597508964202</v>
      </c>
    </row>
    <row r="1030" spans="1:2" x14ac:dyDescent="0.2">
      <c r="A1030" s="1">
        <v>43992</v>
      </c>
      <c r="B1030">
        <v>17.812012828074071</v>
      </c>
    </row>
    <row r="1031" spans="1:2" x14ac:dyDescent="0.2">
      <c r="A1031" s="1">
        <v>43993</v>
      </c>
      <c r="B1031">
        <v>18.34121906360992</v>
      </c>
    </row>
    <row r="1032" spans="1:2" x14ac:dyDescent="0.2">
      <c r="A1032" s="1">
        <v>43994</v>
      </c>
      <c r="B1032">
        <v>17.907873791639659</v>
      </c>
    </row>
    <row r="1033" spans="1:2" x14ac:dyDescent="0.2">
      <c r="A1033" s="1">
        <v>43997</v>
      </c>
      <c r="B1033">
        <v>19.262135770343569</v>
      </c>
    </row>
    <row r="1034" spans="1:2" x14ac:dyDescent="0.2">
      <c r="A1034" s="1">
        <v>43998</v>
      </c>
      <c r="B1034">
        <v>17.50502484068738</v>
      </c>
    </row>
    <row r="1035" spans="1:2" x14ac:dyDescent="0.2">
      <c r="A1035" s="1">
        <v>43999</v>
      </c>
      <c r="B1035">
        <v>19.241955128093871</v>
      </c>
    </row>
    <row r="1036" spans="1:2" x14ac:dyDescent="0.2">
      <c r="A1036" s="1">
        <v>44000</v>
      </c>
      <c r="B1036">
        <v>19.24333046000438</v>
      </c>
    </row>
    <row r="1037" spans="1:2" x14ac:dyDescent="0.2">
      <c r="A1037" s="1">
        <v>44001</v>
      </c>
      <c r="B1037">
        <v>19.367343412350639</v>
      </c>
    </row>
    <row r="1038" spans="1:2" x14ac:dyDescent="0.2">
      <c r="A1038" s="1">
        <v>44004</v>
      </c>
      <c r="B1038">
        <v>19.74235500738687</v>
      </c>
    </row>
    <row r="1039" spans="1:2" x14ac:dyDescent="0.2">
      <c r="A1039" s="1">
        <v>44005</v>
      </c>
      <c r="B1039">
        <v>20.12905335597582</v>
      </c>
    </row>
    <row r="1040" spans="1:2" x14ac:dyDescent="0.2">
      <c r="A1040" s="1">
        <v>44006</v>
      </c>
      <c r="B1040">
        <v>19.821433866219749</v>
      </c>
    </row>
    <row r="1041" spans="1:3" x14ac:dyDescent="0.2">
      <c r="A1041" s="1">
        <v>44011</v>
      </c>
      <c r="B1041">
        <v>18.406287869083499</v>
      </c>
    </row>
    <row r="1042" spans="1:3" x14ac:dyDescent="0.2">
      <c r="A1042" s="1">
        <v>44012</v>
      </c>
      <c r="B1042">
        <v>17.53660410449486</v>
      </c>
    </row>
    <row r="1043" spans="1:3" x14ac:dyDescent="0.2">
      <c r="A1043" s="1">
        <v>44013</v>
      </c>
      <c r="B1043">
        <v>18.492339084293381</v>
      </c>
    </row>
    <row r="1044" spans="1:3" x14ac:dyDescent="0.2">
      <c r="A1044" s="1">
        <v>44014</v>
      </c>
      <c r="B1044">
        <v>22.216094066840309</v>
      </c>
    </row>
    <row r="1045" spans="1:3" x14ac:dyDescent="0.2">
      <c r="A1045" s="1">
        <v>44015</v>
      </c>
      <c r="B1045">
        <v>24.20248777916127</v>
      </c>
    </row>
    <row r="1046" spans="1:3" s="32" customFormat="1" x14ac:dyDescent="0.2">
      <c r="A1046" s="31">
        <v>44018</v>
      </c>
      <c r="B1046" s="32">
        <v>32.575674321626579</v>
      </c>
      <c r="C1046" s="32">
        <v>32.575674321626579</v>
      </c>
    </row>
    <row r="1047" spans="1:3" x14ac:dyDescent="0.2">
      <c r="A1047" s="1">
        <v>44019</v>
      </c>
      <c r="B1047">
        <v>31.955067069885839</v>
      </c>
      <c r="C1047">
        <v>31.955067069885839</v>
      </c>
    </row>
    <row r="1048" spans="1:3" x14ac:dyDescent="0.2">
      <c r="A1048" s="1">
        <v>44020</v>
      </c>
      <c r="B1048">
        <v>33.007560651660199</v>
      </c>
      <c r="C1048">
        <v>33.007560651660199</v>
      </c>
    </row>
    <row r="1049" spans="1:3" x14ac:dyDescent="0.2">
      <c r="A1049" s="1">
        <v>44021</v>
      </c>
      <c r="B1049">
        <v>33.067158790329763</v>
      </c>
      <c r="C1049">
        <v>33.067158790329763</v>
      </c>
    </row>
    <row r="1050" spans="1:3" x14ac:dyDescent="0.2">
      <c r="A1050" s="1">
        <v>44022</v>
      </c>
      <c r="B1050">
        <v>32.054063608065299</v>
      </c>
      <c r="C1050">
        <v>32.054063608065299</v>
      </c>
    </row>
    <row r="1051" spans="1:3" x14ac:dyDescent="0.2">
      <c r="A1051" s="1">
        <v>44025</v>
      </c>
      <c r="B1051">
        <v>29.100192613700742</v>
      </c>
      <c r="C1051">
        <v>29.100192613700742</v>
      </c>
    </row>
    <row r="1052" spans="1:3" x14ac:dyDescent="0.2">
      <c r="A1052" s="1">
        <v>44026</v>
      </c>
      <c r="B1052">
        <v>29.19495068695473</v>
      </c>
      <c r="C1052">
        <v>29.19495068695473</v>
      </c>
    </row>
    <row r="1053" spans="1:3" x14ac:dyDescent="0.2">
      <c r="A1053" s="1">
        <v>44027</v>
      </c>
      <c r="B1053">
        <v>34.675337518912229</v>
      </c>
      <c r="C1053">
        <v>34.675337518912229</v>
      </c>
    </row>
    <row r="1054" spans="1:3" x14ac:dyDescent="0.2">
      <c r="A1054" s="1">
        <v>44028</v>
      </c>
      <c r="B1054">
        <v>36.874447139525479</v>
      </c>
      <c r="C1054">
        <v>36.874447139525479</v>
      </c>
    </row>
    <row r="1055" spans="1:3" x14ac:dyDescent="0.2">
      <c r="A1055" s="1">
        <v>44029</v>
      </c>
      <c r="B1055">
        <v>31.950037661262741</v>
      </c>
      <c r="C1055">
        <v>31.950037661262741</v>
      </c>
    </row>
    <row r="1056" spans="1:3" x14ac:dyDescent="0.2">
      <c r="A1056" s="1">
        <v>44032</v>
      </c>
      <c r="B1056">
        <v>31.208939328693539</v>
      </c>
      <c r="C1056">
        <v>31.208939328693539</v>
      </c>
    </row>
    <row r="1057" spans="1:3" x14ac:dyDescent="0.2">
      <c r="A1057" s="1">
        <v>44033</v>
      </c>
      <c r="B1057">
        <v>29.36115938758487</v>
      </c>
      <c r="C1057">
        <v>29.36115938758487</v>
      </c>
    </row>
    <row r="1058" spans="1:3" x14ac:dyDescent="0.2">
      <c r="A1058" s="1">
        <v>44034</v>
      </c>
      <c r="B1058">
        <v>28.707710923336379</v>
      </c>
      <c r="C1058">
        <v>28.707710923336379</v>
      </c>
    </row>
    <row r="1059" spans="1:3" x14ac:dyDescent="0.2">
      <c r="A1059" s="1">
        <v>44035</v>
      </c>
      <c r="B1059">
        <v>29.32573161365378</v>
      </c>
      <c r="C1059">
        <v>29.32573161365378</v>
      </c>
    </row>
    <row r="1060" spans="1:3" x14ac:dyDescent="0.2">
      <c r="A1060" s="1">
        <v>44036</v>
      </c>
      <c r="B1060">
        <v>32.026558018148549</v>
      </c>
      <c r="C1060">
        <v>32.026558018148549</v>
      </c>
    </row>
    <row r="1061" spans="1:3" x14ac:dyDescent="0.2">
      <c r="A1061" s="1">
        <v>44039</v>
      </c>
      <c r="B1061">
        <v>29.217757537932371</v>
      </c>
      <c r="C1061">
        <v>29.217757537932371</v>
      </c>
    </row>
    <row r="1062" spans="1:3" x14ac:dyDescent="0.2">
      <c r="A1062" s="1">
        <v>44040</v>
      </c>
      <c r="B1062">
        <v>28.67054452424669</v>
      </c>
      <c r="C1062">
        <v>28.67054452424669</v>
      </c>
    </row>
    <row r="1063" spans="1:3" x14ac:dyDescent="0.2">
      <c r="A1063" s="1">
        <v>44041</v>
      </c>
      <c r="B1063">
        <v>29.207883938511021</v>
      </c>
      <c r="C1063">
        <v>29.207883938511021</v>
      </c>
    </row>
    <row r="1064" spans="1:3" x14ac:dyDescent="0.2">
      <c r="A1064" s="1">
        <v>44042</v>
      </c>
      <c r="B1064">
        <v>29.39743408605262</v>
      </c>
      <c r="C1064">
        <v>29.39743408605262</v>
      </c>
    </row>
    <row r="1065" spans="1:3" x14ac:dyDescent="0.2">
      <c r="A1065" s="1">
        <v>44043</v>
      </c>
      <c r="B1065">
        <v>30.44637243115816</v>
      </c>
      <c r="C1065">
        <v>30.44637243115816</v>
      </c>
    </row>
    <row r="1066" spans="1:3" x14ac:dyDescent="0.2">
      <c r="A1066" s="1">
        <v>44046</v>
      </c>
      <c r="B1066">
        <v>31.361535639641509</v>
      </c>
      <c r="C1066">
        <v>31.361535639641509</v>
      </c>
    </row>
    <row r="1067" spans="1:3" x14ac:dyDescent="0.2">
      <c r="A1067" s="1">
        <v>44047</v>
      </c>
      <c r="B1067">
        <v>30.930921061166899</v>
      </c>
      <c r="C1067">
        <v>30.930921061166899</v>
      </c>
    </row>
    <row r="1068" spans="1:3" x14ac:dyDescent="0.2">
      <c r="A1068" s="1">
        <v>44048</v>
      </c>
      <c r="B1068">
        <v>31.027813237001929</v>
      </c>
      <c r="C1068">
        <v>31.027813237001929</v>
      </c>
    </row>
    <row r="1069" spans="1:3" x14ac:dyDescent="0.2">
      <c r="A1069" s="1">
        <v>44049</v>
      </c>
      <c r="B1069">
        <v>31.153387734884351</v>
      </c>
      <c r="C1069">
        <v>31.153387734884351</v>
      </c>
    </row>
    <row r="1070" spans="1:3" x14ac:dyDescent="0.2">
      <c r="A1070" s="1">
        <v>44050</v>
      </c>
      <c r="B1070">
        <v>30.321429448787381</v>
      </c>
      <c r="C1070">
        <v>30.321429448787381</v>
      </c>
    </row>
    <row r="1071" spans="1:3" x14ac:dyDescent="0.2">
      <c r="A1071" s="1">
        <v>44053</v>
      </c>
      <c r="B1071">
        <v>30.31127959436693</v>
      </c>
      <c r="C1071">
        <v>30.31127959436693</v>
      </c>
    </row>
    <row r="1072" spans="1:3" x14ac:dyDescent="0.2">
      <c r="A1072" s="1">
        <v>44054</v>
      </c>
      <c r="B1072">
        <v>29.357079437008409</v>
      </c>
      <c r="C1072">
        <v>29.357079437008409</v>
      </c>
    </row>
    <row r="1073" spans="1:3" x14ac:dyDescent="0.2">
      <c r="A1073" s="1">
        <v>44055</v>
      </c>
      <c r="B1073">
        <v>28.993471655073009</v>
      </c>
      <c r="C1073">
        <v>28.993471655073009</v>
      </c>
    </row>
    <row r="1074" spans="1:3" x14ac:dyDescent="0.2">
      <c r="A1074" s="1">
        <v>44056</v>
      </c>
      <c r="B1074">
        <v>28.524625856667789</v>
      </c>
      <c r="C1074">
        <v>28.524625856667789</v>
      </c>
    </row>
    <row r="1075" spans="1:3" x14ac:dyDescent="0.2">
      <c r="A1075" s="1">
        <v>44057</v>
      </c>
      <c r="B1075">
        <v>27.903451340814541</v>
      </c>
      <c r="C1075">
        <v>27.903451340814541</v>
      </c>
    </row>
    <row r="1076" spans="1:3" x14ac:dyDescent="0.2">
      <c r="A1076" s="1">
        <v>44060</v>
      </c>
      <c r="B1076">
        <v>30.740652026772249</v>
      </c>
      <c r="C1076">
        <v>30.740652026772249</v>
      </c>
    </row>
    <row r="1077" spans="1:3" x14ac:dyDescent="0.2">
      <c r="A1077" s="1">
        <v>44061</v>
      </c>
      <c r="B1077">
        <v>30.451447740425781</v>
      </c>
      <c r="C1077">
        <v>30.451447740425781</v>
      </c>
    </row>
    <row r="1078" spans="1:3" x14ac:dyDescent="0.2">
      <c r="A1078" s="1">
        <v>44062</v>
      </c>
      <c r="B1078">
        <v>31.78520312720358</v>
      </c>
      <c r="C1078">
        <v>31.78520312720358</v>
      </c>
    </row>
    <row r="1079" spans="1:3" x14ac:dyDescent="0.2">
      <c r="A1079" s="1">
        <v>44063</v>
      </c>
      <c r="B1079">
        <v>30.70781367897154</v>
      </c>
      <c r="C1079">
        <v>30.70781367897154</v>
      </c>
    </row>
    <row r="1080" spans="1:3" x14ac:dyDescent="0.2">
      <c r="A1080" s="1">
        <v>44064</v>
      </c>
      <c r="B1080">
        <v>30.120294152285538</v>
      </c>
      <c r="C1080">
        <v>30.120294152285538</v>
      </c>
    </row>
    <row r="1081" spans="1:3" x14ac:dyDescent="0.2">
      <c r="A1081" s="1">
        <v>44067</v>
      </c>
      <c r="B1081">
        <v>27.900487215006571</v>
      </c>
      <c r="C1081">
        <v>27.900487215006571</v>
      </c>
    </row>
    <row r="1082" spans="1:3" x14ac:dyDescent="0.2">
      <c r="A1082" s="1">
        <v>44068</v>
      </c>
      <c r="B1082">
        <v>27.27812816770416</v>
      </c>
      <c r="C1082">
        <v>27.27812816770416</v>
      </c>
    </row>
    <row r="1083" spans="1:3" x14ac:dyDescent="0.2">
      <c r="A1083" s="1">
        <v>44069</v>
      </c>
      <c r="B1083">
        <v>28.27729594331225</v>
      </c>
      <c r="C1083">
        <v>28.27729594331225</v>
      </c>
    </row>
    <row r="1084" spans="1:3" x14ac:dyDescent="0.2">
      <c r="A1084" s="1">
        <v>44070</v>
      </c>
      <c r="B1084">
        <v>26.13749480178636</v>
      </c>
      <c r="C1084">
        <v>26.13749480178636</v>
      </c>
    </row>
    <row r="1085" spans="1:3" x14ac:dyDescent="0.2">
      <c r="A1085" s="1">
        <v>44071</v>
      </c>
      <c r="B1085">
        <v>26.58042458279774</v>
      </c>
      <c r="C1085">
        <v>26.58042458279774</v>
      </c>
    </row>
    <row r="1086" spans="1:3" x14ac:dyDescent="0.2">
      <c r="A1086" s="1">
        <v>44074</v>
      </c>
      <c r="B1086">
        <v>26.286731019330119</v>
      </c>
      <c r="C1086">
        <v>26.286731019330119</v>
      </c>
    </row>
    <row r="1087" spans="1:3" x14ac:dyDescent="0.2">
      <c r="A1087" s="1">
        <v>44075</v>
      </c>
      <c r="B1087">
        <v>26.179275826559891</v>
      </c>
      <c r="C1087">
        <v>26.179275826559891</v>
      </c>
    </row>
    <row r="1088" spans="1:3" x14ac:dyDescent="0.2">
      <c r="A1088" s="1">
        <v>44076</v>
      </c>
      <c r="B1088">
        <v>26.616189754321528</v>
      </c>
      <c r="C1088">
        <v>26.616189754321528</v>
      </c>
    </row>
    <row r="1089" spans="1:3" x14ac:dyDescent="0.2">
      <c r="A1089" s="1">
        <v>44077</v>
      </c>
      <c r="B1089">
        <v>26.708026147688742</v>
      </c>
      <c r="C1089">
        <v>26.708026147688742</v>
      </c>
    </row>
    <row r="1090" spans="1:3" x14ac:dyDescent="0.2">
      <c r="A1090" s="1">
        <v>44078</v>
      </c>
      <c r="B1090">
        <v>26.571577977295512</v>
      </c>
      <c r="C1090">
        <v>26.571577977295512</v>
      </c>
    </row>
    <row r="1091" spans="1:3" x14ac:dyDescent="0.2">
      <c r="A1091" s="1">
        <v>44081</v>
      </c>
      <c r="B1091">
        <v>26.90666241482057</v>
      </c>
      <c r="C1091">
        <v>26.90666241482057</v>
      </c>
    </row>
    <row r="1092" spans="1:3" x14ac:dyDescent="0.2">
      <c r="A1092" s="1">
        <v>44082</v>
      </c>
      <c r="B1092">
        <v>26.27400425823518</v>
      </c>
      <c r="C1092">
        <v>26.27400425823518</v>
      </c>
    </row>
    <row r="1093" spans="1:3" x14ac:dyDescent="0.2">
      <c r="A1093" s="1">
        <v>44083</v>
      </c>
      <c r="B1093">
        <v>27.04889536677468</v>
      </c>
      <c r="C1093">
        <v>27.04889536677468</v>
      </c>
    </row>
    <row r="1094" spans="1:3" x14ac:dyDescent="0.2">
      <c r="A1094" s="1">
        <v>44084</v>
      </c>
      <c r="B1094">
        <v>25.34117721449897</v>
      </c>
      <c r="C1094">
        <v>25.34117721449897</v>
      </c>
    </row>
    <row r="1095" spans="1:3" x14ac:dyDescent="0.2">
      <c r="A1095" s="1">
        <v>44085</v>
      </c>
      <c r="B1095">
        <v>24.159201561548631</v>
      </c>
      <c r="C1095">
        <v>24.159201561548631</v>
      </c>
    </row>
    <row r="1096" spans="1:3" x14ac:dyDescent="0.2">
      <c r="A1096" s="1">
        <v>44088</v>
      </c>
      <c r="B1096">
        <v>22.87442436281346</v>
      </c>
      <c r="C1096">
        <v>22.87442436281346</v>
      </c>
    </row>
    <row r="1097" spans="1:3" x14ac:dyDescent="0.2">
      <c r="A1097" s="1">
        <v>44089</v>
      </c>
      <c r="B1097">
        <v>22.40037266147694</v>
      </c>
      <c r="C1097">
        <v>22.40037266147694</v>
      </c>
    </row>
    <row r="1098" spans="1:3" x14ac:dyDescent="0.2">
      <c r="A1098" s="1">
        <v>44090</v>
      </c>
      <c r="B1098">
        <v>25.611960430009329</v>
      </c>
      <c r="C1098">
        <v>25.611960430009329</v>
      </c>
    </row>
    <row r="1099" spans="1:3" x14ac:dyDescent="0.2">
      <c r="A1099" s="1">
        <v>44091</v>
      </c>
      <c r="B1099">
        <v>25.36010735824307</v>
      </c>
      <c r="C1099">
        <v>25.36010735824307</v>
      </c>
    </row>
    <row r="1100" spans="1:3" x14ac:dyDescent="0.2">
      <c r="A1100" s="1">
        <v>44092</v>
      </c>
      <c r="B1100">
        <v>26.51253328673835</v>
      </c>
      <c r="C1100">
        <v>26.51253328673835</v>
      </c>
    </row>
    <row r="1101" spans="1:3" x14ac:dyDescent="0.2">
      <c r="A1101" s="1">
        <v>44095</v>
      </c>
      <c r="B1101">
        <v>25.968085523333521</v>
      </c>
      <c r="C1101">
        <v>25.968085523333521</v>
      </c>
    </row>
    <row r="1102" spans="1:3" x14ac:dyDescent="0.2">
      <c r="A1102" s="1">
        <v>44096</v>
      </c>
      <c r="B1102">
        <v>25.88212199978793</v>
      </c>
      <c r="C1102">
        <v>25.88212199978793</v>
      </c>
    </row>
    <row r="1103" spans="1:3" x14ac:dyDescent="0.2">
      <c r="A1103" s="1">
        <v>44097</v>
      </c>
      <c r="B1103">
        <v>24.85117731728953</v>
      </c>
      <c r="C1103">
        <v>24.85117731728953</v>
      </c>
    </row>
    <row r="1104" spans="1:3" x14ac:dyDescent="0.2">
      <c r="A1104" s="1">
        <v>44098</v>
      </c>
      <c r="B1104">
        <v>25.7302305642189</v>
      </c>
      <c r="C1104">
        <v>25.7302305642189</v>
      </c>
    </row>
    <row r="1105" spans="1:3" x14ac:dyDescent="0.2">
      <c r="A1105" s="1">
        <v>44099</v>
      </c>
      <c r="B1105">
        <v>25.72538699344161</v>
      </c>
      <c r="C1105">
        <v>25.72538699344161</v>
      </c>
    </row>
    <row r="1106" spans="1:3" x14ac:dyDescent="0.2">
      <c r="A1106" s="1">
        <v>44102</v>
      </c>
      <c r="B1106">
        <v>25.80557416762425</v>
      </c>
      <c r="C1106">
        <v>25.80557416762425</v>
      </c>
    </row>
    <row r="1107" spans="1:3" x14ac:dyDescent="0.2">
      <c r="A1107" s="1">
        <v>44103</v>
      </c>
      <c r="B1107">
        <v>26.955455258500638</v>
      </c>
      <c r="C1107">
        <v>26.955455258500638</v>
      </c>
    </row>
    <row r="1108" spans="1:3" x14ac:dyDescent="0.2">
      <c r="A1108" s="1">
        <v>44104</v>
      </c>
      <c r="B1108">
        <v>27.50452734421696</v>
      </c>
      <c r="C1108">
        <v>27.50452734421696</v>
      </c>
    </row>
    <row r="1109" spans="1:3" x14ac:dyDescent="0.2">
      <c r="A1109" s="1">
        <v>44113</v>
      </c>
      <c r="B1109">
        <v>22.448810530326</v>
      </c>
      <c r="C1109">
        <v>22.448810530326</v>
      </c>
    </row>
    <row r="1110" spans="1:3" x14ac:dyDescent="0.2">
      <c r="A1110" s="1">
        <v>44116</v>
      </c>
      <c r="B1110">
        <v>24.223265402418519</v>
      </c>
      <c r="C1110">
        <v>24.223265402418519</v>
      </c>
    </row>
    <row r="1111" spans="1:3" x14ac:dyDescent="0.2">
      <c r="A1111" s="1">
        <v>44117</v>
      </c>
      <c r="B1111">
        <v>24.08230760813775</v>
      </c>
      <c r="C1111">
        <v>24.08230760813775</v>
      </c>
    </row>
    <row r="1112" spans="1:3" x14ac:dyDescent="0.2">
      <c r="A1112" s="1">
        <v>44118</v>
      </c>
      <c r="B1112">
        <v>23.343479712151211</v>
      </c>
      <c r="C1112">
        <v>23.343479712151211</v>
      </c>
    </row>
    <row r="1113" spans="1:3" x14ac:dyDescent="0.2">
      <c r="A1113" s="1">
        <v>44119</v>
      </c>
      <c r="B1113">
        <v>23.836209258322121</v>
      </c>
      <c r="C1113">
        <v>23.836209258322121</v>
      </c>
    </row>
    <row r="1114" spans="1:3" x14ac:dyDescent="0.2">
      <c r="A1114" s="1">
        <v>44120</v>
      </c>
      <c r="B1114">
        <v>23.67294744296585</v>
      </c>
      <c r="C1114">
        <v>23.67294744296585</v>
      </c>
    </row>
    <row r="1115" spans="1:3" x14ac:dyDescent="0.2">
      <c r="A1115" s="1">
        <v>44123</v>
      </c>
      <c r="B1115">
        <v>22.843606726403909</v>
      </c>
      <c r="C1115">
        <v>22.843606726403909</v>
      </c>
    </row>
    <row r="1116" spans="1:3" x14ac:dyDescent="0.2">
      <c r="A1116" s="1">
        <v>44124</v>
      </c>
      <c r="B1116">
        <v>22.211776073212281</v>
      </c>
      <c r="C1116">
        <v>22.211776073212281</v>
      </c>
    </row>
    <row r="1117" spans="1:3" x14ac:dyDescent="0.2">
      <c r="A1117" s="1">
        <v>44125</v>
      </c>
      <c r="B1117">
        <v>24.20937019084268</v>
      </c>
      <c r="C1117">
        <v>24.20937019084268</v>
      </c>
    </row>
    <row r="1118" spans="1:3" x14ac:dyDescent="0.2">
      <c r="A1118" s="1">
        <v>44126</v>
      </c>
      <c r="B1118">
        <v>24.042301747667508</v>
      </c>
      <c r="C1118">
        <v>24.042301747667508</v>
      </c>
    </row>
    <row r="1119" spans="1:3" x14ac:dyDescent="0.2">
      <c r="A1119" s="1">
        <v>44127</v>
      </c>
      <c r="B1119">
        <v>24.115991682105282</v>
      </c>
      <c r="C1119">
        <v>24.115991682105282</v>
      </c>
    </row>
    <row r="1120" spans="1:3" x14ac:dyDescent="0.2">
      <c r="A1120" s="1">
        <v>44130</v>
      </c>
      <c r="B1120">
        <v>23.010969337976078</v>
      </c>
      <c r="C1120">
        <v>23.010969337976078</v>
      </c>
    </row>
    <row r="1121" spans="1:3" x14ac:dyDescent="0.2">
      <c r="A1121" s="1">
        <v>44131</v>
      </c>
      <c r="B1121">
        <v>23.23959377255013</v>
      </c>
      <c r="C1121">
        <v>23.23959377255013</v>
      </c>
    </row>
    <row r="1122" spans="1:3" x14ac:dyDescent="0.2">
      <c r="A1122" s="1">
        <v>44132</v>
      </c>
      <c r="B1122">
        <v>22.816553803467599</v>
      </c>
      <c r="C1122">
        <v>22.816553803467599</v>
      </c>
    </row>
    <row r="1123" spans="1:3" x14ac:dyDescent="0.2">
      <c r="A1123" s="1">
        <v>44133</v>
      </c>
      <c r="B1123">
        <v>22.59913727981569</v>
      </c>
      <c r="C1123">
        <v>22.59913727981569</v>
      </c>
    </row>
    <row r="1124" spans="1:3" x14ac:dyDescent="0.2">
      <c r="A1124" s="1">
        <v>44134</v>
      </c>
      <c r="B1124">
        <v>23.491191956302512</v>
      </c>
      <c r="C1124">
        <v>23.491191956302512</v>
      </c>
    </row>
    <row r="1125" spans="1:3" x14ac:dyDescent="0.2">
      <c r="A1125" s="1">
        <v>44137</v>
      </c>
      <c r="B1125">
        <v>24.294368086822821</v>
      </c>
      <c r="C1125">
        <v>24.294368086822821</v>
      </c>
    </row>
    <row r="1126" spans="1:3" x14ac:dyDescent="0.2">
      <c r="A1126" s="1">
        <v>44138</v>
      </c>
      <c r="B1126">
        <v>24.24986783805851</v>
      </c>
      <c r="C1126">
        <v>24.24986783805851</v>
      </c>
    </row>
    <row r="1127" spans="1:3" x14ac:dyDescent="0.2">
      <c r="A1127" s="1">
        <v>44139</v>
      </c>
      <c r="B1127">
        <v>22.69653896811424</v>
      </c>
      <c r="C1127">
        <v>22.69653896811424</v>
      </c>
    </row>
    <row r="1128" spans="1:3" x14ac:dyDescent="0.2">
      <c r="A1128" s="1">
        <v>44140</v>
      </c>
      <c r="B1128">
        <v>22.143404903181811</v>
      </c>
      <c r="C1128">
        <v>22.143404903181811</v>
      </c>
    </row>
    <row r="1129" spans="1:3" x14ac:dyDescent="0.2">
      <c r="A1129" s="1">
        <v>44141</v>
      </c>
      <c r="B1129">
        <v>21.76197739559035</v>
      </c>
      <c r="C1129">
        <v>21.76197739559035</v>
      </c>
    </row>
    <row r="1130" spans="1:3" x14ac:dyDescent="0.2">
      <c r="A1130" s="1">
        <v>44144</v>
      </c>
      <c r="B1130">
        <v>22.890944658916059</v>
      </c>
      <c r="C1130">
        <v>22.890944658916059</v>
      </c>
    </row>
    <row r="1131" spans="1:3" x14ac:dyDescent="0.2">
      <c r="A1131" s="1">
        <v>44145</v>
      </c>
      <c r="B1131">
        <v>22.733896506882878</v>
      </c>
      <c r="C1131">
        <v>22.733896506882878</v>
      </c>
    </row>
    <row r="1132" spans="1:3" x14ac:dyDescent="0.2">
      <c r="A1132" s="1">
        <v>44146</v>
      </c>
      <c r="B1132">
        <v>22.200075173204048</v>
      </c>
      <c r="C1132">
        <v>22.200075173204048</v>
      </c>
    </row>
    <row r="1133" spans="1:3" x14ac:dyDescent="0.2">
      <c r="A1133" s="1">
        <v>44147</v>
      </c>
      <c r="B1133">
        <v>21.729731419418631</v>
      </c>
      <c r="C1133">
        <v>21.729731419418631</v>
      </c>
    </row>
    <row r="1134" spans="1:3" x14ac:dyDescent="0.2">
      <c r="A1134" s="1">
        <v>44148</v>
      </c>
      <c r="B1134">
        <v>21.04418744786296</v>
      </c>
      <c r="C1134">
        <v>21.04418744786296</v>
      </c>
    </row>
    <row r="1135" spans="1:3" x14ac:dyDescent="0.2">
      <c r="A1135" s="1">
        <v>44151</v>
      </c>
      <c r="B1135">
        <v>20.99726068378467</v>
      </c>
      <c r="C1135">
        <v>20.99726068378467</v>
      </c>
    </row>
    <row r="1136" spans="1:3" x14ac:dyDescent="0.2">
      <c r="A1136" s="1">
        <v>44152</v>
      </c>
      <c r="B1136">
        <v>20.70021152363557</v>
      </c>
      <c r="C1136">
        <v>20.70021152363557</v>
      </c>
    </row>
    <row r="1137" spans="1:3" x14ac:dyDescent="0.2">
      <c r="A1137" s="1">
        <v>44153</v>
      </c>
      <c r="B1137">
        <v>23.01364508333587</v>
      </c>
      <c r="C1137">
        <v>23.01364508333587</v>
      </c>
    </row>
    <row r="1138" spans="1:3" x14ac:dyDescent="0.2">
      <c r="A1138" s="1">
        <v>44154</v>
      </c>
      <c r="B1138">
        <v>23.013309759800709</v>
      </c>
      <c r="C1138">
        <v>23.013309759800709</v>
      </c>
    </row>
    <row r="1139" spans="1:3" x14ac:dyDescent="0.2">
      <c r="A1139" s="1">
        <v>44155</v>
      </c>
      <c r="B1139">
        <v>21.665708896591209</v>
      </c>
      <c r="C1139">
        <v>21.665708896591209</v>
      </c>
    </row>
    <row r="1140" spans="1:3" x14ac:dyDescent="0.2">
      <c r="A1140" s="1">
        <v>44158</v>
      </c>
      <c r="B1140">
        <v>21.955319254261649</v>
      </c>
      <c r="C1140">
        <v>21.955319254261649</v>
      </c>
    </row>
    <row r="1141" spans="1:3" x14ac:dyDescent="0.2">
      <c r="A1141" s="1">
        <v>44159</v>
      </c>
      <c r="B1141">
        <v>21.162240647671581</v>
      </c>
      <c r="C1141">
        <v>21.162240647671581</v>
      </c>
    </row>
    <row r="1142" spans="1:3" x14ac:dyDescent="0.2">
      <c r="A1142" s="1">
        <v>44160</v>
      </c>
      <c r="B1142">
        <v>20.808332248803321</v>
      </c>
      <c r="C1142">
        <v>20.808332248803321</v>
      </c>
    </row>
    <row r="1143" spans="1:3" x14ac:dyDescent="0.2">
      <c r="A1143" s="1">
        <v>44161</v>
      </c>
      <c r="B1143">
        <v>19.662028000966991</v>
      </c>
      <c r="C1143">
        <v>19.662028000966991</v>
      </c>
    </row>
    <row r="1144" spans="1:3" x14ac:dyDescent="0.2">
      <c r="A1144" s="1">
        <v>44162</v>
      </c>
      <c r="B1144">
        <v>20.367125485230272</v>
      </c>
      <c r="C1144">
        <v>20.367125485230272</v>
      </c>
    </row>
    <row r="1145" spans="1:3" x14ac:dyDescent="0.2">
      <c r="A1145" s="1">
        <v>44165</v>
      </c>
      <c r="B1145">
        <v>20.542446002447271</v>
      </c>
      <c r="C1145">
        <v>20.542446002447271</v>
      </c>
    </row>
    <row r="1146" spans="1:3" x14ac:dyDescent="0.2">
      <c r="A1146" s="1">
        <v>44166</v>
      </c>
      <c r="B1146">
        <v>22.931993463092589</v>
      </c>
      <c r="C1146">
        <v>22.931993463092589</v>
      </c>
    </row>
    <row r="1147" spans="1:3" x14ac:dyDescent="0.2">
      <c r="A1147" s="1">
        <v>44167</v>
      </c>
      <c r="B1147">
        <v>23.62676367810008</v>
      </c>
      <c r="C1147">
        <v>23.62676367810008</v>
      </c>
    </row>
    <row r="1148" spans="1:3" x14ac:dyDescent="0.2">
      <c r="A1148" s="1">
        <v>44168</v>
      </c>
      <c r="B1148">
        <v>23.363193494906049</v>
      </c>
      <c r="C1148">
        <v>23.363193494906049</v>
      </c>
    </row>
    <row r="1149" spans="1:3" x14ac:dyDescent="0.2">
      <c r="A1149" s="1">
        <v>44169</v>
      </c>
      <c r="B1149">
        <v>22.5247411698791</v>
      </c>
      <c r="C1149">
        <v>22.5247411698791</v>
      </c>
    </row>
    <row r="1150" spans="1:3" x14ac:dyDescent="0.2">
      <c r="A1150" s="1">
        <v>44172</v>
      </c>
      <c r="B1150">
        <v>21.36058090433168</v>
      </c>
      <c r="C1150">
        <v>21.36058090433168</v>
      </c>
    </row>
    <row r="1151" spans="1:3" x14ac:dyDescent="0.2">
      <c r="A1151" s="1">
        <v>44173</v>
      </c>
      <c r="B1151">
        <v>20.32594436376435</v>
      </c>
      <c r="C1151">
        <v>20.32594436376435</v>
      </c>
    </row>
    <row r="1152" spans="1:3" x14ac:dyDescent="0.2">
      <c r="A1152" s="1">
        <v>44174</v>
      </c>
      <c r="B1152">
        <v>19.651181031431779</v>
      </c>
      <c r="C1152">
        <v>19.651181031431779</v>
      </c>
    </row>
    <row r="1153" spans="1:3" x14ac:dyDescent="0.2">
      <c r="A1153" s="1">
        <v>44175</v>
      </c>
      <c r="B1153">
        <v>18.745733880843812</v>
      </c>
      <c r="C1153">
        <v>18.745733880843812</v>
      </c>
    </row>
    <row r="1154" spans="1:3" x14ac:dyDescent="0.2">
      <c r="A1154" s="1">
        <v>44176</v>
      </c>
      <c r="B1154">
        <v>19.27655676492175</v>
      </c>
      <c r="C1154">
        <v>19.27655676492175</v>
      </c>
    </row>
    <row r="1155" spans="1:3" x14ac:dyDescent="0.2">
      <c r="A1155" s="1">
        <v>44179</v>
      </c>
      <c r="B1155">
        <v>18.516943193677179</v>
      </c>
      <c r="C1155">
        <v>18.516943193677179</v>
      </c>
    </row>
    <row r="1156" spans="1:3" x14ac:dyDescent="0.2">
      <c r="A1156" s="1">
        <v>44180</v>
      </c>
      <c r="B1156">
        <v>18.472803111500919</v>
      </c>
      <c r="C1156">
        <v>18.472803111500919</v>
      </c>
    </row>
    <row r="1157" spans="1:3" x14ac:dyDescent="0.2">
      <c r="A1157" s="1">
        <v>44181</v>
      </c>
      <c r="B1157">
        <v>21.936201923851652</v>
      </c>
      <c r="C1157">
        <v>21.936201923851652</v>
      </c>
    </row>
    <row r="1158" spans="1:3" x14ac:dyDescent="0.2">
      <c r="A1158" s="1">
        <v>44182</v>
      </c>
      <c r="B1158">
        <v>22.066231245114121</v>
      </c>
      <c r="C1158">
        <v>22.066231245114121</v>
      </c>
    </row>
    <row r="1159" spans="1:3" x14ac:dyDescent="0.2">
      <c r="A1159" s="1">
        <v>44183</v>
      </c>
      <c r="B1159">
        <v>21.147334735799529</v>
      </c>
      <c r="C1159">
        <v>21.147334735799529</v>
      </c>
    </row>
    <row r="1160" spans="1:3" x14ac:dyDescent="0.2">
      <c r="A1160" s="1">
        <v>44186</v>
      </c>
      <c r="B1160">
        <v>21.629198359418329</v>
      </c>
      <c r="C1160">
        <v>21.629198359418329</v>
      </c>
    </row>
    <row r="1161" spans="1:3" x14ac:dyDescent="0.2">
      <c r="A1161" s="1">
        <v>44187</v>
      </c>
      <c r="B1161">
        <v>21.057410122506329</v>
      </c>
      <c r="C1161">
        <v>21.057410122506329</v>
      </c>
    </row>
    <row r="1162" spans="1:3" x14ac:dyDescent="0.2">
      <c r="A1162" s="1">
        <v>44188</v>
      </c>
      <c r="B1162">
        <v>20.648635938159831</v>
      </c>
      <c r="C1162">
        <v>20.648635938159831</v>
      </c>
    </row>
    <row r="1163" spans="1:3" x14ac:dyDescent="0.2">
      <c r="A1163" s="1">
        <v>44189</v>
      </c>
      <c r="B1163">
        <v>19.488301655812979</v>
      </c>
      <c r="C1163">
        <v>19.488301655812979</v>
      </c>
    </row>
    <row r="1164" spans="1:3" x14ac:dyDescent="0.2">
      <c r="A1164" s="1">
        <v>44190</v>
      </c>
      <c r="B1164">
        <v>18.999229746116011</v>
      </c>
      <c r="C1164">
        <v>18.999229746116011</v>
      </c>
    </row>
    <row r="1165" spans="1:3" x14ac:dyDescent="0.2">
      <c r="A1165" s="1">
        <v>44193</v>
      </c>
      <c r="B1165">
        <v>18.502444072094718</v>
      </c>
      <c r="C1165">
        <v>18.502444072094718</v>
      </c>
    </row>
    <row r="1166" spans="1:3" x14ac:dyDescent="0.2">
      <c r="A1166" s="1">
        <v>44194</v>
      </c>
      <c r="B1166">
        <v>18.928182366355099</v>
      </c>
      <c r="C1166">
        <v>18.928182366355099</v>
      </c>
    </row>
    <row r="1167" spans="1:3" x14ac:dyDescent="0.2">
      <c r="A1167" s="1">
        <v>44195</v>
      </c>
      <c r="B1167">
        <v>18.982090066192661</v>
      </c>
      <c r="C1167">
        <v>18.982090066192661</v>
      </c>
    </row>
    <row r="1168" spans="1:3" x14ac:dyDescent="0.2">
      <c r="A1168" s="1">
        <v>44196</v>
      </c>
      <c r="B1168">
        <v>20.058617303667379</v>
      </c>
      <c r="C1168">
        <v>20.058617303667379</v>
      </c>
    </row>
    <row r="1169" spans="1:3" x14ac:dyDescent="0.2">
      <c r="A1169" s="1">
        <v>44200</v>
      </c>
      <c r="B1169">
        <v>20.685229928695861</v>
      </c>
      <c r="C1169">
        <v>20.685229928695861</v>
      </c>
    </row>
    <row r="1170" spans="1:3" x14ac:dyDescent="0.2">
      <c r="A1170" s="1">
        <v>44201</v>
      </c>
      <c r="B1170">
        <v>20.650444476174801</v>
      </c>
      <c r="C1170">
        <v>20.650444476174801</v>
      </c>
    </row>
    <row r="1171" spans="1:3" x14ac:dyDescent="0.2">
      <c r="A1171" s="1">
        <v>44202</v>
      </c>
      <c r="B1171">
        <v>22.26722376161759</v>
      </c>
      <c r="C1171">
        <v>22.26722376161759</v>
      </c>
    </row>
    <row r="1172" spans="1:3" x14ac:dyDescent="0.2">
      <c r="A1172" s="1">
        <v>44203</v>
      </c>
      <c r="B1172">
        <v>25.348979233660181</v>
      </c>
      <c r="C1172">
        <v>25.348979233660181</v>
      </c>
    </row>
    <row r="1173" spans="1:3" x14ac:dyDescent="0.2">
      <c r="A1173" s="1">
        <v>44204</v>
      </c>
      <c r="B1173">
        <v>25.444737930772831</v>
      </c>
      <c r="C1173">
        <v>25.444737930772831</v>
      </c>
    </row>
    <row r="1174" spans="1:3" x14ac:dyDescent="0.2">
      <c r="A1174" s="1">
        <v>44207</v>
      </c>
      <c r="B1174">
        <v>23.173195746605519</v>
      </c>
      <c r="C1174">
        <v>23.173195746605519</v>
      </c>
    </row>
    <row r="1175" spans="1:3" x14ac:dyDescent="0.2">
      <c r="A1175" s="1">
        <v>44208</v>
      </c>
      <c r="B1175">
        <v>24.478496626594641</v>
      </c>
      <c r="C1175">
        <v>24.478496626594641</v>
      </c>
    </row>
    <row r="1176" spans="1:3" x14ac:dyDescent="0.2">
      <c r="A1176" s="1">
        <v>44209</v>
      </c>
      <c r="B1176">
        <v>24.222310673292519</v>
      </c>
      <c r="C1176">
        <v>24.222310673292519</v>
      </c>
    </row>
    <row r="1177" spans="1:3" x14ac:dyDescent="0.2">
      <c r="A1177" s="1">
        <v>44210</v>
      </c>
      <c r="B1177">
        <v>23.86651353503829</v>
      </c>
      <c r="C1177">
        <v>23.86651353503829</v>
      </c>
    </row>
    <row r="1178" spans="1:3" x14ac:dyDescent="0.2">
      <c r="A1178" s="1">
        <v>44211</v>
      </c>
      <c r="B1178">
        <v>22.066867438759171</v>
      </c>
      <c r="C1178">
        <v>22.066867438759171</v>
      </c>
    </row>
    <row r="1179" spans="1:3" x14ac:dyDescent="0.2">
      <c r="A1179" s="1">
        <v>44214</v>
      </c>
      <c r="B1179">
        <v>22.424011969394801</v>
      </c>
      <c r="C1179">
        <v>22.424011969394801</v>
      </c>
    </row>
    <row r="1180" spans="1:3" x14ac:dyDescent="0.2">
      <c r="A1180" s="1">
        <v>44215</v>
      </c>
      <c r="B1180">
        <v>22.602378128992129</v>
      </c>
      <c r="C1180">
        <v>22.602378128992129</v>
      </c>
    </row>
    <row r="1181" spans="1:3" x14ac:dyDescent="0.2">
      <c r="A1181" s="1">
        <v>44216</v>
      </c>
      <c r="B1181">
        <v>24.315748142359329</v>
      </c>
      <c r="C1181">
        <v>24.315748142359329</v>
      </c>
    </row>
    <row r="1182" spans="1:3" x14ac:dyDescent="0.2">
      <c r="A1182" s="14">
        <v>44217</v>
      </c>
      <c r="B1182" s="15">
        <v>25.023125671361861</v>
      </c>
      <c r="C1182">
        <v>25.023125671361861</v>
      </c>
    </row>
    <row r="1183" spans="1:3" x14ac:dyDescent="0.2">
      <c r="A1183" s="1">
        <v>44218</v>
      </c>
      <c r="B1183">
        <v>23.57170316946706</v>
      </c>
      <c r="C1183">
        <v>23.57170316946706</v>
      </c>
    </row>
    <row r="1184" spans="1:3" x14ac:dyDescent="0.2">
      <c r="A1184" s="1">
        <v>44221</v>
      </c>
      <c r="B1184">
        <v>23.281271184680548</v>
      </c>
      <c r="C1184">
        <v>23.281271184680548</v>
      </c>
    </row>
    <row r="1185" spans="1:3" x14ac:dyDescent="0.2">
      <c r="A1185" s="1">
        <v>44222</v>
      </c>
      <c r="B1185">
        <v>23.132794369580161</v>
      </c>
      <c r="C1185">
        <v>23.132794369580161</v>
      </c>
    </row>
    <row r="1186" spans="1:3" x14ac:dyDescent="0.2">
      <c r="A1186" s="1">
        <v>44223</v>
      </c>
      <c r="B1186">
        <v>22.655763243320461</v>
      </c>
      <c r="C1186">
        <v>22.655763243320461</v>
      </c>
    </row>
    <row r="1187" spans="1:3" x14ac:dyDescent="0.2">
      <c r="A1187" s="1">
        <v>44224</v>
      </c>
      <c r="B1187">
        <v>24.169812546479079</v>
      </c>
      <c r="C1187">
        <v>24.169812546479079</v>
      </c>
    </row>
    <row r="1188" spans="1:3" x14ac:dyDescent="0.2">
      <c r="A1188" s="1">
        <v>44225</v>
      </c>
      <c r="B1188">
        <v>24.335989680997351</v>
      </c>
      <c r="C1188">
        <v>24.335989680997351</v>
      </c>
    </row>
    <row r="1189" spans="1:3" x14ac:dyDescent="0.2">
      <c r="A1189" s="1">
        <v>44228</v>
      </c>
      <c r="B1189">
        <v>24.725508378653711</v>
      </c>
      <c r="C1189">
        <v>24.725508378653711</v>
      </c>
    </row>
    <row r="1190" spans="1:3" x14ac:dyDescent="0.2">
      <c r="A1190" s="1">
        <v>44229</v>
      </c>
      <c r="B1190">
        <v>22.968525066565441</v>
      </c>
      <c r="C1190">
        <v>22.968525066565441</v>
      </c>
    </row>
    <row r="1191" spans="1:3" x14ac:dyDescent="0.2">
      <c r="A1191" s="1">
        <v>44230</v>
      </c>
      <c r="B1191">
        <v>21.762769003877221</v>
      </c>
      <c r="C1191">
        <v>21.762769003877221</v>
      </c>
    </row>
    <row r="1192" spans="1:3" x14ac:dyDescent="0.2">
      <c r="A1192" s="1">
        <v>44231</v>
      </c>
      <c r="B1192">
        <v>22.766712511619019</v>
      </c>
      <c r="C1192">
        <v>22.766712511619019</v>
      </c>
    </row>
    <row r="1193" spans="1:3" x14ac:dyDescent="0.2">
      <c r="A1193" s="1">
        <v>44232</v>
      </c>
      <c r="B1193">
        <v>23.171358481258579</v>
      </c>
      <c r="C1193">
        <v>23.171358481258579</v>
      </c>
    </row>
    <row r="1194" spans="1:3" x14ac:dyDescent="0.2">
      <c r="A1194" s="1">
        <v>44235</v>
      </c>
      <c r="B1194">
        <v>23.52029461237354</v>
      </c>
      <c r="C1194">
        <v>23.52029461237354</v>
      </c>
    </row>
    <row r="1195" spans="1:3" x14ac:dyDescent="0.2">
      <c r="A1195" s="1">
        <v>44236</v>
      </c>
      <c r="B1195">
        <v>23.057626445521691</v>
      </c>
      <c r="C1195">
        <v>23.057626445521691</v>
      </c>
    </row>
    <row r="1196" spans="1:3" x14ac:dyDescent="0.2">
      <c r="A1196" s="1">
        <v>44237</v>
      </c>
      <c r="B1196">
        <v>24.396456765330541</v>
      </c>
      <c r="C1196">
        <v>24.396456765330541</v>
      </c>
    </row>
    <row r="1197" spans="1:3" x14ac:dyDescent="0.2">
      <c r="A1197" s="1">
        <v>44245</v>
      </c>
      <c r="B1197">
        <v>25.60228567248895</v>
      </c>
      <c r="C1197">
        <v>25.60228567248895</v>
      </c>
    </row>
    <row r="1198" spans="1:3" x14ac:dyDescent="0.2">
      <c r="A1198" s="1">
        <v>44246</v>
      </c>
      <c r="B1198">
        <v>23.021000212743761</v>
      </c>
      <c r="C1198">
        <v>23.021000212743761</v>
      </c>
    </row>
    <row r="1199" spans="1:3" x14ac:dyDescent="0.2">
      <c r="A1199" s="1">
        <v>44249</v>
      </c>
      <c r="B1199">
        <v>24.210386103705201</v>
      </c>
      <c r="C1199">
        <v>24.210386103705201</v>
      </c>
    </row>
    <row r="1200" spans="1:3" x14ac:dyDescent="0.2">
      <c r="A1200" s="1">
        <v>44250</v>
      </c>
      <c r="B1200">
        <v>23.640427781164981</v>
      </c>
      <c r="C1200">
        <v>23.640427781164981</v>
      </c>
    </row>
    <row r="1201" spans="1:3" x14ac:dyDescent="0.2">
      <c r="A1201" s="1">
        <v>44251</v>
      </c>
      <c r="B1201">
        <v>24.4282646352241</v>
      </c>
      <c r="C1201">
        <v>24.4282646352241</v>
      </c>
    </row>
    <row r="1202" spans="1:3" x14ac:dyDescent="0.2">
      <c r="A1202" s="1">
        <v>44252</v>
      </c>
      <c r="B1202">
        <v>22.874318378082481</v>
      </c>
      <c r="C1202">
        <v>22.874318378082481</v>
      </c>
    </row>
    <row r="1203" spans="1:3" x14ac:dyDescent="0.2">
      <c r="A1203" s="1">
        <v>44253</v>
      </c>
      <c r="B1203">
        <v>25.514235865035921</v>
      </c>
      <c r="C1203">
        <v>25.514235865035921</v>
      </c>
    </row>
    <row r="1204" spans="1:3" x14ac:dyDescent="0.2">
      <c r="A1204" s="1">
        <v>44256</v>
      </c>
      <c r="B1204">
        <v>23.93102283026623</v>
      </c>
      <c r="C1204">
        <v>23.93102283026623</v>
      </c>
    </row>
    <row r="1205" spans="1:3" x14ac:dyDescent="0.2">
      <c r="A1205" s="1">
        <v>44257</v>
      </c>
      <c r="B1205">
        <v>23.296438034922041</v>
      </c>
      <c r="C1205">
        <v>23.296438034922041</v>
      </c>
    </row>
    <row r="1206" spans="1:3" x14ac:dyDescent="0.2">
      <c r="A1206" s="1">
        <v>44258</v>
      </c>
      <c r="B1206">
        <v>23.066535716829861</v>
      </c>
      <c r="C1206">
        <v>23.066535716829861</v>
      </c>
    </row>
    <row r="1207" spans="1:3" x14ac:dyDescent="0.2">
      <c r="A1207" s="1">
        <v>44259</v>
      </c>
      <c r="B1207">
        <v>24.848792204272218</v>
      </c>
      <c r="C1207">
        <v>24.848792204272218</v>
      </c>
    </row>
    <row r="1208" spans="1:3" x14ac:dyDescent="0.2">
      <c r="A1208" s="1">
        <v>44260</v>
      </c>
      <c r="B1208">
        <v>25.530733253704</v>
      </c>
      <c r="C1208">
        <v>25.530733253704</v>
      </c>
    </row>
    <row r="1209" spans="1:3" x14ac:dyDescent="0.2">
      <c r="A1209" s="1">
        <v>44263</v>
      </c>
      <c r="B1209">
        <v>26.898482880295479</v>
      </c>
      <c r="C1209">
        <v>26.898482880295479</v>
      </c>
    </row>
    <row r="1210" spans="1:3" x14ac:dyDescent="0.2">
      <c r="A1210" s="1">
        <v>44264</v>
      </c>
      <c r="B1210">
        <v>26.60898381298281</v>
      </c>
      <c r="C1210">
        <v>26.60898381298281</v>
      </c>
    </row>
    <row r="1211" spans="1:3" x14ac:dyDescent="0.2">
      <c r="A1211" s="1">
        <v>44265</v>
      </c>
      <c r="B1211">
        <v>25.89729164538323</v>
      </c>
      <c r="C1211">
        <v>25.89729164538323</v>
      </c>
    </row>
    <row r="1212" spans="1:3" x14ac:dyDescent="0.2">
      <c r="A1212" s="1">
        <v>44266</v>
      </c>
      <c r="B1212">
        <v>23.928591087497789</v>
      </c>
      <c r="C1212">
        <v>23.928591087497789</v>
      </c>
    </row>
    <row r="1213" spans="1:3" x14ac:dyDescent="0.2">
      <c r="A1213" s="1">
        <v>44267</v>
      </c>
      <c r="B1213">
        <v>22.51372926537265</v>
      </c>
      <c r="C1213">
        <v>22.51372926537265</v>
      </c>
    </row>
    <row r="1214" spans="1:3" x14ac:dyDescent="0.2">
      <c r="A1214" s="1">
        <v>44270</v>
      </c>
      <c r="B1214">
        <v>23.263067875938681</v>
      </c>
      <c r="C1214">
        <v>23.263067875938681</v>
      </c>
    </row>
    <row r="1215" spans="1:3" x14ac:dyDescent="0.2">
      <c r="A1215" s="1">
        <v>44271</v>
      </c>
      <c r="B1215">
        <v>22.553518574821261</v>
      </c>
      <c r="C1215">
        <v>22.553518574821261</v>
      </c>
    </row>
    <row r="1216" spans="1:3" x14ac:dyDescent="0.2">
      <c r="A1216" s="1">
        <v>44272</v>
      </c>
      <c r="B1216">
        <v>22.705731859037751</v>
      </c>
      <c r="C1216">
        <v>22.705731859037751</v>
      </c>
    </row>
    <row r="1217" spans="1:3" x14ac:dyDescent="0.2">
      <c r="A1217" s="1">
        <v>44273</v>
      </c>
      <c r="B1217">
        <v>22.409108911458318</v>
      </c>
      <c r="C1217">
        <v>22.409108911458318</v>
      </c>
    </row>
    <row r="1218" spans="1:3" x14ac:dyDescent="0.2">
      <c r="A1218" s="1">
        <v>44274</v>
      </c>
      <c r="B1218">
        <v>22.896828546969839</v>
      </c>
      <c r="C1218">
        <v>22.896828546969839</v>
      </c>
    </row>
    <row r="1219" spans="1:3" x14ac:dyDescent="0.2">
      <c r="A1219" s="1">
        <v>44277</v>
      </c>
      <c r="B1219">
        <v>22.196230849567758</v>
      </c>
      <c r="C1219">
        <v>22.196230849567758</v>
      </c>
    </row>
    <row r="1220" spans="1:3" x14ac:dyDescent="0.2">
      <c r="A1220" s="1">
        <v>44278</v>
      </c>
      <c r="B1220">
        <v>21.418161154056591</v>
      </c>
      <c r="C1220">
        <v>21.418161154056591</v>
      </c>
    </row>
    <row r="1221" spans="1:3" x14ac:dyDescent="0.2">
      <c r="A1221" s="1">
        <v>44279</v>
      </c>
      <c r="B1221">
        <v>21.919388496859721</v>
      </c>
      <c r="C1221">
        <v>21.919388496859721</v>
      </c>
    </row>
    <row r="1222" spans="1:3" x14ac:dyDescent="0.2">
      <c r="A1222" s="1">
        <v>44280</v>
      </c>
      <c r="B1222">
        <v>21.053955795155449</v>
      </c>
      <c r="C1222">
        <v>21.053955795155449</v>
      </c>
    </row>
    <row r="1223" spans="1:3" x14ac:dyDescent="0.2">
      <c r="A1223" s="1">
        <v>44281</v>
      </c>
      <c r="B1223">
        <v>20.073666932167249</v>
      </c>
      <c r="C1223">
        <v>20.073666932167249</v>
      </c>
    </row>
    <row r="1224" spans="1:3" x14ac:dyDescent="0.2">
      <c r="A1224" s="1">
        <v>44284</v>
      </c>
      <c r="B1224">
        <v>20.10056023662268</v>
      </c>
      <c r="C1224">
        <v>20.10056023662268</v>
      </c>
    </row>
    <row r="1225" spans="1:3" x14ac:dyDescent="0.2">
      <c r="A1225" s="1">
        <v>44285</v>
      </c>
      <c r="B1225">
        <v>20.110953604336689</v>
      </c>
      <c r="C1225">
        <v>20.110953604336689</v>
      </c>
    </row>
    <row r="1226" spans="1:3" x14ac:dyDescent="0.2">
      <c r="A1226" s="1">
        <v>44286</v>
      </c>
      <c r="B1226">
        <v>19.782802238224779</v>
      </c>
      <c r="C1226">
        <v>19.782802238224779</v>
      </c>
    </row>
    <row r="1227" spans="1:3" x14ac:dyDescent="0.2">
      <c r="A1227" s="1">
        <v>44287</v>
      </c>
      <c r="B1227" s="3">
        <v>19.0985885190026</v>
      </c>
      <c r="C1227">
        <f>B1227</f>
        <v>19.0985885190026</v>
      </c>
    </row>
    <row r="1228" spans="1:3" x14ac:dyDescent="0.2">
      <c r="A1228" s="1">
        <v>44288</v>
      </c>
      <c r="B1228" s="3">
        <v>19.254528236100299</v>
      </c>
      <c r="C1228">
        <f t="shared" ref="C1228:C1291" si="0">B1228</f>
        <v>19.254528236100299</v>
      </c>
    </row>
    <row r="1229" spans="1:3" x14ac:dyDescent="0.2">
      <c r="A1229" s="1">
        <v>44292</v>
      </c>
      <c r="B1229" s="3">
        <v>19.541616169395802</v>
      </c>
      <c r="C1229">
        <f t="shared" si="0"/>
        <v>19.541616169395802</v>
      </c>
    </row>
    <row r="1230" spans="1:3" x14ac:dyDescent="0.2">
      <c r="A1230" s="1">
        <v>44293</v>
      </c>
      <c r="B1230" s="3">
        <v>18.8560259805501</v>
      </c>
      <c r="C1230">
        <f t="shared" si="0"/>
        <v>18.8560259805501</v>
      </c>
    </row>
    <row r="1231" spans="1:3" x14ac:dyDescent="0.2">
      <c r="A1231" s="1">
        <v>44294</v>
      </c>
      <c r="B1231" s="3">
        <v>18.519972989896701</v>
      </c>
      <c r="C1231">
        <f t="shared" si="0"/>
        <v>18.519972989896701</v>
      </c>
    </row>
    <row r="1232" spans="1:3" x14ac:dyDescent="0.2">
      <c r="A1232" s="1">
        <v>44295</v>
      </c>
      <c r="B1232" s="3">
        <v>18.369609752478102</v>
      </c>
      <c r="C1232">
        <f t="shared" si="0"/>
        <v>18.369609752478102</v>
      </c>
    </row>
    <row r="1233" spans="1:3" x14ac:dyDescent="0.2">
      <c r="A1233" s="1">
        <v>44298</v>
      </c>
      <c r="B1233" s="3">
        <v>19.2861370906909</v>
      </c>
      <c r="C1233">
        <f t="shared" si="0"/>
        <v>19.2861370906909</v>
      </c>
    </row>
    <row r="1234" spans="1:3" x14ac:dyDescent="0.2">
      <c r="A1234" s="1">
        <v>44299</v>
      </c>
      <c r="B1234" s="3">
        <v>19.249168587194099</v>
      </c>
      <c r="C1234">
        <f t="shared" si="0"/>
        <v>19.249168587194099</v>
      </c>
    </row>
    <row r="1235" spans="1:3" x14ac:dyDescent="0.2">
      <c r="A1235" s="1">
        <v>44300</v>
      </c>
      <c r="B1235" s="3">
        <v>19.1263844971987</v>
      </c>
      <c r="C1235">
        <f t="shared" si="0"/>
        <v>19.1263844971987</v>
      </c>
    </row>
    <row r="1236" spans="1:3" x14ac:dyDescent="0.2">
      <c r="A1236" s="1">
        <v>44301</v>
      </c>
      <c r="B1236" s="3">
        <v>19.241129277799701</v>
      </c>
      <c r="C1236">
        <f t="shared" si="0"/>
        <v>19.241129277799701</v>
      </c>
    </row>
    <row r="1237" spans="1:3" x14ac:dyDescent="0.2">
      <c r="A1237" s="1">
        <v>44302</v>
      </c>
      <c r="B1237" s="3">
        <v>18.982789172103999</v>
      </c>
      <c r="C1237">
        <f t="shared" si="0"/>
        <v>18.982789172103999</v>
      </c>
    </row>
    <row r="1238" spans="1:3" x14ac:dyDescent="0.2">
      <c r="A1238" s="1">
        <v>44305</v>
      </c>
      <c r="B1238" s="3">
        <v>19.463454983592001</v>
      </c>
      <c r="C1238">
        <f t="shared" si="0"/>
        <v>19.463454983592001</v>
      </c>
    </row>
    <row r="1239" spans="1:3" x14ac:dyDescent="0.2">
      <c r="A1239" s="1">
        <v>44306</v>
      </c>
      <c r="B1239" s="3">
        <v>19.516767170036498</v>
      </c>
      <c r="C1239">
        <f t="shared" si="0"/>
        <v>19.516767170036498</v>
      </c>
    </row>
    <row r="1240" spans="1:3" x14ac:dyDescent="0.2">
      <c r="A1240" s="1">
        <v>44307</v>
      </c>
      <c r="B1240" s="3">
        <v>19.710788019121502</v>
      </c>
      <c r="C1240">
        <f t="shared" si="0"/>
        <v>19.710788019121502</v>
      </c>
    </row>
    <row r="1241" spans="1:3" x14ac:dyDescent="0.2">
      <c r="A1241" s="1">
        <v>44308</v>
      </c>
      <c r="B1241" s="3">
        <v>19.6614818068186</v>
      </c>
      <c r="C1241">
        <f t="shared" si="0"/>
        <v>19.6614818068186</v>
      </c>
    </row>
    <row r="1242" spans="1:3" x14ac:dyDescent="0.2">
      <c r="A1242" s="1">
        <v>44309</v>
      </c>
      <c r="B1242" s="3">
        <v>19.723629414016798</v>
      </c>
      <c r="C1242">
        <f t="shared" si="0"/>
        <v>19.723629414016798</v>
      </c>
    </row>
    <row r="1243" spans="1:3" x14ac:dyDescent="0.2">
      <c r="A1243" s="1">
        <v>44312</v>
      </c>
      <c r="B1243" s="3">
        <v>20.418153580558499</v>
      </c>
      <c r="C1243">
        <f t="shared" si="0"/>
        <v>20.418153580558499</v>
      </c>
    </row>
    <row r="1244" spans="1:3" x14ac:dyDescent="0.2">
      <c r="A1244" s="1">
        <v>44313</v>
      </c>
      <c r="B1244" s="3">
        <v>20.140797176437399</v>
      </c>
      <c r="C1244">
        <f t="shared" si="0"/>
        <v>20.140797176437399</v>
      </c>
    </row>
    <row r="1245" spans="1:3" x14ac:dyDescent="0.2">
      <c r="A1245" s="1">
        <v>44314</v>
      </c>
      <c r="B1245" s="3">
        <v>19.7960579140045</v>
      </c>
      <c r="C1245">
        <f t="shared" si="0"/>
        <v>19.7960579140045</v>
      </c>
    </row>
    <row r="1246" spans="1:3" x14ac:dyDescent="0.2">
      <c r="A1246" s="1">
        <v>44315</v>
      </c>
      <c r="B1246" s="3">
        <v>19.6729289455483</v>
      </c>
      <c r="C1246">
        <f t="shared" si="0"/>
        <v>19.6729289455483</v>
      </c>
    </row>
    <row r="1247" spans="1:3" x14ac:dyDescent="0.2">
      <c r="A1247" s="1">
        <v>44316</v>
      </c>
      <c r="B1247" s="3">
        <v>19.4029029211592</v>
      </c>
      <c r="C1247">
        <f t="shared" si="0"/>
        <v>19.4029029211592</v>
      </c>
    </row>
    <row r="1248" spans="1:3" x14ac:dyDescent="0.2">
      <c r="A1248" s="1">
        <v>44322</v>
      </c>
      <c r="B1248">
        <v>19.3353370280783</v>
      </c>
      <c r="C1248">
        <f t="shared" si="0"/>
        <v>19.3353370280783</v>
      </c>
    </row>
    <row r="1249" spans="1:11" x14ac:dyDescent="0.2">
      <c r="A1249" s="1">
        <v>44323</v>
      </c>
      <c r="B1249">
        <v>19.108709186548801</v>
      </c>
      <c r="C1249">
        <f t="shared" si="0"/>
        <v>19.108709186548801</v>
      </c>
    </row>
    <row r="1250" spans="1:11" x14ac:dyDescent="0.2">
      <c r="A1250" s="1">
        <v>44326</v>
      </c>
      <c r="B1250">
        <v>18.984888574459301</v>
      </c>
      <c r="C1250">
        <f t="shared" si="0"/>
        <v>18.984888574459301</v>
      </c>
    </row>
    <row r="1251" spans="1:11" x14ac:dyDescent="0.2">
      <c r="A1251" s="1">
        <v>44327</v>
      </c>
      <c r="B1251">
        <v>19.279681313207</v>
      </c>
      <c r="C1251">
        <f t="shared" si="0"/>
        <v>19.279681313207</v>
      </c>
    </row>
    <row r="1252" spans="1:11" x14ac:dyDescent="0.2">
      <c r="A1252" s="1">
        <v>44328</v>
      </c>
      <c r="B1252">
        <v>19.509179112931299</v>
      </c>
      <c r="C1252">
        <f t="shared" si="0"/>
        <v>19.509179112931299</v>
      </c>
    </row>
    <row r="1253" spans="1:11" x14ac:dyDescent="0.2">
      <c r="A1253" s="1">
        <v>44329</v>
      </c>
      <c r="B1253">
        <v>19.568608095217499</v>
      </c>
      <c r="C1253">
        <f t="shared" si="0"/>
        <v>19.568608095217499</v>
      </c>
    </row>
    <row r="1254" spans="1:11" x14ac:dyDescent="0.2">
      <c r="A1254" s="1">
        <v>44330</v>
      </c>
      <c r="B1254">
        <v>19.884486882808002</v>
      </c>
      <c r="C1254">
        <f t="shared" si="0"/>
        <v>19.884486882808002</v>
      </c>
    </row>
    <row r="1255" spans="1:11" x14ac:dyDescent="0.2">
      <c r="A1255" s="1">
        <v>44333</v>
      </c>
      <c r="B1255">
        <v>20.682117784035899</v>
      </c>
      <c r="C1255">
        <f t="shared" si="0"/>
        <v>20.682117784035899</v>
      </c>
    </row>
    <row r="1256" spans="1:11" x14ac:dyDescent="0.2">
      <c r="A1256" s="1">
        <v>44334</v>
      </c>
      <c r="B1256">
        <v>20.314985844720098</v>
      </c>
      <c r="C1256">
        <f t="shared" si="0"/>
        <v>20.314985844720098</v>
      </c>
    </row>
    <row r="1257" spans="1:11" x14ac:dyDescent="0.2">
      <c r="A1257" s="1">
        <v>44335</v>
      </c>
      <c r="B1257">
        <v>19.6770649634527</v>
      </c>
      <c r="C1257">
        <f t="shared" si="0"/>
        <v>19.6770649634527</v>
      </c>
    </row>
    <row r="1258" spans="1:11" x14ac:dyDescent="0.2">
      <c r="A1258" s="1">
        <v>44336</v>
      </c>
      <c r="B1258">
        <v>19.700618659312799</v>
      </c>
      <c r="C1258">
        <f t="shared" si="0"/>
        <v>19.700618659312799</v>
      </c>
    </row>
    <row r="1259" spans="1:11" x14ac:dyDescent="0.2">
      <c r="A1259" s="1">
        <v>44337</v>
      </c>
      <c r="B1259">
        <v>19.362154389917901</v>
      </c>
      <c r="C1259">
        <f t="shared" si="0"/>
        <v>19.362154389917901</v>
      </c>
    </row>
    <row r="1260" spans="1:11" x14ac:dyDescent="0.2">
      <c r="A1260" s="1">
        <v>44340</v>
      </c>
      <c r="B1260">
        <v>19.3945625848168</v>
      </c>
      <c r="C1260">
        <f t="shared" si="0"/>
        <v>19.3945625848168</v>
      </c>
      <c r="J1260" s="90" t="s">
        <v>576</v>
      </c>
      <c r="K1260" s="89">
        <v>20.680855056091119</v>
      </c>
    </row>
    <row r="1261" spans="1:11" x14ac:dyDescent="0.2">
      <c r="A1261" s="1">
        <v>44341</v>
      </c>
      <c r="B1261">
        <v>21.461416619329501</v>
      </c>
      <c r="C1261">
        <f t="shared" si="0"/>
        <v>21.461416619329501</v>
      </c>
      <c r="J1261" s="91">
        <v>44357</v>
      </c>
      <c r="K1261" s="88">
        <v>20.307614110341767</v>
      </c>
    </row>
    <row r="1262" spans="1:11" x14ac:dyDescent="0.2">
      <c r="A1262" s="1">
        <v>44342</v>
      </c>
      <c r="B1262">
        <v>21.4593750764361</v>
      </c>
      <c r="C1262">
        <f t="shared" si="0"/>
        <v>21.4593750764361</v>
      </c>
      <c r="J1262" s="91">
        <v>44356</v>
      </c>
      <c r="K1262" s="88">
        <v>21.268928772459336</v>
      </c>
    </row>
    <row r="1263" spans="1:11" x14ac:dyDescent="0.2">
      <c r="A1263" s="1">
        <v>44343</v>
      </c>
      <c r="B1263">
        <v>22.429264558678799</v>
      </c>
      <c r="C1263">
        <f t="shared" si="0"/>
        <v>22.429264558678799</v>
      </c>
      <c r="J1263" s="91">
        <v>44355</v>
      </c>
      <c r="K1263" s="88">
        <v>21.896207917114307</v>
      </c>
    </row>
    <row r="1264" spans="1:11" x14ac:dyDescent="0.2">
      <c r="A1264" s="1">
        <v>44344</v>
      </c>
      <c r="B1264">
        <v>22.237297694747902</v>
      </c>
      <c r="C1264">
        <f t="shared" si="0"/>
        <v>22.237297694747902</v>
      </c>
      <c r="J1264" s="91">
        <v>44354</v>
      </c>
      <c r="K1264" s="88">
        <v>21.516661746232391</v>
      </c>
    </row>
    <row r="1265" spans="1:3" x14ac:dyDescent="0.2">
      <c r="A1265" s="1">
        <v>44347</v>
      </c>
      <c r="B1265">
        <v>22.711806223875701</v>
      </c>
      <c r="C1265">
        <f t="shared" si="0"/>
        <v>22.711806223875701</v>
      </c>
    </row>
    <row r="1266" spans="1:3" x14ac:dyDescent="0.2">
      <c r="A1266" s="1">
        <v>44348</v>
      </c>
      <c r="B1266">
        <v>22.485273177537501</v>
      </c>
      <c r="C1266">
        <f t="shared" si="0"/>
        <v>22.485273177537501</v>
      </c>
    </row>
    <row r="1267" spans="1:3" x14ac:dyDescent="0.2">
      <c r="A1267" s="1">
        <v>44349</v>
      </c>
      <c r="B1267">
        <v>21.090286645155601</v>
      </c>
      <c r="C1267">
        <f t="shared" si="0"/>
        <v>21.090286645155601</v>
      </c>
    </row>
    <row r="1268" spans="1:3" x14ac:dyDescent="0.2">
      <c r="A1268" s="1">
        <v>44350</v>
      </c>
      <c r="B1268">
        <v>20.303541387193199</v>
      </c>
      <c r="C1268">
        <f t="shared" si="0"/>
        <v>20.303541387193199</v>
      </c>
    </row>
    <row r="1269" spans="1:3" x14ac:dyDescent="0.2">
      <c r="A1269" s="1">
        <v>44351</v>
      </c>
      <c r="B1269">
        <v>20.4666693822846</v>
      </c>
      <c r="C1269">
        <f t="shared" si="0"/>
        <v>20.4666693822846</v>
      </c>
    </row>
    <row r="1270" spans="1:3" x14ac:dyDescent="0.2">
      <c r="A1270" s="1">
        <v>44354</v>
      </c>
      <c r="B1270">
        <v>21.034771583852699</v>
      </c>
      <c r="C1270">
        <f t="shared" si="0"/>
        <v>21.034771583852699</v>
      </c>
    </row>
    <row r="1271" spans="1:3" x14ac:dyDescent="0.2">
      <c r="A1271" s="1">
        <v>44355</v>
      </c>
      <c r="B1271">
        <v>21.587619164049599</v>
      </c>
      <c r="C1271">
        <f t="shared" si="0"/>
        <v>21.587619164049599</v>
      </c>
    </row>
    <row r="1272" spans="1:3" x14ac:dyDescent="0.2">
      <c r="A1272" s="1">
        <v>44356</v>
      </c>
      <c r="B1272">
        <v>20.738145468969801</v>
      </c>
      <c r="C1272">
        <f t="shared" si="0"/>
        <v>20.738145468969801</v>
      </c>
    </row>
    <row r="1273" spans="1:3" x14ac:dyDescent="0.2">
      <c r="A1273" s="1">
        <v>44357</v>
      </c>
      <c r="B1273">
        <v>19.958929167005302</v>
      </c>
      <c r="C1273">
        <f t="shared" si="0"/>
        <v>19.958929167005302</v>
      </c>
    </row>
    <row r="1274" spans="1:3" x14ac:dyDescent="0.2">
      <c r="A1274" s="1">
        <v>44358</v>
      </c>
      <c r="B1274">
        <v>20.1176493404718</v>
      </c>
      <c r="C1274">
        <f t="shared" si="0"/>
        <v>20.1176493404718</v>
      </c>
    </row>
    <row r="1275" spans="1:3" x14ac:dyDescent="0.2">
      <c r="A1275" s="1">
        <v>44362</v>
      </c>
      <c r="B1275">
        <v>19.785313789097501</v>
      </c>
      <c r="C1275">
        <f t="shared" si="0"/>
        <v>19.785313789097501</v>
      </c>
    </row>
    <row r="1276" spans="1:3" x14ac:dyDescent="0.2">
      <c r="A1276" s="1">
        <v>44363</v>
      </c>
      <c r="B1276">
        <v>20.6380519593903</v>
      </c>
      <c r="C1276">
        <f t="shared" si="0"/>
        <v>20.6380519593903</v>
      </c>
    </row>
    <row r="1277" spans="1:3" x14ac:dyDescent="0.2">
      <c r="A1277" s="1">
        <v>44364</v>
      </c>
      <c r="B1277">
        <v>19.709083858158898</v>
      </c>
      <c r="C1277">
        <f t="shared" si="0"/>
        <v>19.709083858158898</v>
      </c>
    </row>
    <row r="1278" spans="1:3" x14ac:dyDescent="0.2">
      <c r="A1278" s="1">
        <v>44365</v>
      </c>
      <c r="B1278">
        <v>19.774456442504299</v>
      </c>
      <c r="C1278">
        <f t="shared" si="0"/>
        <v>19.774456442504299</v>
      </c>
    </row>
    <row r="1279" spans="1:3" x14ac:dyDescent="0.2">
      <c r="A1279" s="1">
        <v>44368</v>
      </c>
      <c r="B1279">
        <v>20.206151972951002</v>
      </c>
      <c r="C1279">
        <f t="shared" si="0"/>
        <v>20.206151972951002</v>
      </c>
    </row>
    <row r="1280" spans="1:3" x14ac:dyDescent="0.2">
      <c r="A1280" s="1">
        <v>44369</v>
      </c>
      <c r="B1280">
        <v>19.827868546044002</v>
      </c>
      <c r="C1280">
        <f t="shared" si="0"/>
        <v>19.827868546044002</v>
      </c>
    </row>
    <row r="1281" spans="1:3" x14ac:dyDescent="0.2">
      <c r="A1281" s="1">
        <v>44370</v>
      </c>
      <c r="B1281">
        <v>18.505869941709001</v>
      </c>
      <c r="C1281">
        <f t="shared" si="0"/>
        <v>18.505869941709001</v>
      </c>
    </row>
    <row r="1282" spans="1:3" x14ac:dyDescent="0.2">
      <c r="A1282" s="1">
        <v>44371</v>
      </c>
      <c r="B1282">
        <v>17.760250362744099</v>
      </c>
      <c r="C1282">
        <f t="shared" si="0"/>
        <v>17.760250362744099</v>
      </c>
    </row>
    <row r="1283" spans="1:3" x14ac:dyDescent="0.2">
      <c r="A1283" s="1">
        <v>44372</v>
      </c>
      <c r="B1283">
        <v>18.0153367486806</v>
      </c>
      <c r="C1283">
        <f t="shared" si="0"/>
        <v>18.0153367486806</v>
      </c>
    </row>
    <row r="1284" spans="1:3" x14ac:dyDescent="0.2">
      <c r="A1284" s="1">
        <v>44375</v>
      </c>
      <c r="B1284">
        <v>18.315187162158601</v>
      </c>
      <c r="C1284">
        <f t="shared" si="0"/>
        <v>18.315187162158601</v>
      </c>
    </row>
    <row r="1285" spans="1:3" x14ac:dyDescent="0.2">
      <c r="A1285" s="1">
        <v>44376</v>
      </c>
      <c r="B1285">
        <v>18.095482984283201</v>
      </c>
      <c r="C1285">
        <f t="shared" si="0"/>
        <v>18.095482984283201</v>
      </c>
    </row>
    <row r="1286" spans="1:3" x14ac:dyDescent="0.2">
      <c r="A1286" s="1">
        <v>44377</v>
      </c>
      <c r="B1286">
        <v>18.638391034542899</v>
      </c>
      <c r="C1286">
        <f t="shared" si="0"/>
        <v>18.638391034542899</v>
      </c>
    </row>
    <row r="1287" spans="1:3" x14ac:dyDescent="0.2">
      <c r="A1287" s="1">
        <v>44378</v>
      </c>
      <c r="B1287">
        <v>18.280252046614098</v>
      </c>
      <c r="C1287">
        <f t="shared" si="0"/>
        <v>18.280252046614098</v>
      </c>
    </row>
    <row r="1288" spans="1:3" x14ac:dyDescent="0.2">
      <c r="A1288" s="1">
        <v>44379</v>
      </c>
      <c r="B1288">
        <v>19.000400568913999</v>
      </c>
      <c r="C1288">
        <f t="shared" si="0"/>
        <v>19.000400568913999</v>
      </c>
    </row>
    <row r="1289" spans="1:3" x14ac:dyDescent="0.2">
      <c r="A1289" s="1">
        <v>44382</v>
      </c>
      <c r="B1289">
        <v>18.2682685382422</v>
      </c>
      <c r="C1289">
        <f t="shared" si="0"/>
        <v>18.2682685382422</v>
      </c>
    </row>
    <row r="1290" spans="1:3" x14ac:dyDescent="0.2">
      <c r="A1290" s="1">
        <v>44383</v>
      </c>
      <c r="B1290">
        <v>18.028050170034799</v>
      </c>
      <c r="C1290">
        <f t="shared" si="0"/>
        <v>18.028050170034799</v>
      </c>
    </row>
    <row r="1291" spans="1:3" x14ac:dyDescent="0.2">
      <c r="A1291" s="1">
        <v>44384</v>
      </c>
      <c r="B1291">
        <v>17.609935980412899</v>
      </c>
      <c r="C1291">
        <f t="shared" si="0"/>
        <v>17.609935980412899</v>
      </c>
    </row>
    <row r="1292" spans="1:3" x14ac:dyDescent="0.2">
      <c r="A1292" s="1">
        <v>44385</v>
      </c>
      <c r="B1292">
        <v>18.4559348069428</v>
      </c>
      <c r="C1292">
        <f t="shared" ref="C1292:C1308" si="1">B1292</f>
        <v>18.4559348069428</v>
      </c>
    </row>
    <row r="1293" spans="1:3" x14ac:dyDescent="0.2">
      <c r="A1293" s="1">
        <v>44386</v>
      </c>
      <c r="B1293">
        <v>18.4317206696123</v>
      </c>
      <c r="C1293">
        <f t="shared" si="1"/>
        <v>18.4317206696123</v>
      </c>
    </row>
    <row r="1294" spans="1:3" x14ac:dyDescent="0.2">
      <c r="A1294" s="1">
        <v>44389</v>
      </c>
      <c r="B1294">
        <v>18.930513393282698</v>
      </c>
      <c r="C1294">
        <f t="shared" si="1"/>
        <v>18.930513393282698</v>
      </c>
    </row>
    <row r="1295" spans="1:3" x14ac:dyDescent="0.2">
      <c r="A1295" s="1">
        <v>44390</v>
      </c>
      <c r="B1295">
        <v>18.6267314389898</v>
      </c>
      <c r="C1295">
        <f t="shared" si="1"/>
        <v>18.6267314389898</v>
      </c>
    </row>
    <row r="1296" spans="1:3" x14ac:dyDescent="0.2">
      <c r="A1296" s="1">
        <v>44391</v>
      </c>
      <c r="B1296">
        <v>18.6819863067516</v>
      </c>
      <c r="C1296">
        <f t="shared" si="1"/>
        <v>18.6819863067516</v>
      </c>
    </row>
    <row r="1297" spans="1:3" x14ac:dyDescent="0.2">
      <c r="A1297" s="1">
        <v>44392</v>
      </c>
      <c r="B1297">
        <v>18.306133667223001</v>
      </c>
      <c r="C1297">
        <f t="shared" si="1"/>
        <v>18.306133667223001</v>
      </c>
    </row>
    <row r="1298" spans="1:3" x14ac:dyDescent="0.2">
      <c r="A1298" s="1">
        <v>44393</v>
      </c>
      <c r="B1298">
        <v>18.425162437045898</v>
      </c>
      <c r="C1298">
        <f t="shared" si="1"/>
        <v>18.425162437045898</v>
      </c>
    </row>
    <row r="1299" spans="1:3" x14ac:dyDescent="0.2">
      <c r="A1299" s="1">
        <v>44396</v>
      </c>
      <c r="B1299">
        <v>18.562415167788501</v>
      </c>
      <c r="C1299">
        <f t="shared" si="1"/>
        <v>18.562415167788501</v>
      </c>
    </row>
    <row r="1300" spans="1:3" x14ac:dyDescent="0.2">
      <c r="A1300" s="1">
        <v>44397</v>
      </c>
      <c r="B1300">
        <v>18.9429939248874</v>
      </c>
      <c r="C1300">
        <f t="shared" si="1"/>
        <v>18.9429939248874</v>
      </c>
    </row>
    <row r="1301" spans="1:3" x14ac:dyDescent="0.2">
      <c r="A1301" s="1">
        <v>44398</v>
      </c>
      <c r="B1301">
        <v>18.299920771822801</v>
      </c>
      <c r="C1301">
        <f t="shared" si="1"/>
        <v>18.299920771822801</v>
      </c>
    </row>
    <row r="1302" spans="1:3" x14ac:dyDescent="0.2">
      <c r="A1302" s="1">
        <v>44399</v>
      </c>
      <c r="B1302">
        <v>18.3039828601122</v>
      </c>
      <c r="C1302">
        <f t="shared" si="1"/>
        <v>18.3039828601122</v>
      </c>
    </row>
    <row r="1303" spans="1:3" x14ac:dyDescent="0.2">
      <c r="A1303" s="1">
        <v>44400</v>
      </c>
      <c r="B1303">
        <v>18.2151972707324</v>
      </c>
      <c r="C1303">
        <f t="shared" si="1"/>
        <v>18.2151972707324</v>
      </c>
    </row>
    <row r="1304" spans="1:3" x14ac:dyDescent="0.2">
      <c r="A1304" s="1">
        <v>44403</v>
      </c>
      <c r="B1304">
        <v>21.6863395233487</v>
      </c>
      <c r="C1304">
        <f t="shared" si="1"/>
        <v>21.6863395233487</v>
      </c>
    </row>
    <row r="1305" spans="1:3" x14ac:dyDescent="0.2">
      <c r="A1305" s="1">
        <v>44404</v>
      </c>
      <c r="B1305">
        <v>23.619821012813901</v>
      </c>
      <c r="C1305">
        <f t="shared" si="1"/>
        <v>23.619821012813901</v>
      </c>
    </row>
    <row r="1306" spans="1:3" x14ac:dyDescent="0.2">
      <c r="A1306" s="1">
        <v>44405</v>
      </c>
      <c r="B1306">
        <v>22.4118046313754</v>
      </c>
      <c r="C1306">
        <f t="shared" si="1"/>
        <v>22.4118046313754</v>
      </c>
    </row>
    <row r="1307" spans="1:3" x14ac:dyDescent="0.2">
      <c r="A1307" s="1">
        <v>44406</v>
      </c>
      <c r="B1307">
        <v>20.807711535190599</v>
      </c>
      <c r="C1307">
        <f t="shared" si="1"/>
        <v>20.807711535190599</v>
      </c>
    </row>
    <row r="1308" spans="1:3" x14ac:dyDescent="0.2">
      <c r="A1308" s="1">
        <v>44407</v>
      </c>
      <c r="B1308">
        <v>20.262283106611701</v>
      </c>
      <c r="C1308">
        <f t="shared" si="1"/>
        <v>20.262283106611701</v>
      </c>
    </row>
  </sheetData>
  <phoneticPr fontId="2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708A9-2E33-42F0-A0D4-0C2FAE6AAF62}">
  <sheetPr codeName="Sheet3"/>
  <dimension ref="A1:P379"/>
  <sheetViews>
    <sheetView topLeftCell="A4" workbookViewId="0">
      <selection activeCell="H33" sqref="H33:J36"/>
    </sheetView>
  </sheetViews>
  <sheetFormatPr defaultRowHeight="14.25" x14ac:dyDescent="0.2"/>
  <cols>
    <col min="1" max="1" width="19.375" customWidth="1"/>
    <col min="4" max="4" width="16.75" customWidth="1"/>
    <col min="7" max="7" width="26.25" customWidth="1"/>
    <col min="9" max="9" width="14.125" customWidth="1"/>
    <col min="10" max="10" width="17" customWidth="1"/>
  </cols>
  <sheetData>
    <row r="1" spans="1:5" x14ac:dyDescent="0.2">
      <c r="A1" s="17" t="s">
        <v>22</v>
      </c>
      <c r="B1" s="17" t="s">
        <v>23</v>
      </c>
    </row>
    <row r="2" spans="1:5" x14ac:dyDescent="0.2">
      <c r="A2" s="18" t="s">
        <v>24</v>
      </c>
      <c r="B2" s="3" t="s">
        <v>25</v>
      </c>
      <c r="C2">
        <f>B2*1</f>
        <v>1.0027999999999999</v>
      </c>
    </row>
    <row r="3" spans="1:5" x14ac:dyDescent="0.2">
      <c r="A3" s="18" t="s">
        <v>26</v>
      </c>
      <c r="B3" s="3" t="s">
        <v>25</v>
      </c>
      <c r="C3">
        <f t="shared" ref="C3:C66" si="0">B3*1</f>
        <v>1.0027999999999999</v>
      </c>
      <c r="D3" t="s">
        <v>471</v>
      </c>
      <c r="E3" s="29" cm="1">
        <f t="array" ref="E3">MaxDrawdown(B2:B275)</f>
        <v>-6.8284142071035614E-2</v>
      </c>
    </row>
    <row r="4" spans="1:5" x14ac:dyDescent="0.2">
      <c r="A4" s="18" t="s">
        <v>27</v>
      </c>
      <c r="B4" s="3" t="s">
        <v>25</v>
      </c>
      <c r="C4">
        <f t="shared" si="0"/>
        <v>1.0027999999999999</v>
      </c>
    </row>
    <row r="5" spans="1:5" x14ac:dyDescent="0.2">
      <c r="A5" s="18" t="s">
        <v>28</v>
      </c>
      <c r="B5" s="3" t="s">
        <v>25</v>
      </c>
      <c r="C5">
        <f t="shared" si="0"/>
        <v>1.0027999999999999</v>
      </c>
      <c r="D5" t="s">
        <v>472</v>
      </c>
      <c r="E5">
        <f>MAX(C:C)</f>
        <v>1.2060999999999999</v>
      </c>
    </row>
    <row r="6" spans="1:5" x14ac:dyDescent="0.2">
      <c r="A6" s="18" t="s">
        <v>29</v>
      </c>
      <c r="B6" s="3" t="s">
        <v>25</v>
      </c>
      <c r="C6">
        <f t="shared" si="0"/>
        <v>1.0027999999999999</v>
      </c>
      <c r="D6" t="s">
        <v>473</v>
      </c>
      <c r="E6" cm="1">
        <f t="array" ref="E6">INDEX(C:C,COUNTA(C:C)+1)</f>
        <v>1.1935</v>
      </c>
    </row>
    <row r="7" spans="1:5" x14ac:dyDescent="0.2">
      <c r="A7" s="18" t="s">
        <v>30</v>
      </c>
      <c r="B7" s="3" t="s">
        <v>25</v>
      </c>
      <c r="C7">
        <f t="shared" si="0"/>
        <v>1.0027999999999999</v>
      </c>
      <c r="D7" t="s">
        <v>474</v>
      </c>
      <c r="E7" s="29">
        <f>E6/E5-1</f>
        <v>-1.0446894950667418E-2</v>
      </c>
    </row>
    <row r="8" spans="1:5" x14ac:dyDescent="0.2">
      <c r="A8" s="18" t="s">
        <v>31</v>
      </c>
      <c r="B8" s="3" t="s">
        <v>25</v>
      </c>
      <c r="C8">
        <f t="shared" si="0"/>
        <v>1.0027999999999999</v>
      </c>
    </row>
    <row r="9" spans="1:5" x14ac:dyDescent="0.2">
      <c r="A9" s="18" t="s">
        <v>32</v>
      </c>
      <c r="B9" s="3" t="s">
        <v>33</v>
      </c>
      <c r="C9">
        <f t="shared" si="0"/>
        <v>0.99750000000000005</v>
      </c>
    </row>
    <row r="10" spans="1:5" x14ac:dyDescent="0.2">
      <c r="A10" s="18" t="s">
        <v>34</v>
      </c>
      <c r="B10" s="3" t="s">
        <v>35</v>
      </c>
      <c r="C10">
        <f t="shared" si="0"/>
        <v>1.0035000000000001</v>
      </c>
    </row>
    <row r="11" spans="1:5" x14ac:dyDescent="0.2">
      <c r="A11" s="18" t="s">
        <v>36</v>
      </c>
      <c r="B11" s="3" t="s">
        <v>37</v>
      </c>
      <c r="C11">
        <f t="shared" si="0"/>
        <v>1.0049999999999999</v>
      </c>
    </row>
    <row r="12" spans="1:5" x14ac:dyDescent="0.2">
      <c r="A12" s="18" t="s">
        <v>38</v>
      </c>
      <c r="B12" s="3" t="s">
        <v>37</v>
      </c>
      <c r="C12">
        <f t="shared" si="0"/>
        <v>1.0049999999999999</v>
      </c>
    </row>
    <row r="13" spans="1:5" x14ac:dyDescent="0.2">
      <c r="A13" s="18" t="s">
        <v>39</v>
      </c>
      <c r="B13" s="3" t="s">
        <v>37</v>
      </c>
      <c r="C13">
        <f t="shared" si="0"/>
        <v>1.0049999999999999</v>
      </c>
    </row>
    <row r="14" spans="1:5" x14ac:dyDescent="0.2">
      <c r="A14" s="18" t="s">
        <v>40</v>
      </c>
      <c r="B14" s="3" t="s">
        <v>41</v>
      </c>
      <c r="C14">
        <f t="shared" si="0"/>
        <v>1.0269999999999999</v>
      </c>
    </row>
    <row r="15" spans="1:5" x14ac:dyDescent="0.2">
      <c r="A15" s="18" t="s">
        <v>42</v>
      </c>
      <c r="B15" s="3" t="s">
        <v>43</v>
      </c>
      <c r="C15">
        <f t="shared" si="0"/>
        <v>1.0291999999999999</v>
      </c>
    </row>
    <row r="16" spans="1:5" x14ac:dyDescent="0.2">
      <c r="A16" s="18" t="s">
        <v>44</v>
      </c>
      <c r="B16" s="3" t="s">
        <v>45</v>
      </c>
      <c r="C16">
        <f t="shared" si="0"/>
        <v>1.0268999999999999</v>
      </c>
    </row>
    <row r="17" spans="1:10" x14ac:dyDescent="0.2">
      <c r="A17" s="18" t="s">
        <v>46</v>
      </c>
      <c r="B17" s="3" t="s">
        <v>47</v>
      </c>
      <c r="C17">
        <f t="shared" si="0"/>
        <v>0.97950000000000004</v>
      </c>
    </row>
    <row r="18" spans="1:10" x14ac:dyDescent="0.2">
      <c r="A18" s="18" t="s">
        <v>48</v>
      </c>
      <c r="B18" s="3" t="s">
        <v>49</v>
      </c>
      <c r="C18">
        <f t="shared" si="0"/>
        <v>1.0157</v>
      </c>
    </row>
    <row r="19" spans="1:10" x14ac:dyDescent="0.2">
      <c r="A19" s="18" t="s">
        <v>50</v>
      </c>
      <c r="B19" s="3" t="s">
        <v>49</v>
      </c>
      <c r="C19">
        <f t="shared" si="0"/>
        <v>1.0157</v>
      </c>
    </row>
    <row r="20" spans="1:10" x14ac:dyDescent="0.2">
      <c r="A20" s="18" t="s">
        <v>51</v>
      </c>
      <c r="B20" s="3" t="s">
        <v>49</v>
      </c>
      <c r="C20">
        <f t="shared" si="0"/>
        <v>1.0157</v>
      </c>
    </row>
    <row r="21" spans="1:10" x14ac:dyDescent="0.2">
      <c r="A21" s="18" t="s">
        <v>52</v>
      </c>
      <c r="B21" s="3" t="s">
        <v>53</v>
      </c>
      <c r="C21">
        <f t="shared" si="0"/>
        <v>1.0103</v>
      </c>
    </row>
    <row r="22" spans="1:10" x14ac:dyDescent="0.2">
      <c r="A22" s="18" t="s">
        <v>54</v>
      </c>
      <c r="B22" s="3" t="s">
        <v>55</v>
      </c>
      <c r="C22">
        <f t="shared" si="0"/>
        <v>1.0210999999999999</v>
      </c>
    </row>
    <row r="23" spans="1:10" x14ac:dyDescent="0.2">
      <c r="A23" s="18" t="s">
        <v>56</v>
      </c>
      <c r="B23" s="3" t="s">
        <v>57</v>
      </c>
      <c r="C23">
        <f t="shared" si="0"/>
        <v>1.0236000000000001</v>
      </c>
    </row>
    <row r="24" spans="1:10" x14ac:dyDescent="0.2">
      <c r="A24" s="18" t="s">
        <v>58</v>
      </c>
      <c r="B24" s="3" t="s">
        <v>59</v>
      </c>
      <c r="C24">
        <f t="shared" si="0"/>
        <v>1.0214000000000001</v>
      </c>
    </row>
    <row r="25" spans="1:10" x14ac:dyDescent="0.2">
      <c r="A25" s="18" t="s">
        <v>60</v>
      </c>
      <c r="B25" s="3" t="s">
        <v>61</v>
      </c>
      <c r="C25">
        <f t="shared" si="0"/>
        <v>0.98089999999999999</v>
      </c>
    </row>
    <row r="26" spans="1:10" x14ac:dyDescent="0.2">
      <c r="A26" s="18" t="s">
        <v>62</v>
      </c>
      <c r="B26" s="3" t="s">
        <v>61</v>
      </c>
      <c r="C26">
        <f t="shared" si="0"/>
        <v>0.98089999999999999</v>
      </c>
    </row>
    <row r="27" spans="1:10" x14ac:dyDescent="0.2">
      <c r="A27" s="18" t="s">
        <v>63</v>
      </c>
      <c r="B27" s="3" t="s">
        <v>61</v>
      </c>
      <c r="C27">
        <f t="shared" si="0"/>
        <v>0.98089999999999999</v>
      </c>
    </row>
    <row r="28" spans="1:10" x14ac:dyDescent="0.2">
      <c r="A28" s="18" t="s">
        <v>64</v>
      </c>
      <c r="B28" s="3" t="s">
        <v>65</v>
      </c>
      <c r="C28">
        <f t="shared" si="0"/>
        <v>1.0033000000000001</v>
      </c>
    </row>
    <row r="29" spans="1:10" x14ac:dyDescent="0.2">
      <c r="A29" s="18" t="s">
        <v>66</v>
      </c>
      <c r="B29" s="3" t="s">
        <v>67</v>
      </c>
      <c r="C29">
        <f t="shared" si="0"/>
        <v>1.0094000000000001</v>
      </c>
    </row>
    <row r="30" spans="1:10" x14ac:dyDescent="0.2">
      <c r="A30" s="18" t="s">
        <v>68</v>
      </c>
      <c r="B30" s="3" t="s">
        <v>35</v>
      </c>
      <c r="C30">
        <f t="shared" si="0"/>
        <v>1.0035000000000001</v>
      </c>
    </row>
    <row r="31" spans="1:10" ht="15" thickBot="1" x14ac:dyDescent="0.25">
      <c r="A31" s="18" t="s">
        <v>69</v>
      </c>
      <c r="B31" s="3" t="s">
        <v>70</v>
      </c>
      <c r="C31">
        <f t="shared" si="0"/>
        <v>1.0023</v>
      </c>
    </row>
    <row r="32" spans="1:10" ht="29.25" thickBot="1" x14ac:dyDescent="0.25">
      <c r="A32" s="18" t="s">
        <v>71</v>
      </c>
      <c r="B32" s="3" t="s">
        <v>72</v>
      </c>
      <c r="C32">
        <f t="shared" si="0"/>
        <v>1.0003</v>
      </c>
      <c r="G32" s="19" t="s">
        <v>423</v>
      </c>
      <c r="H32" s="66" t="s">
        <v>532</v>
      </c>
      <c r="I32" s="66" t="s">
        <v>470</v>
      </c>
      <c r="J32" s="64" t="s">
        <v>670</v>
      </c>
    </row>
    <row r="33" spans="1:16" ht="17.25" thickTop="1" thickBot="1" x14ac:dyDescent="0.25">
      <c r="A33" s="18" t="s">
        <v>73</v>
      </c>
      <c r="B33" s="3" t="s">
        <v>72</v>
      </c>
      <c r="C33">
        <f t="shared" si="0"/>
        <v>1.0003</v>
      </c>
      <c r="G33" s="76" t="s">
        <v>534</v>
      </c>
      <c r="H33" s="20">
        <v>-12.07</v>
      </c>
      <c r="I33" s="20">
        <v>618</v>
      </c>
      <c r="J33" s="21">
        <f>H33/I33</f>
        <v>-1.953074433656958E-2</v>
      </c>
      <c r="M33">
        <v>600</v>
      </c>
      <c r="N33" s="29">
        <f>H33/M33</f>
        <v>-2.0116666666666668E-2</v>
      </c>
      <c r="P33" s="86">
        <f>H33/I33*I35</f>
        <v>-35.155339805825243</v>
      </c>
    </row>
    <row r="34" spans="1:16" ht="17.25" thickTop="1" thickBot="1" x14ac:dyDescent="0.25">
      <c r="A34" s="18" t="s">
        <v>74</v>
      </c>
      <c r="B34" s="3" t="s">
        <v>72</v>
      </c>
      <c r="C34">
        <f t="shared" si="0"/>
        <v>1.0003</v>
      </c>
      <c r="G34" s="76" t="s">
        <v>424</v>
      </c>
      <c r="H34" s="20">
        <v>-7.77</v>
      </c>
      <c r="I34" s="20">
        <v>340</v>
      </c>
      <c r="J34" s="21">
        <f>H34/I34</f>
        <v>-2.2852941176470586E-2</v>
      </c>
      <c r="K34">
        <f>H34/H33</f>
        <v>0.64374482187241089</v>
      </c>
      <c r="L34" s="29"/>
      <c r="M34">
        <v>400</v>
      </c>
      <c r="N34" s="29">
        <f>H34/M34</f>
        <v>-1.9424999999999998E-2</v>
      </c>
      <c r="O34" s="86"/>
    </row>
    <row r="35" spans="1:16" ht="17.25" thickTop="1" thickBot="1" x14ac:dyDescent="0.25">
      <c r="A35" s="18" t="s">
        <v>75</v>
      </c>
      <c r="B35" s="3" t="s">
        <v>76</v>
      </c>
      <c r="C35">
        <f t="shared" si="0"/>
        <v>1.0056</v>
      </c>
      <c r="G35" s="77" t="s">
        <v>533</v>
      </c>
      <c r="H35" s="22">
        <v>-40.159999999999997</v>
      </c>
      <c r="I35" s="63">
        <v>1800</v>
      </c>
      <c r="J35" s="21">
        <f>H35/I35</f>
        <v>-2.2311111111111108E-2</v>
      </c>
      <c r="K35" s="65">
        <f>H35/H33</f>
        <v>3.3272576636288314</v>
      </c>
      <c r="L35">
        <f>20/6</f>
        <v>3.3333333333333335</v>
      </c>
      <c r="M35">
        <v>2000</v>
      </c>
      <c r="N35" s="29">
        <f>H35/M35</f>
        <v>-2.0079999999999997E-2</v>
      </c>
    </row>
    <row r="36" spans="1:16" ht="17.25" thickTop="1" thickBot="1" x14ac:dyDescent="0.25">
      <c r="A36" s="18" t="s">
        <v>77</v>
      </c>
      <c r="B36" s="3" t="s">
        <v>78</v>
      </c>
      <c r="C36">
        <f t="shared" si="0"/>
        <v>1.0064</v>
      </c>
      <c r="G36" s="23" t="s">
        <v>425</v>
      </c>
      <c r="H36" s="24">
        <f>SUM(H33:H35)</f>
        <v>-60</v>
      </c>
      <c r="I36" s="30">
        <f>SUM(I33:I35)</f>
        <v>2758</v>
      </c>
      <c r="J36" s="25">
        <f>H36/I36</f>
        <v>-2.1754894851341553E-2</v>
      </c>
    </row>
    <row r="37" spans="1:16" x14ac:dyDescent="0.2">
      <c r="A37" s="18" t="s">
        <v>79</v>
      </c>
      <c r="B37" s="3" t="s">
        <v>80</v>
      </c>
      <c r="C37">
        <f t="shared" si="0"/>
        <v>1.0059</v>
      </c>
    </row>
    <row r="38" spans="1:16" x14ac:dyDescent="0.2">
      <c r="A38" s="18" t="s">
        <v>81</v>
      </c>
      <c r="B38" s="3" t="s">
        <v>82</v>
      </c>
      <c r="C38">
        <f t="shared" si="0"/>
        <v>1.0144</v>
      </c>
    </row>
    <row r="39" spans="1:16" x14ac:dyDescent="0.2">
      <c r="A39" s="18" t="s">
        <v>83</v>
      </c>
      <c r="B39" s="3" t="s">
        <v>84</v>
      </c>
      <c r="C39">
        <f t="shared" si="0"/>
        <v>1.0341</v>
      </c>
      <c r="J39">
        <f>0.3%</f>
        <v>3.0000000000000001E-3</v>
      </c>
    </row>
    <row r="40" spans="1:16" x14ac:dyDescent="0.2">
      <c r="A40" s="18" t="s">
        <v>85</v>
      </c>
      <c r="B40" s="3" t="s">
        <v>84</v>
      </c>
      <c r="C40">
        <f t="shared" si="0"/>
        <v>1.0341</v>
      </c>
      <c r="J40">
        <f>H35/J39</f>
        <v>-13386.666666666666</v>
      </c>
    </row>
    <row r="41" spans="1:16" x14ac:dyDescent="0.2">
      <c r="A41" s="18" t="s">
        <v>86</v>
      </c>
      <c r="B41" s="3" t="s">
        <v>84</v>
      </c>
      <c r="C41">
        <f t="shared" si="0"/>
        <v>1.0341</v>
      </c>
    </row>
    <row r="42" spans="1:16" x14ac:dyDescent="0.2">
      <c r="A42" s="18" t="s">
        <v>87</v>
      </c>
      <c r="B42" s="3" t="s">
        <v>88</v>
      </c>
      <c r="C42">
        <f t="shared" si="0"/>
        <v>1.0465</v>
      </c>
    </row>
    <row r="43" spans="1:16" x14ac:dyDescent="0.2">
      <c r="A43" s="18" t="s">
        <v>89</v>
      </c>
      <c r="B43" s="3" t="s">
        <v>90</v>
      </c>
      <c r="C43">
        <f t="shared" si="0"/>
        <v>1.0452999999999999</v>
      </c>
    </row>
    <row r="44" spans="1:16" x14ac:dyDescent="0.2">
      <c r="A44" s="18" t="s">
        <v>91</v>
      </c>
      <c r="B44" s="3" t="s">
        <v>92</v>
      </c>
      <c r="C44">
        <f t="shared" si="0"/>
        <v>1.0589</v>
      </c>
    </row>
    <row r="45" spans="1:16" x14ac:dyDescent="0.2">
      <c r="A45" s="18" t="s">
        <v>93</v>
      </c>
      <c r="B45" s="3" t="s">
        <v>94</v>
      </c>
      <c r="C45">
        <f t="shared" si="0"/>
        <v>1.0645</v>
      </c>
    </row>
    <row r="46" spans="1:16" x14ac:dyDescent="0.2">
      <c r="A46" s="18" t="s">
        <v>95</v>
      </c>
      <c r="B46" s="3" t="s">
        <v>96</v>
      </c>
      <c r="C46">
        <f t="shared" si="0"/>
        <v>1.0669</v>
      </c>
    </row>
    <row r="47" spans="1:16" x14ac:dyDescent="0.2">
      <c r="A47" s="18" t="s">
        <v>97</v>
      </c>
      <c r="B47" s="3" t="s">
        <v>96</v>
      </c>
      <c r="C47">
        <f t="shared" si="0"/>
        <v>1.0669</v>
      </c>
    </row>
    <row r="48" spans="1:16" x14ac:dyDescent="0.2">
      <c r="A48" s="18" t="s">
        <v>98</v>
      </c>
      <c r="B48" s="3" t="s">
        <v>96</v>
      </c>
      <c r="C48">
        <f t="shared" si="0"/>
        <v>1.0669</v>
      </c>
    </row>
    <row r="49" spans="1:3" x14ac:dyDescent="0.2">
      <c r="A49" s="18" t="s">
        <v>99</v>
      </c>
      <c r="B49" s="3" t="s">
        <v>100</v>
      </c>
      <c r="C49">
        <f t="shared" si="0"/>
        <v>1.0429999999999999</v>
      </c>
    </row>
    <row r="50" spans="1:3" x14ac:dyDescent="0.2">
      <c r="A50" s="18" t="s">
        <v>101</v>
      </c>
      <c r="B50" s="3" t="s">
        <v>102</v>
      </c>
      <c r="C50">
        <f t="shared" si="0"/>
        <v>1.0525</v>
      </c>
    </row>
    <row r="51" spans="1:3" x14ac:dyDescent="0.2">
      <c r="A51" s="18" t="s">
        <v>103</v>
      </c>
      <c r="B51" s="3" t="s">
        <v>104</v>
      </c>
      <c r="C51">
        <f t="shared" si="0"/>
        <v>1.0610999999999999</v>
      </c>
    </row>
    <row r="52" spans="1:3" x14ac:dyDescent="0.2">
      <c r="A52" s="18" t="s">
        <v>105</v>
      </c>
      <c r="B52" s="3" t="s">
        <v>106</v>
      </c>
      <c r="C52">
        <f t="shared" si="0"/>
        <v>1.0682</v>
      </c>
    </row>
    <row r="53" spans="1:3" x14ac:dyDescent="0.2">
      <c r="A53" s="18" t="s">
        <v>107</v>
      </c>
      <c r="B53" s="3" t="s">
        <v>108</v>
      </c>
      <c r="C53">
        <f t="shared" si="0"/>
        <v>1.0692999999999999</v>
      </c>
    </row>
    <row r="54" spans="1:3" x14ac:dyDescent="0.2">
      <c r="A54" s="18" t="s">
        <v>109</v>
      </c>
      <c r="B54" s="3" t="s">
        <v>108</v>
      </c>
      <c r="C54">
        <f t="shared" si="0"/>
        <v>1.0692999999999999</v>
      </c>
    </row>
    <row r="55" spans="1:3" x14ac:dyDescent="0.2">
      <c r="A55" s="18" t="s">
        <v>110</v>
      </c>
      <c r="B55" s="3" t="s">
        <v>108</v>
      </c>
      <c r="C55">
        <f t="shared" si="0"/>
        <v>1.0692999999999999</v>
      </c>
    </row>
    <row r="56" spans="1:3" x14ac:dyDescent="0.2">
      <c r="A56" s="18" t="s">
        <v>111</v>
      </c>
      <c r="B56" s="3" t="s">
        <v>112</v>
      </c>
      <c r="C56">
        <f t="shared" si="0"/>
        <v>1.0831999999999999</v>
      </c>
    </row>
    <row r="57" spans="1:3" x14ac:dyDescent="0.2">
      <c r="A57" s="18" t="s">
        <v>113</v>
      </c>
      <c r="B57" s="3" t="s">
        <v>114</v>
      </c>
      <c r="C57">
        <f t="shared" si="0"/>
        <v>1.0892999999999999</v>
      </c>
    </row>
    <row r="58" spans="1:3" x14ac:dyDescent="0.2">
      <c r="A58" s="18" t="s">
        <v>115</v>
      </c>
      <c r="B58" s="3" t="s">
        <v>116</v>
      </c>
      <c r="C58">
        <f t="shared" si="0"/>
        <v>1.0878000000000001</v>
      </c>
    </row>
    <row r="59" spans="1:3" x14ac:dyDescent="0.2">
      <c r="A59" s="18" t="s">
        <v>117</v>
      </c>
      <c r="B59" s="3" t="s">
        <v>118</v>
      </c>
      <c r="C59">
        <f t="shared" si="0"/>
        <v>1.0984</v>
      </c>
    </row>
    <row r="60" spans="1:3" x14ac:dyDescent="0.2">
      <c r="A60" s="18" t="s">
        <v>119</v>
      </c>
      <c r="B60" s="3" t="s">
        <v>120</v>
      </c>
      <c r="C60">
        <f t="shared" si="0"/>
        <v>1.0806</v>
      </c>
    </row>
    <row r="61" spans="1:3" x14ac:dyDescent="0.2">
      <c r="A61" s="18" t="s">
        <v>121</v>
      </c>
      <c r="B61" s="3" t="s">
        <v>120</v>
      </c>
      <c r="C61">
        <f t="shared" si="0"/>
        <v>1.0806</v>
      </c>
    </row>
    <row r="62" spans="1:3" x14ac:dyDescent="0.2">
      <c r="A62" s="18" t="s">
        <v>122</v>
      </c>
      <c r="B62" s="3" t="s">
        <v>120</v>
      </c>
      <c r="C62">
        <f t="shared" si="0"/>
        <v>1.0806</v>
      </c>
    </row>
    <row r="63" spans="1:3" x14ac:dyDescent="0.2">
      <c r="A63" s="18" t="s">
        <v>123</v>
      </c>
      <c r="B63" s="3" t="s">
        <v>124</v>
      </c>
      <c r="C63">
        <f t="shared" si="0"/>
        <v>1.0842000000000001</v>
      </c>
    </row>
    <row r="64" spans="1:3" x14ac:dyDescent="0.2">
      <c r="A64" s="18" t="s">
        <v>125</v>
      </c>
      <c r="B64" s="3" t="s">
        <v>126</v>
      </c>
      <c r="C64">
        <f t="shared" si="0"/>
        <v>1.0916999999999999</v>
      </c>
    </row>
    <row r="65" spans="1:3" x14ac:dyDescent="0.2">
      <c r="A65" s="18" t="s">
        <v>127</v>
      </c>
      <c r="B65" s="3" t="s">
        <v>128</v>
      </c>
      <c r="C65">
        <f t="shared" si="0"/>
        <v>1.0902000000000001</v>
      </c>
    </row>
    <row r="66" spans="1:3" x14ac:dyDescent="0.2">
      <c r="A66" s="18" t="s">
        <v>129</v>
      </c>
      <c r="B66" s="3" t="s">
        <v>130</v>
      </c>
      <c r="C66">
        <f t="shared" si="0"/>
        <v>1.0962000000000001</v>
      </c>
    </row>
    <row r="67" spans="1:3" x14ac:dyDescent="0.2">
      <c r="A67" s="18" t="s">
        <v>131</v>
      </c>
      <c r="B67" s="3" t="s">
        <v>132</v>
      </c>
      <c r="C67">
        <f t="shared" ref="C67:C130" si="1">B67*1</f>
        <v>1.0996999999999999</v>
      </c>
    </row>
    <row r="68" spans="1:3" x14ac:dyDescent="0.2">
      <c r="A68" s="18" t="s">
        <v>133</v>
      </c>
      <c r="B68" s="3" t="s">
        <v>132</v>
      </c>
      <c r="C68">
        <f t="shared" si="1"/>
        <v>1.0996999999999999</v>
      </c>
    </row>
    <row r="69" spans="1:3" x14ac:dyDescent="0.2">
      <c r="A69" s="18" t="s">
        <v>134</v>
      </c>
      <c r="B69" s="3" t="s">
        <v>132</v>
      </c>
      <c r="C69">
        <f t="shared" si="1"/>
        <v>1.0996999999999999</v>
      </c>
    </row>
    <row r="70" spans="1:3" x14ac:dyDescent="0.2">
      <c r="A70" s="18" t="s">
        <v>135</v>
      </c>
      <c r="B70" s="3" t="s">
        <v>136</v>
      </c>
      <c r="C70">
        <f t="shared" si="1"/>
        <v>1.1053999999999999</v>
      </c>
    </row>
    <row r="71" spans="1:3" x14ac:dyDescent="0.2">
      <c r="A71" s="18" t="s">
        <v>137</v>
      </c>
      <c r="B71" s="3" t="s">
        <v>138</v>
      </c>
      <c r="C71">
        <f t="shared" si="1"/>
        <v>1.1076999999999999</v>
      </c>
    </row>
    <row r="72" spans="1:3" x14ac:dyDescent="0.2">
      <c r="A72" s="18" t="s">
        <v>139</v>
      </c>
      <c r="B72" s="3" t="s">
        <v>140</v>
      </c>
      <c r="C72">
        <f t="shared" si="1"/>
        <v>1.0995999999999999</v>
      </c>
    </row>
    <row r="73" spans="1:3" x14ac:dyDescent="0.2">
      <c r="A73" s="18" t="s">
        <v>141</v>
      </c>
      <c r="B73" s="3" t="s">
        <v>142</v>
      </c>
      <c r="C73">
        <f t="shared" si="1"/>
        <v>1.1107</v>
      </c>
    </row>
    <row r="74" spans="1:3" x14ac:dyDescent="0.2">
      <c r="A74" s="18" t="s">
        <v>143</v>
      </c>
      <c r="B74" s="3" t="s">
        <v>144</v>
      </c>
      <c r="C74">
        <f t="shared" si="1"/>
        <v>1.1192</v>
      </c>
    </row>
    <row r="75" spans="1:3" x14ac:dyDescent="0.2">
      <c r="A75" s="18" t="s">
        <v>145</v>
      </c>
      <c r="B75" s="3" t="s">
        <v>144</v>
      </c>
      <c r="C75">
        <f t="shared" si="1"/>
        <v>1.1192</v>
      </c>
    </row>
    <row r="76" spans="1:3" x14ac:dyDescent="0.2">
      <c r="A76" s="18" t="s">
        <v>146</v>
      </c>
      <c r="B76" s="3" t="s">
        <v>144</v>
      </c>
      <c r="C76">
        <f t="shared" si="1"/>
        <v>1.1192</v>
      </c>
    </row>
    <row r="77" spans="1:3" x14ac:dyDescent="0.2">
      <c r="A77" s="18" t="s">
        <v>147</v>
      </c>
      <c r="B77" s="3" t="s">
        <v>148</v>
      </c>
      <c r="C77">
        <f t="shared" si="1"/>
        <v>1.127</v>
      </c>
    </row>
    <row r="78" spans="1:3" x14ac:dyDescent="0.2">
      <c r="A78" s="18" t="s">
        <v>149</v>
      </c>
      <c r="B78" s="3" t="s">
        <v>150</v>
      </c>
      <c r="C78">
        <f t="shared" si="1"/>
        <v>1.1296999999999999</v>
      </c>
    </row>
    <row r="79" spans="1:3" x14ac:dyDescent="0.2">
      <c r="A79" s="18" t="s">
        <v>151</v>
      </c>
      <c r="B79" s="3" t="s">
        <v>152</v>
      </c>
      <c r="C79">
        <f t="shared" si="1"/>
        <v>1.1311</v>
      </c>
    </row>
    <row r="80" spans="1:3" x14ac:dyDescent="0.2">
      <c r="A80" s="18" t="s">
        <v>153</v>
      </c>
      <c r="B80" s="3" t="s">
        <v>154</v>
      </c>
      <c r="C80">
        <f t="shared" si="1"/>
        <v>1.1299999999999999</v>
      </c>
    </row>
    <row r="81" spans="1:3" x14ac:dyDescent="0.2">
      <c r="A81" s="18" t="s">
        <v>155</v>
      </c>
      <c r="B81" s="3" t="s">
        <v>156</v>
      </c>
      <c r="C81">
        <f t="shared" si="1"/>
        <v>1.1234999999999999</v>
      </c>
    </row>
    <row r="82" spans="1:3" x14ac:dyDescent="0.2">
      <c r="A82" s="18" t="s">
        <v>157</v>
      </c>
      <c r="B82" s="3" t="s">
        <v>156</v>
      </c>
      <c r="C82">
        <f t="shared" si="1"/>
        <v>1.1234999999999999</v>
      </c>
    </row>
    <row r="83" spans="1:3" x14ac:dyDescent="0.2">
      <c r="A83" s="18" t="s">
        <v>158</v>
      </c>
      <c r="B83" s="3" t="s">
        <v>156</v>
      </c>
      <c r="C83">
        <f t="shared" si="1"/>
        <v>1.1234999999999999</v>
      </c>
    </row>
    <row r="84" spans="1:3" x14ac:dyDescent="0.2">
      <c r="A84" s="18" t="s">
        <v>159</v>
      </c>
      <c r="B84" s="3" t="s">
        <v>160</v>
      </c>
      <c r="C84">
        <f t="shared" si="1"/>
        <v>1.1205000000000001</v>
      </c>
    </row>
    <row r="85" spans="1:3" x14ac:dyDescent="0.2">
      <c r="A85" s="18" t="s">
        <v>161</v>
      </c>
      <c r="B85" s="3" t="s">
        <v>162</v>
      </c>
      <c r="C85">
        <f t="shared" si="1"/>
        <v>1.1152</v>
      </c>
    </row>
    <row r="86" spans="1:3" x14ac:dyDescent="0.2">
      <c r="A86" s="18" t="s">
        <v>163</v>
      </c>
      <c r="B86" s="3" t="s">
        <v>164</v>
      </c>
      <c r="C86">
        <f t="shared" si="1"/>
        <v>1.1221000000000001</v>
      </c>
    </row>
    <row r="87" spans="1:3" x14ac:dyDescent="0.2">
      <c r="A87" s="18" t="s">
        <v>165</v>
      </c>
      <c r="B87" s="3" t="s">
        <v>166</v>
      </c>
      <c r="C87">
        <f t="shared" si="1"/>
        <v>1.1161000000000001</v>
      </c>
    </row>
    <row r="88" spans="1:3" x14ac:dyDescent="0.2">
      <c r="A88" s="18" t="s">
        <v>167</v>
      </c>
      <c r="B88" s="3" t="s">
        <v>168</v>
      </c>
      <c r="C88">
        <f t="shared" si="1"/>
        <v>1.1171</v>
      </c>
    </row>
    <row r="89" spans="1:3" x14ac:dyDescent="0.2">
      <c r="A89" s="18" t="s">
        <v>169</v>
      </c>
      <c r="B89" s="3" t="s">
        <v>168</v>
      </c>
      <c r="C89">
        <f t="shared" si="1"/>
        <v>1.1171</v>
      </c>
    </row>
    <row r="90" spans="1:3" x14ac:dyDescent="0.2">
      <c r="A90" s="18" t="s">
        <v>170</v>
      </c>
      <c r="B90" s="3" t="s">
        <v>168</v>
      </c>
      <c r="C90">
        <f t="shared" si="1"/>
        <v>1.1171</v>
      </c>
    </row>
    <row r="91" spans="1:3" x14ac:dyDescent="0.2">
      <c r="A91" s="18" t="s">
        <v>171</v>
      </c>
      <c r="B91" s="3" t="s">
        <v>172</v>
      </c>
      <c r="C91">
        <f t="shared" si="1"/>
        <v>1.1178999999999999</v>
      </c>
    </row>
    <row r="92" spans="1:3" x14ac:dyDescent="0.2">
      <c r="A92" s="18" t="s">
        <v>173</v>
      </c>
      <c r="B92" s="3" t="s">
        <v>174</v>
      </c>
      <c r="C92">
        <f t="shared" si="1"/>
        <v>1.1101000000000001</v>
      </c>
    </row>
    <row r="93" spans="1:3" x14ac:dyDescent="0.2">
      <c r="A93" s="18" t="s">
        <v>175</v>
      </c>
      <c r="B93" s="3" t="s">
        <v>176</v>
      </c>
      <c r="C93">
        <f t="shared" si="1"/>
        <v>1.1074999999999999</v>
      </c>
    </row>
    <row r="94" spans="1:3" x14ac:dyDescent="0.2">
      <c r="A94" s="18" t="s">
        <v>177</v>
      </c>
      <c r="B94" s="3" t="s">
        <v>176</v>
      </c>
      <c r="C94">
        <f t="shared" si="1"/>
        <v>1.1074999999999999</v>
      </c>
    </row>
    <row r="95" spans="1:3" x14ac:dyDescent="0.2">
      <c r="A95" s="18" t="s">
        <v>178</v>
      </c>
      <c r="B95" s="3" t="s">
        <v>176</v>
      </c>
      <c r="C95">
        <f t="shared" si="1"/>
        <v>1.1074999999999999</v>
      </c>
    </row>
    <row r="96" spans="1:3" x14ac:dyDescent="0.2">
      <c r="A96" s="18" t="s">
        <v>179</v>
      </c>
      <c r="B96" s="3" t="s">
        <v>176</v>
      </c>
      <c r="C96">
        <f t="shared" si="1"/>
        <v>1.1074999999999999</v>
      </c>
    </row>
    <row r="97" spans="1:3" x14ac:dyDescent="0.2">
      <c r="A97" s="18" t="s">
        <v>180</v>
      </c>
      <c r="B97" s="3" t="s">
        <v>176</v>
      </c>
      <c r="C97">
        <f t="shared" si="1"/>
        <v>1.1074999999999999</v>
      </c>
    </row>
    <row r="98" spans="1:3" x14ac:dyDescent="0.2">
      <c r="A98" s="18" t="s">
        <v>181</v>
      </c>
      <c r="B98" s="3" t="s">
        <v>176</v>
      </c>
      <c r="C98">
        <f t="shared" si="1"/>
        <v>1.1074999999999999</v>
      </c>
    </row>
    <row r="99" spans="1:3" x14ac:dyDescent="0.2">
      <c r="A99" s="18" t="s">
        <v>182</v>
      </c>
      <c r="B99" s="3" t="s">
        <v>176</v>
      </c>
      <c r="C99">
        <f t="shared" si="1"/>
        <v>1.1074999999999999</v>
      </c>
    </row>
    <row r="100" spans="1:3" x14ac:dyDescent="0.2">
      <c r="A100" s="18" t="s">
        <v>183</v>
      </c>
      <c r="B100" s="3" t="s">
        <v>176</v>
      </c>
      <c r="C100">
        <f t="shared" si="1"/>
        <v>1.1074999999999999</v>
      </c>
    </row>
    <row r="101" spans="1:3" x14ac:dyDescent="0.2">
      <c r="A101" s="18" t="s">
        <v>184</v>
      </c>
      <c r="B101" s="3" t="s">
        <v>176</v>
      </c>
      <c r="C101">
        <f t="shared" si="1"/>
        <v>1.1074999999999999</v>
      </c>
    </row>
    <row r="102" spans="1:3" x14ac:dyDescent="0.2">
      <c r="A102" s="18" t="s">
        <v>185</v>
      </c>
      <c r="B102" s="3" t="s">
        <v>186</v>
      </c>
      <c r="C102">
        <f t="shared" si="1"/>
        <v>1.1373</v>
      </c>
    </row>
    <row r="103" spans="1:3" x14ac:dyDescent="0.2">
      <c r="A103" s="18" t="s">
        <v>187</v>
      </c>
      <c r="B103" s="3" t="s">
        <v>186</v>
      </c>
      <c r="C103">
        <f t="shared" si="1"/>
        <v>1.1373</v>
      </c>
    </row>
    <row r="104" spans="1:3" x14ac:dyDescent="0.2">
      <c r="A104" s="18" t="s">
        <v>188</v>
      </c>
      <c r="B104" s="3" t="s">
        <v>186</v>
      </c>
      <c r="C104">
        <f t="shared" si="1"/>
        <v>1.1373</v>
      </c>
    </row>
    <row r="105" spans="1:3" x14ac:dyDescent="0.2">
      <c r="A105" s="18" t="s">
        <v>189</v>
      </c>
      <c r="B105" s="3" t="s">
        <v>190</v>
      </c>
      <c r="C105">
        <f t="shared" si="1"/>
        <v>1.1269</v>
      </c>
    </row>
    <row r="106" spans="1:3" x14ac:dyDescent="0.2">
      <c r="A106" s="18" t="s">
        <v>191</v>
      </c>
      <c r="B106" s="3" t="s">
        <v>192</v>
      </c>
      <c r="C106">
        <f t="shared" si="1"/>
        <v>1.1312</v>
      </c>
    </row>
    <row r="107" spans="1:3" x14ac:dyDescent="0.2">
      <c r="A107" s="18" t="s">
        <v>193</v>
      </c>
      <c r="B107" s="3" t="s">
        <v>194</v>
      </c>
      <c r="C107">
        <f t="shared" si="1"/>
        <v>1.1348</v>
      </c>
    </row>
    <row r="108" spans="1:3" x14ac:dyDescent="0.2">
      <c r="A108" s="18" t="s">
        <v>195</v>
      </c>
      <c r="B108" s="3" t="s">
        <v>196</v>
      </c>
      <c r="C108">
        <f t="shared" si="1"/>
        <v>1.1378999999999999</v>
      </c>
    </row>
    <row r="109" spans="1:3" x14ac:dyDescent="0.2">
      <c r="A109" s="18" t="s">
        <v>197</v>
      </c>
      <c r="B109" s="3" t="s">
        <v>198</v>
      </c>
      <c r="C109">
        <f t="shared" si="1"/>
        <v>1.1431</v>
      </c>
    </row>
    <row r="110" spans="1:3" x14ac:dyDescent="0.2">
      <c r="A110" s="18" t="s">
        <v>199</v>
      </c>
      <c r="B110" s="3" t="s">
        <v>198</v>
      </c>
      <c r="C110">
        <f t="shared" si="1"/>
        <v>1.1431</v>
      </c>
    </row>
    <row r="111" spans="1:3" x14ac:dyDescent="0.2">
      <c r="A111" s="18" t="s">
        <v>200</v>
      </c>
      <c r="B111" s="3" t="s">
        <v>198</v>
      </c>
      <c r="C111">
        <f t="shared" si="1"/>
        <v>1.1431</v>
      </c>
    </row>
    <row r="112" spans="1:3" x14ac:dyDescent="0.2">
      <c r="A112" s="18" t="s">
        <v>201</v>
      </c>
      <c r="B112" s="3" t="s">
        <v>202</v>
      </c>
      <c r="C112">
        <f t="shared" si="1"/>
        <v>1.1501999999999999</v>
      </c>
    </row>
    <row r="113" spans="1:3" x14ac:dyDescent="0.2">
      <c r="A113" s="18" t="s">
        <v>203</v>
      </c>
      <c r="B113" s="3" t="s">
        <v>204</v>
      </c>
      <c r="C113">
        <f t="shared" si="1"/>
        <v>1.1546000000000001</v>
      </c>
    </row>
    <row r="114" spans="1:3" x14ac:dyDescent="0.2">
      <c r="A114" s="18" t="s">
        <v>205</v>
      </c>
      <c r="B114" s="3" t="s">
        <v>206</v>
      </c>
      <c r="C114">
        <f t="shared" si="1"/>
        <v>1.1548</v>
      </c>
    </row>
    <row r="115" spans="1:3" x14ac:dyDescent="0.2">
      <c r="A115" s="18" t="s">
        <v>207</v>
      </c>
      <c r="B115" s="3" t="s">
        <v>208</v>
      </c>
      <c r="C115">
        <f t="shared" si="1"/>
        <v>1.1544000000000001</v>
      </c>
    </row>
    <row r="116" spans="1:3" x14ac:dyDescent="0.2">
      <c r="A116" s="18" t="s">
        <v>209</v>
      </c>
      <c r="B116" s="3" t="s">
        <v>208</v>
      </c>
      <c r="C116">
        <f t="shared" si="1"/>
        <v>1.1544000000000001</v>
      </c>
    </row>
    <row r="117" spans="1:3" x14ac:dyDescent="0.2">
      <c r="A117" s="18" t="s">
        <v>210</v>
      </c>
      <c r="B117" s="3" t="s">
        <v>208</v>
      </c>
      <c r="C117">
        <f t="shared" si="1"/>
        <v>1.1544000000000001</v>
      </c>
    </row>
    <row r="118" spans="1:3" x14ac:dyDescent="0.2">
      <c r="A118" s="18" t="s">
        <v>211</v>
      </c>
      <c r="B118" s="3" t="s">
        <v>208</v>
      </c>
      <c r="C118">
        <f t="shared" si="1"/>
        <v>1.1544000000000001</v>
      </c>
    </row>
    <row r="119" spans="1:3" x14ac:dyDescent="0.2">
      <c r="A119" s="18" t="s">
        <v>212</v>
      </c>
      <c r="B119" s="3" t="s">
        <v>213</v>
      </c>
      <c r="C119">
        <f t="shared" si="1"/>
        <v>1.1563000000000001</v>
      </c>
    </row>
    <row r="120" spans="1:3" x14ac:dyDescent="0.2">
      <c r="A120" s="18" t="s">
        <v>214</v>
      </c>
      <c r="B120" s="3" t="s">
        <v>215</v>
      </c>
      <c r="C120">
        <f t="shared" si="1"/>
        <v>1.157</v>
      </c>
    </row>
    <row r="121" spans="1:3" x14ac:dyDescent="0.2">
      <c r="A121" s="18" t="s">
        <v>216</v>
      </c>
      <c r="B121" s="3" t="s">
        <v>217</v>
      </c>
      <c r="C121">
        <f t="shared" si="1"/>
        <v>1.1583000000000001</v>
      </c>
    </row>
    <row r="122" spans="1:3" x14ac:dyDescent="0.2">
      <c r="A122" s="18" t="s">
        <v>218</v>
      </c>
      <c r="B122" s="3" t="s">
        <v>219</v>
      </c>
      <c r="C122">
        <f t="shared" si="1"/>
        <v>1.1589</v>
      </c>
    </row>
    <row r="123" spans="1:3" x14ac:dyDescent="0.2">
      <c r="A123" s="18" t="s">
        <v>220</v>
      </c>
      <c r="B123" s="3" t="s">
        <v>221</v>
      </c>
      <c r="C123">
        <f t="shared" si="1"/>
        <v>1.1538999999999999</v>
      </c>
    </row>
    <row r="124" spans="1:3" x14ac:dyDescent="0.2">
      <c r="A124" s="18" t="s">
        <v>222</v>
      </c>
      <c r="B124" s="3" t="s">
        <v>221</v>
      </c>
      <c r="C124">
        <f t="shared" si="1"/>
        <v>1.1538999999999999</v>
      </c>
    </row>
    <row r="125" spans="1:3" x14ac:dyDescent="0.2">
      <c r="A125" s="18" t="s">
        <v>223</v>
      </c>
      <c r="B125" s="3" t="s">
        <v>221</v>
      </c>
      <c r="C125">
        <f t="shared" si="1"/>
        <v>1.1538999999999999</v>
      </c>
    </row>
    <row r="126" spans="1:3" x14ac:dyDescent="0.2">
      <c r="A126" s="18" t="s">
        <v>224</v>
      </c>
      <c r="B126" s="3" t="s">
        <v>225</v>
      </c>
      <c r="C126">
        <f t="shared" si="1"/>
        <v>1.1540999999999999</v>
      </c>
    </row>
    <row r="127" spans="1:3" x14ac:dyDescent="0.2">
      <c r="A127" s="18" t="s">
        <v>226</v>
      </c>
      <c r="B127" s="3" t="s">
        <v>227</v>
      </c>
      <c r="C127">
        <f t="shared" si="1"/>
        <v>1.1526000000000001</v>
      </c>
    </row>
    <row r="128" spans="1:3" x14ac:dyDescent="0.2">
      <c r="A128" s="18" t="s">
        <v>228</v>
      </c>
      <c r="B128" s="3" t="s">
        <v>219</v>
      </c>
      <c r="C128">
        <f t="shared" si="1"/>
        <v>1.1589</v>
      </c>
    </row>
    <row r="129" spans="1:3" x14ac:dyDescent="0.2">
      <c r="A129" s="18" t="s">
        <v>229</v>
      </c>
      <c r="B129" s="3" t="s">
        <v>230</v>
      </c>
      <c r="C129">
        <f t="shared" si="1"/>
        <v>1.1621999999999999</v>
      </c>
    </row>
    <row r="130" spans="1:3" x14ac:dyDescent="0.2">
      <c r="A130" s="18" t="s">
        <v>231</v>
      </c>
      <c r="B130" s="3" t="s">
        <v>232</v>
      </c>
      <c r="C130">
        <f t="shared" si="1"/>
        <v>1.1647000000000001</v>
      </c>
    </row>
    <row r="131" spans="1:3" x14ac:dyDescent="0.2">
      <c r="A131" s="18" t="s">
        <v>233</v>
      </c>
      <c r="B131" s="3" t="s">
        <v>232</v>
      </c>
      <c r="C131">
        <f t="shared" ref="C131:C194" si="2">B131*1</f>
        <v>1.1647000000000001</v>
      </c>
    </row>
    <row r="132" spans="1:3" x14ac:dyDescent="0.2">
      <c r="A132" s="18" t="s">
        <v>234</v>
      </c>
      <c r="B132" s="3" t="s">
        <v>232</v>
      </c>
      <c r="C132">
        <f t="shared" si="2"/>
        <v>1.1647000000000001</v>
      </c>
    </row>
    <row r="133" spans="1:3" x14ac:dyDescent="0.2">
      <c r="A133" s="18" t="s">
        <v>235</v>
      </c>
      <c r="B133" s="3" t="s">
        <v>236</v>
      </c>
      <c r="C133">
        <f t="shared" si="2"/>
        <v>1.1651</v>
      </c>
    </row>
    <row r="134" spans="1:3" x14ac:dyDescent="0.2">
      <c r="A134" s="18" t="s">
        <v>237</v>
      </c>
      <c r="B134" s="3" t="s">
        <v>238</v>
      </c>
      <c r="C134">
        <f t="shared" si="2"/>
        <v>1.1661999999999999</v>
      </c>
    </row>
    <row r="135" spans="1:3" x14ac:dyDescent="0.2">
      <c r="A135" s="18" t="s">
        <v>239</v>
      </c>
      <c r="B135" s="3" t="s">
        <v>240</v>
      </c>
      <c r="C135">
        <f t="shared" si="2"/>
        <v>1.1697</v>
      </c>
    </row>
    <row r="136" spans="1:3" x14ac:dyDescent="0.2">
      <c r="A136" s="18" t="s">
        <v>241</v>
      </c>
      <c r="B136" s="3" t="s">
        <v>242</v>
      </c>
      <c r="C136">
        <f t="shared" si="2"/>
        <v>1.1734</v>
      </c>
    </row>
    <row r="137" spans="1:3" x14ac:dyDescent="0.2">
      <c r="A137" s="18" t="s">
        <v>243</v>
      </c>
      <c r="B137" s="3" t="s">
        <v>244</v>
      </c>
      <c r="C137">
        <f t="shared" si="2"/>
        <v>1.165</v>
      </c>
    </row>
    <row r="138" spans="1:3" x14ac:dyDescent="0.2">
      <c r="A138" s="18" t="s">
        <v>245</v>
      </c>
      <c r="B138" s="3" t="s">
        <v>244</v>
      </c>
      <c r="C138">
        <f t="shared" si="2"/>
        <v>1.165</v>
      </c>
    </row>
    <row r="139" spans="1:3" x14ac:dyDescent="0.2">
      <c r="A139" s="18" t="s">
        <v>246</v>
      </c>
      <c r="B139" s="3" t="s">
        <v>244</v>
      </c>
      <c r="C139">
        <f t="shared" si="2"/>
        <v>1.165</v>
      </c>
    </row>
    <row r="140" spans="1:3" x14ac:dyDescent="0.2">
      <c r="A140" s="18" t="s">
        <v>247</v>
      </c>
      <c r="B140" s="3" t="s">
        <v>248</v>
      </c>
      <c r="C140">
        <f t="shared" si="2"/>
        <v>1.1682999999999999</v>
      </c>
    </row>
    <row r="141" spans="1:3" x14ac:dyDescent="0.2">
      <c r="A141" s="18" t="s">
        <v>249</v>
      </c>
      <c r="B141" s="3" t="s">
        <v>250</v>
      </c>
      <c r="C141">
        <f t="shared" si="2"/>
        <v>1.1712</v>
      </c>
    </row>
    <row r="142" spans="1:3" x14ac:dyDescent="0.2">
      <c r="A142" s="18" t="s">
        <v>251</v>
      </c>
      <c r="B142" s="3" t="s">
        <v>252</v>
      </c>
      <c r="C142">
        <f t="shared" si="2"/>
        <v>1.1707000000000001</v>
      </c>
    </row>
    <row r="143" spans="1:3" x14ac:dyDescent="0.2">
      <c r="A143" s="18" t="s">
        <v>253</v>
      </c>
      <c r="B143" s="3" t="s">
        <v>254</v>
      </c>
      <c r="C143">
        <f t="shared" si="2"/>
        <v>1.1704000000000001</v>
      </c>
    </row>
    <row r="144" spans="1:3" x14ac:dyDescent="0.2">
      <c r="A144" s="18" t="s">
        <v>255</v>
      </c>
      <c r="B144" s="3" t="s">
        <v>256</v>
      </c>
      <c r="C144">
        <f t="shared" si="2"/>
        <v>1.1747000000000001</v>
      </c>
    </row>
    <row r="145" spans="1:3" x14ac:dyDescent="0.2">
      <c r="A145" s="18" t="s">
        <v>257</v>
      </c>
      <c r="B145" s="3" t="s">
        <v>256</v>
      </c>
      <c r="C145">
        <f t="shared" si="2"/>
        <v>1.1747000000000001</v>
      </c>
    </row>
    <row r="146" spans="1:3" x14ac:dyDescent="0.2">
      <c r="A146" s="18" t="s">
        <v>258</v>
      </c>
      <c r="B146" s="3" t="s">
        <v>256</v>
      </c>
      <c r="C146">
        <f t="shared" si="2"/>
        <v>1.1747000000000001</v>
      </c>
    </row>
    <row r="147" spans="1:3" x14ac:dyDescent="0.2">
      <c r="A147" s="18" t="s">
        <v>259</v>
      </c>
      <c r="B147" s="3" t="s">
        <v>260</v>
      </c>
      <c r="C147">
        <f t="shared" si="2"/>
        <v>1.173</v>
      </c>
    </row>
    <row r="148" spans="1:3" x14ac:dyDescent="0.2">
      <c r="A148" s="18" t="s">
        <v>261</v>
      </c>
      <c r="B148" s="3" t="s">
        <v>262</v>
      </c>
      <c r="C148">
        <f t="shared" si="2"/>
        <v>1.1740999999999999</v>
      </c>
    </row>
    <row r="149" spans="1:3" x14ac:dyDescent="0.2">
      <c r="A149" s="18" t="s">
        <v>263</v>
      </c>
      <c r="B149" s="3" t="s">
        <v>264</v>
      </c>
      <c r="C149">
        <f t="shared" si="2"/>
        <v>1.1757</v>
      </c>
    </row>
    <row r="150" spans="1:3" x14ac:dyDescent="0.2">
      <c r="A150" s="18" t="s">
        <v>265</v>
      </c>
      <c r="B150" s="3" t="s">
        <v>266</v>
      </c>
      <c r="C150">
        <f t="shared" si="2"/>
        <v>1.1815</v>
      </c>
    </row>
    <row r="151" spans="1:3" x14ac:dyDescent="0.2">
      <c r="A151" s="18" t="s">
        <v>267</v>
      </c>
      <c r="B151" s="3" t="s">
        <v>268</v>
      </c>
      <c r="C151">
        <f t="shared" si="2"/>
        <v>1.1795</v>
      </c>
    </row>
    <row r="152" spans="1:3" x14ac:dyDescent="0.2">
      <c r="A152" s="18" t="s">
        <v>269</v>
      </c>
      <c r="B152" s="3" t="s">
        <v>268</v>
      </c>
      <c r="C152">
        <f t="shared" si="2"/>
        <v>1.1795</v>
      </c>
    </row>
    <row r="153" spans="1:3" x14ac:dyDescent="0.2">
      <c r="A153" s="18" t="s">
        <v>270</v>
      </c>
      <c r="B153" s="3" t="s">
        <v>268</v>
      </c>
      <c r="C153">
        <f t="shared" si="2"/>
        <v>1.1795</v>
      </c>
    </row>
    <row r="154" spans="1:3" x14ac:dyDescent="0.2">
      <c r="A154" s="18" t="s">
        <v>271</v>
      </c>
      <c r="B154" s="3" t="s">
        <v>272</v>
      </c>
      <c r="C154">
        <f t="shared" si="2"/>
        <v>1.1819999999999999</v>
      </c>
    </row>
    <row r="155" spans="1:3" x14ac:dyDescent="0.2">
      <c r="A155" s="18" t="s">
        <v>273</v>
      </c>
      <c r="B155" s="3" t="s">
        <v>274</v>
      </c>
      <c r="C155">
        <f t="shared" si="2"/>
        <v>1.1594</v>
      </c>
    </row>
    <row r="156" spans="1:3" x14ac:dyDescent="0.2">
      <c r="A156" s="18" t="s">
        <v>275</v>
      </c>
      <c r="B156" s="3" t="s">
        <v>276</v>
      </c>
      <c r="C156">
        <f t="shared" si="2"/>
        <v>1.1606000000000001</v>
      </c>
    </row>
    <row r="157" spans="1:3" x14ac:dyDescent="0.2">
      <c r="A157" s="18" t="s">
        <v>277</v>
      </c>
      <c r="B157" s="3" t="s">
        <v>278</v>
      </c>
      <c r="C157">
        <f t="shared" si="2"/>
        <v>1.1623000000000001</v>
      </c>
    </row>
    <row r="158" spans="1:3" x14ac:dyDescent="0.2">
      <c r="A158" s="18" t="s">
        <v>279</v>
      </c>
      <c r="B158" s="3" t="s">
        <v>280</v>
      </c>
      <c r="C158">
        <f t="shared" si="2"/>
        <v>1.1680999999999999</v>
      </c>
    </row>
    <row r="159" spans="1:3" x14ac:dyDescent="0.2">
      <c r="A159" s="18" t="s">
        <v>281</v>
      </c>
      <c r="B159" s="3" t="s">
        <v>280</v>
      </c>
      <c r="C159">
        <f t="shared" si="2"/>
        <v>1.1680999999999999</v>
      </c>
    </row>
    <row r="160" spans="1:3" x14ac:dyDescent="0.2">
      <c r="A160" s="18" t="s">
        <v>282</v>
      </c>
      <c r="B160" s="3" t="s">
        <v>280</v>
      </c>
      <c r="C160">
        <f t="shared" si="2"/>
        <v>1.1680999999999999</v>
      </c>
    </row>
    <row r="161" spans="1:3" x14ac:dyDescent="0.2">
      <c r="A161" s="18" t="s">
        <v>283</v>
      </c>
      <c r="B161" s="3" t="s">
        <v>284</v>
      </c>
      <c r="C161">
        <f t="shared" si="2"/>
        <v>1.1741999999999999</v>
      </c>
    </row>
    <row r="162" spans="1:3" x14ac:dyDescent="0.2">
      <c r="A162" s="18" t="s">
        <v>285</v>
      </c>
      <c r="B162" s="3" t="s">
        <v>286</v>
      </c>
      <c r="C162">
        <f t="shared" si="2"/>
        <v>1.1779999999999999</v>
      </c>
    </row>
    <row r="163" spans="1:3" x14ac:dyDescent="0.2">
      <c r="A163" s="18" t="s">
        <v>287</v>
      </c>
      <c r="B163" s="3" t="s">
        <v>288</v>
      </c>
      <c r="C163">
        <f t="shared" si="2"/>
        <v>1.1846000000000001</v>
      </c>
    </row>
    <row r="164" spans="1:3" x14ac:dyDescent="0.2">
      <c r="A164" s="18" t="s">
        <v>289</v>
      </c>
      <c r="B164" s="3" t="s">
        <v>290</v>
      </c>
      <c r="C164">
        <f t="shared" si="2"/>
        <v>1.1898</v>
      </c>
    </row>
    <row r="165" spans="1:3" x14ac:dyDescent="0.2">
      <c r="A165" s="18" t="s">
        <v>291</v>
      </c>
      <c r="B165" s="3" t="s">
        <v>292</v>
      </c>
      <c r="C165">
        <f t="shared" si="2"/>
        <v>1.1889000000000001</v>
      </c>
    </row>
    <row r="166" spans="1:3" x14ac:dyDescent="0.2">
      <c r="A166" s="18" t="s">
        <v>293</v>
      </c>
      <c r="B166" s="3" t="s">
        <v>292</v>
      </c>
      <c r="C166">
        <f t="shared" si="2"/>
        <v>1.1889000000000001</v>
      </c>
    </row>
    <row r="167" spans="1:3" x14ac:dyDescent="0.2">
      <c r="A167" s="18" t="s">
        <v>294</v>
      </c>
      <c r="B167" s="3" t="s">
        <v>292</v>
      </c>
      <c r="C167">
        <f t="shared" si="2"/>
        <v>1.1889000000000001</v>
      </c>
    </row>
    <row r="168" spans="1:3" x14ac:dyDescent="0.2">
      <c r="A168" s="18" t="s">
        <v>295</v>
      </c>
      <c r="B168" s="3" t="s">
        <v>296</v>
      </c>
      <c r="C168">
        <f t="shared" si="2"/>
        <v>1.1944999999999999</v>
      </c>
    </row>
    <row r="169" spans="1:3" x14ac:dyDescent="0.2">
      <c r="A169" s="18" t="s">
        <v>297</v>
      </c>
      <c r="B169" s="3" t="s">
        <v>298</v>
      </c>
      <c r="C169">
        <f t="shared" si="2"/>
        <v>1.1942999999999999</v>
      </c>
    </row>
    <row r="170" spans="1:3" x14ac:dyDescent="0.2">
      <c r="A170" s="18" t="s">
        <v>299</v>
      </c>
      <c r="B170" s="3" t="s">
        <v>300</v>
      </c>
      <c r="C170">
        <f t="shared" si="2"/>
        <v>1.1955</v>
      </c>
    </row>
    <row r="171" spans="1:3" x14ac:dyDescent="0.2">
      <c r="A171" s="18" t="s">
        <v>301</v>
      </c>
      <c r="B171" s="3" t="s">
        <v>302</v>
      </c>
      <c r="C171">
        <f t="shared" si="2"/>
        <v>1.1935</v>
      </c>
    </row>
    <row r="172" spans="1:3" x14ac:dyDescent="0.2">
      <c r="A172" s="18" t="s">
        <v>303</v>
      </c>
      <c r="B172" s="3" t="s">
        <v>304</v>
      </c>
      <c r="C172">
        <f t="shared" si="2"/>
        <v>1.1968000000000001</v>
      </c>
    </row>
    <row r="173" spans="1:3" x14ac:dyDescent="0.2">
      <c r="A173" s="18" t="s">
        <v>305</v>
      </c>
      <c r="B173" s="3" t="s">
        <v>304</v>
      </c>
      <c r="C173">
        <f t="shared" si="2"/>
        <v>1.1968000000000001</v>
      </c>
    </row>
    <row r="174" spans="1:3" x14ac:dyDescent="0.2">
      <c r="A174" s="18" t="s">
        <v>306</v>
      </c>
      <c r="B174" s="3" t="s">
        <v>304</v>
      </c>
      <c r="C174">
        <f t="shared" si="2"/>
        <v>1.1968000000000001</v>
      </c>
    </row>
    <row r="175" spans="1:3" x14ac:dyDescent="0.2">
      <c r="A175" s="18" t="s">
        <v>307</v>
      </c>
      <c r="B175" s="3" t="s">
        <v>308</v>
      </c>
      <c r="C175">
        <f t="shared" si="2"/>
        <v>1.1938</v>
      </c>
    </row>
    <row r="176" spans="1:3" x14ac:dyDescent="0.2">
      <c r="A176" s="18" t="s">
        <v>309</v>
      </c>
      <c r="B176" s="3" t="s">
        <v>310</v>
      </c>
      <c r="C176">
        <f t="shared" si="2"/>
        <v>1.1933</v>
      </c>
    </row>
    <row r="177" spans="1:3" x14ac:dyDescent="0.2">
      <c r="A177" s="18" t="s">
        <v>311</v>
      </c>
      <c r="B177" s="3" t="s">
        <v>312</v>
      </c>
      <c r="C177">
        <f t="shared" si="2"/>
        <v>1.1949000000000001</v>
      </c>
    </row>
    <row r="178" spans="1:3" x14ac:dyDescent="0.2">
      <c r="A178" s="18" t="s">
        <v>313</v>
      </c>
      <c r="B178" s="3" t="s">
        <v>314</v>
      </c>
      <c r="C178">
        <f t="shared" si="2"/>
        <v>1.1973</v>
      </c>
    </row>
    <row r="179" spans="1:3" x14ac:dyDescent="0.2">
      <c r="A179" s="18" t="s">
        <v>315</v>
      </c>
      <c r="B179" s="3" t="s">
        <v>316</v>
      </c>
      <c r="C179">
        <f t="shared" si="2"/>
        <v>1.1977</v>
      </c>
    </row>
    <row r="180" spans="1:3" x14ac:dyDescent="0.2">
      <c r="A180" s="18" t="s">
        <v>317</v>
      </c>
      <c r="B180" s="3" t="s">
        <v>316</v>
      </c>
      <c r="C180">
        <f t="shared" si="2"/>
        <v>1.1977</v>
      </c>
    </row>
    <row r="181" spans="1:3" x14ac:dyDescent="0.2">
      <c r="A181" s="18" t="s">
        <v>318</v>
      </c>
      <c r="B181" s="3" t="s">
        <v>316</v>
      </c>
      <c r="C181">
        <f t="shared" si="2"/>
        <v>1.1977</v>
      </c>
    </row>
    <row r="182" spans="1:3" x14ac:dyDescent="0.2">
      <c r="A182" s="18" t="s">
        <v>319</v>
      </c>
      <c r="B182" s="3" t="s">
        <v>320</v>
      </c>
      <c r="C182">
        <f t="shared" si="2"/>
        <v>1.1994</v>
      </c>
    </row>
    <row r="183" spans="1:3" x14ac:dyDescent="0.2">
      <c r="A183" s="18" t="s">
        <v>321</v>
      </c>
      <c r="B183" s="3" t="s">
        <v>322</v>
      </c>
      <c r="C183">
        <f t="shared" si="2"/>
        <v>1.1987000000000001</v>
      </c>
    </row>
    <row r="184" spans="1:3" x14ac:dyDescent="0.2">
      <c r="A184" s="18" t="s">
        <v>323</v>
      </c>
      <c r="B184" s="3" t="s">
        <v>324</v>
      </c>
      <c r="C184">
        <f t="shared" si="2"/>
        <v>1.1971000000000001</v>
      </c>
    </row>
    <row r="185" spans="1:3" x14ac:dyDescent="0.2">
      <c r="A185" s="18" t="s">
        <v>325</v>
      </c>
      <c r="B185" s="3" t="s">
        <v>326</v>
      </c>
      <c r="C185">
        <f t="shared" si="2"/>
        <v>1.1950000000000001</v>
      </c>
    </row>
    <row r="186" spans="1:3" x14ac:dyDescent="0.2">
      <c r="A186" s="18" t="s">
        <v>327</v>
      </c>
      <c r="B186" s="3" t="s">
        <v>326</v>
      </c>
      <c r="C186">
        <f t="shared" si="2"/>
        <v>1.1950000000000001</v>
      </c>
    </row>
    <row r="187" spans="1:3" x14ac:dyDescent="0.2">
      <c r="A187" s="18" t="s">
        <v>328</v>
      </c>
      <c r="B187" s="3" t="s">
        <v>326</v>
      </c>
      <c r="C187">
        <f t="shared" si="2"/>
        <v>1.1950000000000001</v>
      </c>
    </row>
    <row r="188" spans="1:3" x14ac:dyDescent="0.2">
      <c r="A188" s="18" t="s">
        <v>329</v>
      </c>
      <c r="B188" s="3" t="s">
        <v>326</v>
      </c>
      <c r="C188">
        <f t="shared" si="2"/>
        <v>1.1950000000000001</v>
      </c>
    </row>
    <row r="189" spans="1:3" x14ac:dyDescent="0.2">
      <c r="A189" s="18" t="s">
        <v>330</v>
      </c>
      <c r="B189" s="3" t="s">
        <v>331</v>
      </c>
      <c r="C189">
        <f t="shared" si="2"/>
        <v>1.1967000000000001</v>
      </c>
    </row>
    <row r="190" spans="1:3" x14ac:dyDescent="0.2">
      <c r="A190" s="18" t="s">
        <v>332</v>
      </c>
      <c r="B190" s="3" t="s">
        <v>333</v>
      </c>
      <c r="C190">
        <f t="shared" si="2"/>
        <v>1.1969000000000001</v>
      </c>
    </row>
    <row r="191" spans="1:3" x14ac:dyDescent="0.2">
      <c r="A191" s="18" t="s">
        <v>334</v>
      </c>
      <c r="B191" s="3" t="s">
        <v>335</v>
      </c>
      <c r="C191">
        <f t="shared" si="2"/>
        <v>1.1929000000000001</v>
      </c>
    </row>
    <row r="192" spans="1:3" x14ac:dyDescent="0.2">
      <c r="A192" s="18" t="s">
        <v>336</v>
      </c>
      <c r="B192" s="3" t="s">
        <v>337</v>
      </c>
      <c r="C192">
        <f t="shared" si="2"/>
        <v>1.1617</v>
      </c>
    </row>
    <row r="193" spans="1:3" x14ac:dyDescent="0.2">
      <c r="A193" s="18" t="s">
        <v>338</v>
      </c>
      <c r="B193" s="3" t="s">
        <v>339</v>
      </c>
      <c r="C193">
        <f t="shared" si="2"/>
        <v>1.1632</v>
      </c>
    </row>
    <row r="194" spans="1:3" x14ac:dyDescent="0.2">
      <c r="A194" s="18" t="s">
        <v>340</v>
      </c>
      <c r="B194" s="3" t="s">
        <v>339</v>
      </c>
      <c r="C194">
        <f t="shared" si="2"/>
        <v>1.1632</v>
      </c>
    </row>
    <row r="195" spans="1:3" x14ac:dyDescent="0.2">
      <c r="A195" s="18" t="s">
        <v>341</v>
      </c>
      <c r="B195" s="3" t="s">
        <v>339</v>
      </c>
      <c r="C195">
        <f t="shared" ref="C195:C246" si="3">B195*1</f>
        <v>1.1632</v>
      </c>
    </row>
    <row r="196" spans="1:3" x14ac:dyDescent="0.2">
      <c r="A196" s="18" t="s">
        <v>342</v>
      </c>
      <c r="B196" s="3" t="s">
        <v>343</v>
      </c>
      <c r="C196">
        <f t="shared" si="3"/>
        <v>1.1733</v>
      </c>
    </row>
    <row r="197" spans="1:3" x14ac:dyDescent="0.2">
      <c r="A197" s="18" t="s">
        <v>344</v>
      </c>
      <c r="B197" s="3" t="s">
        <v>345</v>
      </c>
      <c r="C197">
        <f t="shared" si="3"/>
        <v>1.1286</v>
      </c>
    </row>
    <row r="198" spans="1:3" x14ac:dyDescent="0.2">
      <c r="A198" s="18" t="s">
        <v>346</v>
      </c>
      <c r="B198" s="3" t="s">
        <v>347</v>
      </c>
      <c r="C198">
        <f t="shared" si="3"/>
        <v>1.1236999999999999</v>
      </c>
    </row>
    <row r="199" spans="1:3" x14ac:dyDescent="0.2">
      <c r="A199" s="18" t="s">
        <v>348</v>
      </c>
      <c r="B199" s="3" t="s">
        <v>349</v>
      </c>
      <c r="C199">
        <f t="shared" si="3"/>
        <v>1.1174999999999999</v>
      </c>
    </row>
    <row r="200" spans="1:3" x14ac:dyDescent="0.2">
      <c r="A200" s="18" t="s">
        <v>350</v>
      </c>
      <c r="B200" s="3" t="s">
        <v>152</v>
      </c>
      <c r="C200">
        <f t="shared" si="3"/>
        <v>1.1311</v>
      </c>
    </row>
    <row r="201" spans="1:3" x14ac:dyDescent="0.2">
      <c r="A201" s="18" t="s">
        <v>351</v>
      </c>
      <c r="B201" s="3" t="s">
        <v>152</v>
      </c>
      <c r="C201">
        <f t="shared" si="3"/>
        <v>1.1311</v>
      </c>
    </row>
    <row r="202" spans="1:3" x14ac:dyDescent="0.2">
      <c r="A202" s="18" t="s">
        <v>352</v>
      </c>
      <c r="B202" s="3" t="s">
        <v>152</v>
      </c>
      <c r="C202">
        <f t="shared" si="3"/>
        <v>1.1311</v>
      </c>
    </row>
    <row r="203" spans="1:3" x14ac:dyDescent="0.2">
      <c r="A203" s="18" t="s">
        <v>353</v>
      </c>
      <c r="B203" s="3" t="s">
        <v>354</v>
      </c>
      <c r="C203">
        <f t="shared" si="3"/>
        <v>1.1369</v>
      </c>
    </row>
    <row r="204" spans="1:3" x14ac:dyDescent="0.2">
      <c r="A204" s="18" t="s">
        <v>355</v>
      </c>
      <c r="B204" s="3" t="s">
        <v>356</v>
      </c>
      <c r="C204">
        <f t="shared" si="3"/>
        <v>1.1338999999999999</v>
      </c>
    </row>
    <row r="205" spans="1:3" x14ac:dyDescent="0.2">
      <c r="A205" s="18" t="s">
        <v>357</v>
      </c>
      <c r="B205" s="3" t="s">
        <v>358</v>
      </c>
      <c r="C205">
        <f t="shared" si="3"/>
        <v>1.1345000000000001</v>
      </c>
    </row>
    <row r="206" spans="1:3" x14ac:dyDescent="0.2">
      <c r="A206" s="18" t="s">
        <v>359</v>
      </c>
      <c r="B206" s="3" t="s">
        <v>360</v>
      </c>
      <c r="C206">
        <f t="shared" si="3"/>
        <v>1.1318999999999999</v>
      </c>
    </row>
    <row r="207" spans="1:3" x14ac:dyDescent="0.2">
      <c r="A207" s="18" t="s">
        <v>361</v>
      </c>
      <c r="B207" s="3" t="s">
        <v>362</v>
      </c>
      <c r="C207">
        <f t="shared" si="3"/>
        <v>1.1414</v>
      </c>
    </row>
    <row r="208" spans="1:3" x14ac:dyDescent="0.2">
      <c r="A208" s="18" t="s">
        <v>363</v>
      </c>
      <c r="B208" s="3" t="s">
        <v>364</v>
      </c>
      <c r="C208">
        <f t="shared" si="3"/>
        <v>1.1413</v>
      </c>
    </row>
    <row r="209" spans="1:3" x14ac:dyDescent="0.2">
      <c r="A209" s="18" t="s">
        <v>365</v>
      </c>
      <c r="B209" s="3" t="s">
        <v>364</v>
      </c>
      <c r="C209">
        <f t="shared" si="3"/>
        <v>1.1413</v>
      </c>
    </row>
    <row r="210" spans="1:3" x14ac:dyDescent="0.2">
      <c r="A210" s="18" t="s">
        <v>366</v>
      </c>
      <c r="B210" s="3" t="s">
        <v>367</v>
      </c>
      <c r="C210">
        <f t="shared" si="3"/>
        <v>1.1435999999999999</v>
      </c>
    </row>
    <row r="211" spans="1:3" x14ac:dyDescent="0.2">
      <c r="A211" s="18" t="s">
        <v>368</v>
      </c>
      <c r="B211" s="3" t="s">
        <v>369</v>
      </c>
      <c r="C211">
        <f t="shared" si="3"/>
        <v>1.1422000000000001</v>
      </c>
    </row>
    <row r="212" spans="1:3" x14ac:dyDescent="0.2">
      <c r="A212" s="18" t="s">
        <v>370</v>
      </c>
      <c r="B212" s="3" t="s">
        <v>371</v>
      </c>
      <c r="C212">
        <f t="shared" si="3"/>
        <v>1.143</v>
      </c>
    </row>
    <row r="213" spans="1:3" x14ac:dyDescent="0.2">
      <c r="A213" s="18" t="s">
        <v>372</v>
      </c>
      <c r="B213" s="3" t="s">
        <v>373</v>
      </c>
      <c r="C213">
        <f t="shared" si="3"/>
        <v>1.1354</v>
      </c>
    </row>
    <row r="214" spans="1:3" x14ac:dyDescent="0.2">
      <c r="A214" s="18" t="s">
        <v>374</v>
      </c>
      <c r="B214" s="3" t="s">
        <v>375</v>
      </c>
      <c r="C214">
        <f t="shared" si="3"/>
        <v>1.1259999999999999</v>
      </c>
    </row>
    <row r="215" spans="1:3" x14ac:dyDescent="0.2">
      <c r="A215" s="18" t="s">
        <v>376</v>
      </c>
      <c r="B215" s="3" t="s">
        <v>375</v>
      </c>
      <c r="C215">
        <f t="shared" si="3"/>
        <v>1.1259999999999999</v>
      </c>
    </row>
    <row r="216" spans="1:3" x14ac:dyDescent="0.2">
      <c r="A216" s="18" t="s">
        <v>377</v>
      </c>
      <c r="B216" s="3" t="s">
        <v>375</v>
      </c>
      <c r="C216">
        <f t="shared" si="3"/>
        <v>1.1259999999999999</v>
      </c>
    </row>
    <row r="217" spans="1:3" x14ac:dyDescent="0.2">
      <c r="A217" s="18" t="s">
        <v>378</v>
      </c>
      <c r="B217" s="3" t="s">
        <v>192</v>
      </c>
      <c r="C217">
        <f t="shared" si="3"/>
        <v>1.1312</v>
      </c>
    </row>
    <row r="218" spans="1:3" x14ac:dyDescent="0.2">
      <c r="A218" s="18" t="s">
        <v>379</v>
      </c>
      <c r="B218" s="3" t="s">
        <v>362</v>
      </c>
      <c r="C218">
        <f t="shared" si="3"/>
        <v>1.1414</v>
      </c>
    </row>
    <row r="219" spans="1:3" x14ac:dyDescent="0.2">
      <c r="A219" s="18" t="s">
        <v>380</v>
      </c>
      <c r="B219" s="3" t="s">
        <v>381</v>
      </c>
      <c r="C219">
        <f t="shared" si="3"/>
        <v>1.1475</v>
      </c>
    </row>
    <row r="220" spans="1:3" x14ac:dyDescent="0.2">
      <c r="A220" s="3" t="s">
        <v>382</v>
      </c>
      <c r="B220" s="3" t="s">
        <v>383</v>
      </c>
      <c r="C220">
        <f t="shared" si="3"/>
        <v>1.149</v>
      </c>
    </row>
    <row r="221" spans="1:3" x14ac:dyDescent="0.2">
      <c r="A221" s="3" t="s">
        <v>384</v>
      </c>
      <c r="B221" s="3" t="s">
        <v>208</v>
      </c>
      <c r="C221">
        <f t="shared" si="3"/>
        <v>1.1544000000000001</v>
      </c>
    </row>
    <row r="222" spans="1:3" x14ac:dyDescent="0.2">
      <c r="A222" s="3" t="s">
        <v>385</v>
      </c>
      <c r="B222" s="3" t="s">
        <v>386</v>
      </c>
      <c r="C222">
        <f t="shared" si="3"/>
        <v>1.1543000000000001</v>
      </c>
    </row>
    <row r="223" spans="1:3" x14ac:dyDescent="0.2">
      <c r="A223" s="3" t="s">
        <v>387</v>
      </c>
      <c r="B223" s="3" t="s">
        <v>386</v>
      </c>
      <c r="C223">
        <f t="shared" si="3"/>
        <v>1.1543000000000001</v>
      </c>
    </row>
    <row r="224" spans="1:3" x14ac:dyDescent="0.2">
      <c r="A224" s="3" t="s">
        <v>388</v>
      </c>
      <c r="B224" s="3" t="s">
        <v>389</v>
      </c>
      <c r="C224">
        <f t="shared" si="3"/>
        <v>1.1607000000000001</v>
      </c>
    </row>
    <row r="225" spans="1:3" x14ac:dyDescent="0.2">
      <c r="A225" s="3" t="s">
        <v>390</v>
      </c>
      <c r="B225" s="3" t="s">
        <v>391</v>
      </c>
      <c r="C225">
        <f t="shared" si="3"/>
        <v>1.1580999999999999</v>
      </c>
    </row>
    <row r="226" spans="1:3" x14ac:dyDescent="0.2">
      <c r="A226" s="3" t="s">
        <v>392</v>
      </c>
      <c r="B226" s="3" t="s">
        <v>383</v>
      </c>
      <c r="C226">
        <f t="shared" si="3"/>
        <v>1.149</v>
      </c>
    </row>
    <row r="227" spans="1:3" x14ac:dyDescent="0.2">
      <c r="A227" s="3" t="s">
        <v>393</v>
      </c>
      <c r="B227" s="3" t="s">
        <v>383</v>
      </c>
      <c r="C227">
        <f t="shared" si="3"/>
        <v>1.149</v>
      </c>
    </row>
    <row r="228" spans="1:3" x14ac:dyDescent="0.2">
      <c r="A228" s="3" t="s">
        <v>394</v>
      </c>
      <c r="B228" s="3" t="s">
        <v>395</v>
      </c>
      <c r="C228">
        <f t="shared" si="3"/>
        <v>1.1489</v>
      </c>
    </row>
    <row r="229" spans="1:3" x14ac:dyDescent="0.2">
      <c r="A229" s="3" t="s">
        <v>396</v>
      </c>
      <c r="B229" s="3" t="s">
        <v>395</v>
      </c>
      <c r="C229">
        <f t="shared" si="3"/>
        <v>1.1489</v>
      </c>
    </row>
    <row r="230" spans="1:3" x14ac:dyDescent="0.2">
      <c r="A230" s="3" t="s">
        <v>397</v>
      </c>
      <c r="B230" s="3" t="s">
        <v>395</v>
      </c>
      <c r="C230">
        <f t="shared" si="3"/>
        <v>1.1489</v>
      </c>
    </row>
    <row r="231" spans="1:3" x14ac:dyDescent="0.2">
      <c r="A231" s="3" t="s">
        <v>398</v>
      </c>
      <c r="B231" s="3" t="s">
        <v>395</v>
      </c>
      <c r="C231">
        <f t="shared" si="3"/>
        <v>1.1489</v>
      </c>
    </row>
    <row r="232" spans="1:3" x14ac:dyDescent="0.2">
      <c r="A232" s="3" t="s">
        <v>399</v>
      </c>
      <c r="B232" s="3" t="s">
        <v>395</v>
      </c>
      <c r="C232">
        <f t="shared" si="3"/>
        <v>1.1489</v>
      </c>
    </row>
    <row r="233" spans="1:3" x14ac:dyDescent="0.2">
      <c r="A233" s="3" t="s">
        <v>400</v>
      </c>
      <c r="B233" s="3" t="s">
        <v>395</v>
      </c>
      <c r="C233">
        <f t="shared" si="3"/>
        <v>1.1489</v>
      </c>
    </row>
    <row r="234" spans="1:3" x14ac:dyDescent="0.2">
      <c r="A234" s="3" t="s">
        <v>401</v>
      </c>
      <c r="B234" s="3" t="s">
        <v>391</v>
      </c>
      <c r="C234">
        <f t="shared" si="3"/>
        <v>1.1580999999999999</v>
      </c>
    </row>
    <row r="235" spans="1:3" x14ac:dyDescent="0.2">
      <c r="A235" s="3" t="s">
        <v>402</v>
      </c>
      <c r="B235" s="3" t="s">
        <v>403</v>
      </c>
      <c r="C235">
        <f t="shared" si="3"/>
        <v>1.1758</v>
      </c>
    </row>
    <row r="236" spans="1:3" x14ac:dyDescent="0.2">
      <c r="A236" s="3" t="s">
        <v>404</v>
      </c>
      <c r="B236" s="3" t="s">
        <v>403</v>
      </c>
      <c r="C236">
        <f t="shared" si="3"/>
        <v>1.1758</v>
      </c>
    </row>
    <row r="237" spans="1:3" x14ac:dyDescent="0.2">
      <c r="A237" s="3" t="s">
        <v>405</v>
      </c>
      <c r="B237" s="3" t="s">
        <v>403</v>
      </c>
      <c r="C237">
        <f t="shared" si="3"/>
        <v>1.1758</v>
      </c>
    </row>
    <row r="238" spans="1:3" x14ac:dyDescent="0.2">
      <c r="A238" s="3" t="s">
        <v>406</v>
      </c>
      <c r="B238" s="3" t="s">
        <v>250</v>
      </c>
      <c r="C238">
        <f t="shared" si="3"/>
        <v>1.1712</v>
      </c>
    </row>
    <row r="239" spans="1:3" x14ac:dyDescent="0.2">
      <c r="A239" s="3" t="s">
        <v>407</v>
      </c>
      <c r="B239" s="3" t="s">
        <v>408</v>
      </c>
      <c r="C239">
        <f t="shared" si="3"/>
        <v>1.1716</v>
      </c>
    </row>
    <row r="240" spans="1:3" x14ac:dyDescent="0.2">
      <c r="A240" s="3" t="s">
        <v>409</v>
      </c>
      <c r="B240" s="3" t="s">
        <v>410</v>
      </c>
      <c r="C240">
        <f t="shared" si="3"/>
        <v>1.1658999999999999</v>
      </c>
    </row>
    <row r="241" spans="1:3" x14ac:dyDescent="0.2">
      <c r="A241" s="3" t="s">
        <v>411</v>
      </c>
      <c r="B241" s="3" t="s">
        <v>412</v>
      </c>
      <c r="C241">
        <f t="shared" si="3"/>
        <v>1.1754</v>
      </c>
    </row>
    <row r="242" spans="1:3" x14ac:dyDescent="0.2">
      <c r="A242" s="3" t="s">
        <v>413</v>
      </c>
      <c r="B242" s="3" t="s">
        <v>414</v>
      </c>
      <c r="C242">
        <f t="shared" si="3"/>
        <v>1.1591</v>
      </c>
    </row>
    <row r="243" spans="1:3" x14ac:dyDescent="0.2">
      <c r="A243" s="3" t="s">
        <v>415</v>
      </c>
      <c r="B243" s="3" t="s">
        <v>414</v>
      </c>
      <c r="C243">
        <f t="shared" si="3"/>
        <v>1.1591</v>
      </c>
    </row>
    <row r="244" spans="1:3" x14ac:dyDescent="0.2">
      <c r="A244" s="3" t="s">
        <v>416</v>
      </c>
      <c r="B244" s="3" t="s">
        <v>414</v>
      </c>
      <c r="C244">
        <f t="shared" si="3"/>
        <v>1.1591</v>
      </c>
    </row>
    <row r="245" spans="1:3" x14ac:dyDescent="0.2">
      <c r="A245" s="3" t="s">
        <v>417</v>
      </c>
      <c r="B245" s="3" t="s">
        <v>418</v>
      </c>
      <c r="C245">
        <f t="shared" si="3"/>
        <v>1.1879999999999999</v>
      </c>
    </row>
    <row r="246" spans="1:3" x14ac:dyDescent="0.2">
      <c r="A246" s="3" t="s">
        <v>419</v>
      </c>
      <c r="B246" s="3" t="s">
        <v>420</v>
      </c>
      <c r="C246">
        <f t="shared" si="3"/>
        <v>1.1897</v>
      </c>
    </row>
    <row r="247" spans="1:3" x14ac:dyDescent="0.2">
      <c r="A247" s="3" t="s">
        <v>421</v>
      </c>
      <c r="B247" s="3" t="s">
        <v>422</v>
      </c>
      <c r="C247">
        <f>B247*1</f>
        <v>1.1916</v>
      </c>
    </row>
    <row r="248" spans="1:3" x14ac:dyDescent="0.2">
      <c r="A248" s="3" t="s">
        <v>426</v>
      </c>
      <c r="B248" s="3" t="s">
        <v>427</v>
      </c>
      <c r="C248">
        <f t="shared" ref="C248:C311" si="4">B248*1</f>
        <v>1.1836</v>
      </c>
    </row>
    <row r="249" spans="1:3" x14ac:dyDescent="0.2">
      <c r="A249" s="3" t="s">
        <v>428</v>
      </c>
      <c r="B249" s="3" t="s">
        <v>429</v>
      </c>
      <c r="C249">
        <f t="shared" si="4"/>
        <v>1.1840999999999999</v>
      </c>
    </row>
    <row r="250" spans="1:3" x14ac:dyDescent="0.2">
      <c r="A250" s="3" t="s">
        <v>430</v>
      </c>
      <c r="B250" s="3" t="s">
        <v>429</v>
      </c>
      <c r="C250">
        <f t="shared" si="4"/>
        <v>1.1840999999999999</v>
      </c>
    </row>
    <row r="251" spans="1:3" x14ac:dyDescent="0.2">
      <c r="A251" s="3" t="s">
        <v>431</v>
      </c>
      <c r="B251" s="3" t="s">
        <v>429</v>
      </c>
      <c r="C251">
        <f t="shared" si="4"/>
        <v>1.1840999999999999</v>
      </c>
    </row>
    <row r="252" spans="1:3" x14ac:dyDescent="0.2">
      <c r="A252" s="3" t="s">
        <v>432</v>
      </c>
      <c r="B252" s="3" t="s">
        <v>433</v>
      </c>
      <c r="C252">
        <f t="shared" si="4"/>
        <v>1.1415</v>
      </c>
    </row>
    <row r="253" spans="1:3" x14ac:dyDescent="0.2">
      <c r="A253" s="3" t="s">
        <v>434</v>
      </c>
      <c r="B253" s="3" t="s">
        <v>435</v>
      </c>
      <c r="C253">
        <f t="shared" si="4"/>
        <v>1.1465000000000001</v>
      </c>
    </row>
    <row r="254" spans="1:3" x14ac:dyDescent="0.2">
      <c r="A254" s="3" t="s">
        <v>436</v>
      </c>
      <c r="B254" s="3" t="s">
        <v>437</v>
      </c>
      <c r="C254">
        <f t="shared" si="4"/>
        <v>1.1516</v>
      </c>
    </row>
    <row r="255" spans="1:3" x14ac:dyDescent="0.2">
      <c r="A255" s="3" t="s">
        <v>438</v>
      </c>
      <c r="B255" s="3" t="s">
        <v>439</v>
      </c>
      <c r="C255">
        <f t="shared" si="4"/>
        <v>1.1781999999999999</v>
      </c>
    </row>
    <row r="256" spans="1:3" x14ac:dyDescent="0.2">
      <c r="A256" s="3" t="s">
        <v>440</v>
      </c>
      <c r="B256" s="3" t="s">
        <v>288</v>
      </c>
      <c r="C256">
        <f t="shared" si="4"/>
        <v>1.1846000000000001</v>
      </c>
    </row>
    <row r="257" spans="1:3" x14ac:dyDescent="0.2">
      <c r="A257" s="3" t="s">
        <v>441</v>
      </c>
      <c r="B257" s="3" t="s">
        <v>288</v>
      </c>
      <c r="C257">
        <f t="shared" si="4"/>
        <v>1.1846000000000001</v>
      </c>
    </row>
    <row r="258" spans="1:3" x14ac:dyDescent="0.2">
      <c r="A258" s="3" t="s">
        <v>442</v>
      </c>
      <c r="B258" s="3" t="s">
        <v>288</v>
      </c>
      <c r="C258">
        <f t="shared" si="4"/>
        <v>1.1846000000000001</v>
      </c>
    </row>
    <row r="259" spans="1:3" x14ac:dyDescent="0.2">
      <c r="A259" s="3" t="s">
        <v>443</v>
      </c>
      <c r="B259" s="3" t="s">
        <v>266</v>
      </c>
      <c r="C259">
        <f t="shared" si="4"/>
        <v>1.1815</v>
      </c>
    </row>
    <row r="260" spans="1:3" x14ac:dyDescent="0.2">
      <c r="A260" s="3" t="s">
        <v>444</v>
      </c>
      <c r="B260" s="3" t="s">
        <v>288</v>
      </c>
      <c r="C260">
        <f t="shared" si="4"/>
        <v>1.1846000000000001</v>
      </c>
    </row>
    <row r="261" spans="1:3" x14ac:dyDescent="0.2">
      <c r="A261" s="3" t="s">
        <v>445</v>
      </c>
      <c r="B261" s="3" t="s">
        <v>446</v>
      </c>
      <c r="C261">
        <f t="shared" si="4"/>
        <v>1.1812</v>
      </c>
    </row>
    <row r="262" spans="1:3" x14ac:dyDescent="0.2">
      <c r="A262" s="3" t="s">
        <v>447</v>
      </c>
      <c r="B262" s="3" t="s">
        <v>448</v>
      </c>
      <c r="C262">
        <f t="shared" si="4"/>
        <v>1.1818</v>
      </c>
    </row>
    <row r="263" spans="1:3" x14ac:dyDescent="0.2">
      <c r="A263" s="3" t="s">
        <v>449</v>
      </c>
      <c r="B263" s="3" t="s">
        <v>450</v>
      </c>
      <c r="C263">
        <f t="shared" si="4"/>
        <v>1.1782999999999999</v>
      </c>
    </row>
    <row r="264" spans="1:3" x14ac:dyDescent="0.2">
      <c r="A264" s="3" t="s">
        <v>451</v>
      </c>
      <c r="B264" s="3" t="s">
        <v>450</v>
      </c>
      <c r="C264">
        <f t="shared" si="4"/>
        <v>1.1782999999999999</v>
      </c>
    </row>
    <row r="265" spans="1:3" x14ac:dyDescent="0.2">
      <c r="A265" s="3" t="s">
        <v>452</v>
      </c>
      <c r="B265" s="3" t="s">
        <v>450</v>
      </c>
      <c r="C265">
        <f t="shared" si="4"/>
        <v>1.1782999999999999</v>
      </c>
    </row>
    <row r="266" spans="1:3" x14ac:dyDescent="0.2">
      <c r="A266" s="3" t="s">
        <v>453</v>
      </c>
      <c r="B266" s="3" t="s">
        <v>454</v>
      </c>
      <c r="C266">
        <f t="shared" si="4"/>
        <v>1.1780999999999999</v>
      </c>
    </row>
    <row r="267" spans="1:3" x14ac:dyDescent="0.2">
      <c r="A267" s="3" t="s">
        <v>455</v>
      </c>
      <c r="B267" s="3" t="s">
        <v>456</v>
      </c>
      <c r="C267">
        <f t="shared" si="4"/>
        <v>1.1831</v>
      </c>
    </row>
    <row r="268" spans="1:3" x14ac:dyDescent="0.2">
      <c r="A268" s="3" t="s">
        <v>457</v>
      </c>
      <c r="B268" s="3" t="s">
        <v>429</v>
      </c>
      <c r="C268">
        <f t="shared" si="4"/>
        <v>1.1840999999999999</v>
      </c>
    </row>
    <row r="269" spans="1:3" x14ac:dyDescent="0.2">
      <c r="A269" s="3" t="s">
        <v>458</v>
      </c>
      <c r="B269" s="3" t="s">
        <v>459</v>
      </c>
      <c r="C269">
        <f t="shared" si="4"/>
        <v>1.1798999999999999</v>
      </c>
    </row>
    <row r="270" spans="1:3" x14ac:dyDescent="0.2">
      <c r="A270" s="3" t="s">
        <v>460</v>
      </c>
      <c r="B270" s="3" t="s">
        <v>461</v>
      </c>
      <c r="C270">
        <f t="shared" si="4"/>
        <v>1.1767000000000001</v>
      </c>
    </row>
    <row r="271" spans="1:3" x14ac:dyDescent="0.2">
      <c r="A271" s="3" t="s">
        <v>462</v>
      </c>
      <c r="B271" s="3" t="s">
        <v>461</v>
      </c>
      <c r="C271">
        <f t="shared" si="4"/>
        <v>1.1767000000000001</v>
      </c>
    </row>
    <row r="272" spans="1:3" x14ac:dyDescent="0.2">
      <c r="A272" s="3" t="s">
        <v>463</v>
      </c>
      <c r="B272" s="3" t="s">
        <v>461</v>
      </c>
      <c r="C272">
        <f t="shared" si="4"/>
        <v>1.1767000000000001</v>
      </c>
    </row>
    <row r="273" spans="1:4" x14ac:dyDescent="0.2">
      <c r="A273" s="3" t="s">
        <v>464</v>
      </c>
      <c r="B273" s="3" t="s">
        <v>465</v>
      </c>
      <c r="C273">
        <f t="shared" si="4"/>
        <v>1.1722999999999999</v>
      </c>
    </row>
    <row r="274" spans="1:4" x14ac:dyDescent="0.2">
      <c r="A274" s="3" t="s">
        <v>466</v>
      </c>
      <c r="B274" s="3" t="s">
        <v>467</v>
      </c>
      <c r="C274">
        <f t="shared" si="4"/>
        <v>1.1725000000000001</v>
      </c>
    </row>
    <row r="275" spans="1:4" x14ac:dyDescent="0.2">
      <c r="A275" s="3" t="s">
        <v>468</v>
      </c>
      <c r="B275" s="3" t="s">
        <v>469</v>
      </c>
      <c r="C275">
        <f t="shared" si="4"/>
        <v>1.1711</v>
      </c>
      <c r="D275" s="29"/>
    </row>
    <row r="276" spans="1:4" x14ac:dyDescent="0.2">
      <c r="A276" t="s">
        <v>484</v>
      </c>
      <c r="B276" t="s">
        <v>485</v>
      </c>
      <c r="C276">
        <f t="shared" si="4"/>
        <v>1.1667000000000001</v>
      </c>
    </row>
    <row r="277" spans="1:4" x14ac:dyDescent="0.2">
      <c r="A277" t="s">
        <v>486</v>
      </c>
      <c r="B277" t="s">
        <v>238</v>
      </c>
      <c r="C277">
        <f t="shared" si="4"/>
        <v>1.1661999999999999</v>
      </c>
    </row>
    <row r="278" spans="1:4" x14ac:dyDescent="0.2">
      <c r="A278" t="s">
        <v>487</v>
      </c>
      <c r="B278" t="s">
        <v>238</v>
      </c>
      <c r="C278">
        <f t="shared" si="4"/>
        <v>1.1661999999999999</v>
      </c>
    </row>
    <row r="279" spans="1:4" x14ac:dyDescent="0.2">
      <c r="A279" t="s">
        <v>488</v>
      </c>
      <c r="B279" t="s">
        <v>238</v>
      </c>
      <c r="C279">
        <f t="shared" si="4"/>
        <v>1.1661999999999999</v>
      </c>
    </row>
    <row r="280" spans="1:4" x14ac:dyDescent="0.2">
      <c r="A280" t="s">
        <v>489</v>
      </c>
      <c r="B280" t="s">
        <v>238</v>
      </c>
      <c r="C280">
        <f t="shared" si="4"/>
        <v>1.1661999999999999</v>
      </c>
    </row>
    <row r="281" spans="1:4" x14ac:dyDescent="0.2">
      <c r="A281" t="s">
        <v>490</v>
      </c>
      <c r="B281" t="s">
        <v>491</v>
      </c>
      <c r="C281">
        <f t="shared" si="4"/>
        <v>1.1673</v>
      </c>
    </row>
    <row r="282" spans="1:4" x14ac:dyDescent="0.2">
      <c r="A282" t="s">
        <v>492</v>
      </c>
      <c r="B282" t="s">
        <v>493</v>
      </c>
      <c r="C282">
        <f t="shared" si="4"/>
        <v>1.1674</v>
      </c>
    </row>
    <row r="283" spans="1:4" x14ac:dyDescent="0.2">
      <c r="A283" t="s">
        <v>494</v>
      </c>
      <c r="B283" t="s">
        <v>495</v>
      </c>
      <c r="C283">
        <f t="shared" si="4"/>
        <v>1.1645000000000001</v>
      </c>
    </row>
    <row r="284" spans="1:4" x14ac:dyDescent="0.2">
      <c r="A284" t="s">
        <v>496</v>
      </c>
      <c r="B284" t="s">
        <v>497</v>
      </c>
      <c r="C284">
        <f t="shared" si="4"/>
        <v>1.1657999999999999</v>
      </c>
    </row>
    <row r="285" spans="1:4" x14ac:dyDescent="0.2">
      <c r="A285" t="s">
        <v>498</v>
      </c>
      <c r="B285" t="s">
        <v>497</v>
      </c>
      <c r="C285">
        <f t="shared" si="4"/>
        <v>1.1657999999999999</v>
      </c>
    </row>
    <row r="286" spans="1:4" x14ac:dyDescent="0.2">
      <c r="A286" t="s">
        <v>499</v>
      </c>
      <c r="B286" t="s">
        <v>497</v>
      </c>
      <c r="C286">
        <f t="shared" si="4"/>
        <v>1.1657999999999999</v>
      </c>
    </row>
    <row r="287" spans="1:4" x14ac:dyDescent="0.2">
      <c r="A287" t="s">
        <v>500</v>
      </c>
      <c r="B287" t="s">
        <v>501</v>
      </c>
      <c r="C287">
        <f t="shared" si="4"/>
        <v>1.169</v>
      </c>
    </row>
    <row r="288" spans="1:4" x14ac:dyDescent="0.2">
      <c r="A288" t="s">
        <v>502</v>
      </c>
      <c r="B288" t="s">
        <v>503</v>
      </c>
      <c r="C288">
        <f t="shared" si="4"/>
        <v>1.167</v>
      </c>
    </row>
    <row r="289" spans="1:3" x14ac:dyDescent="0.2">
      <c r="A289" t="s">
        <v>504</v>
      </c>
      <c r="B289" t="s">
        <v>505</v>
      </c>
      <c r="C289">
        <f t="shared" si="4"/>
        <v>1.1641999999999999</v>
      </c>
    </row>
    <row r="290" spans="1:3" x14ac:dyDescent="0.2">
      <c r="A290" t="s">
        <v>506</v>
      </c>
      <c r="B290" t="s">
        <v>507</v>
      </c>
      <c r="C290">
        <f t="shared" si="4"/>
        <v>1.1636</v>
      </c>
    </row>
    <row r="291" spans="1:3" x14ac:dyDescent="0.2">
      <c r="A291" t="s">
        <v>508</v>
      </c>
      <c r="B291" t="s">
        <v>509</v>
      </c>
      <c r="C291">
        <f t="shared" si="4"/>
        <v>1.1574</v>
      </c>
    </row>
    <row r="292" spans="1:3" x14ac:dyDescent="0.2">
      <c r="A292" t="s">
        <v>510</v>
      </c>
      <c r="B292" t="s">
        <v>509</v>
      </c>
      <c r="C292">
        <f t="shared" si="4"/>
        <v>1.1574</v>
      </c>
    </row>
    <row r="293" spans="1:3" x14ac:dyDescent="0.2">
      <c r="A293" t="s">
        <v>511</v>
      </c>
      <c r="B293" t="s">
        <v>509</v>
      </c>
      <c r="C293">
        <f t="shared" si="4"/>
        <v>1.1574</v>
      </c>
    </row>
    <row r="294" spans="1:3" x14ac:dyDescent="0.2">
      <c r="A294" t="s">
        <v>512</v>
      </c>
      <c r="B294" t="s">
        <v>513</v>
      </c>
      <c r="C294">
        <f t="shared" si="4"/>
        <v>1.1642999999999999</v>
      </c>
    </row>
    <row r="295" spans="1:3" x14ac:dyDescent="0.2">
      <c r="A295" t="s">
        <v>514</v>
      </c>
      <c r="B295" t="s">
        <v>515</v>
      </c>
      <c r="C295">
        <f t="shared" si="4"/>
        <v>1.1615</v>
      </c>
    </row>
    <row r="296" spans="1:3" x14ac:dyDescent="0.2">
      <c r="A296" t="s">
        <v>516</v>
      </c>
      <c r="B296" t="s">
        <v>517</v>
      </c>
      <c r="C296">
        <f t="shared" si="4"/>
        <v>1.1624000000000001</v>
      </c>
    </row>
    <row r="297" spans="1:3" x14ac:dyDescent="0.2">
      <c r="A297" t="s">
        <v>518</v>
      </c>
      <c r="B297" t="s">
        <v>519</v>
      </c>
      <c r="C297">
        <f t="shared" si="4"/>
        <v>1.1637999999999999</v>
      </c>
    </row>
    <row r="298" spans="1:3" x14ac:dyDescent="0.2">
      <c r="A298" t="s">
        <v>520</v>
      </c>
      <c r="B298" t="s">
        <v>339</v>
      </c>
      <c r="C298">
        <f t="shared" si="4"/>
        <v>1.1632</v>
      </c>
    </row>
    <row r="299" spans="1:3" x14ac:dyDescent="0.2">
      <c r="A299" t="s">
        <v>521</v>
      </c>
      <c r="B299" t="s">
        <v>339</v>
      </c>
      <c r="C299">
        <f t="shared" si="4"/>
        <v>1.1632</v>
      </c>
    </row>
    <row r="300" spans="1:3" x14ac:dyDescent="0.2">
      <c r="A300" t="s">
        <v>522</v>
      </c>
      <c r="B300" t="s">
        <v>339</v>
      </c>
      <c r="C300">
        <f t="shared" si="4"/>
        <v>1.1632</v>
      </c>
    </row>
    <row r="301" spans="1:3" x14ac:dyDescent="0.2">
      <c r="A301" t="s">
        <v>523</v>
      </c>
      <c r="B301" t="s">
        <v>524</v>
      </c>
      <c r="C301">
        <f t="shared" si="4"/>
        <v>1.1614</v>
      </c>
    </row>
    <row r="302" spans="1:3" x14ac:dyDescent="0.2">
      <c r="A302" t="s">
        <v>525</v>
      </c>
      <c r="B302" t="s">
        <v>389</v>
      </c>
      <c r="C302">
        <f t="shared" si="4"/>
        <v>1.1607000000000001</v>
      </c>
    </row>
    <row r="303" spans="1:3" x14ac:dyDescent="0.2">
      <c r="A303" t="s">
        <v>526</v>
      </c>
      <c r="B303" t="s">
        <v>527</v>
      </c>
      <c r="C303">
        <f t="shared" si="4"/>
        <v>1.1662999999999999</v>
      </c>
    </row>
    <row r="304" spans="1:3" x14ac:dyDescent="0.2">
      <c r="A304" t="s">
        <v>528</v>
      </c>
      <c r="B304" t="s">
        <v>529</v>
      </c>
      <c r="C304">
        <f t="shared" si="4"/>
        <v>1.1706000000000001</v>
      </c>
    </row>
    <row r="305" spans="1:4" x14ac:dyDescent="0.2">
      <c r="A305" t="s">
        <v>530</v>
      </c>
      <c r="B305" t="s">
        <v>531</v>
      </c>
      <c r="C305">
        <f t="shared" si="4"/>
        <v>1.1672</v>
      </c>
      <c r="D305" s="29"/>
    </row>
    <row r="306" spans="1:4" x14ac:dyDescent="0.2">
      <c r="A306" s="3" t="s">
        <v>535</v>
      </c>
      <c r="B306" s="3" t="s">
        <v>531</v>
      </c>
      <c r="C306">
        <f t="shared" si="4"/>
        <v>1.1672</v>
      </c>
    </row>
    <row r="307" spans="1:4" x14ac:dyDescent="0.2">
      <c r="A307" s="3" t="s">
        <v>536</v>
      </c>
      <c r="B307" s="3" t="s">
        <v>531</v>
      </c>
      <c r="C307">
        <f t="shared" si="4"/>
        <v>1.1672</v>
      </c>
    </row>
    <row r="308" spans="1:4" x14ac:dyDescent="0.2">
      <c r="A308" s="3" t="s">
        <v>537</v>
      </c>
      <c r="B308" s="3" t="s">
        <v>531</v>
      </c>
      <c r="C308">
        <f t="shared" si="4"/>
        <v>1.1672</v>
      </c>
    </row>
    <row r="309" spans="1:4" x14ac:dyDescent="0.2">
      <c r="A309" s="3" t="s">
        <v>538</v>
      </c>
      <c r="B309" s="3" t="s">
        <v>531</v>
      </c>
      <c r="C309">
        <f t="shared" si="4"/>
        <v>1.1672</v>
      </c>
    </row>
    <row r="310" spans="1:4" x14ac:dyDescent="0.2">
      <c r="A310" s="3" t="s">
        <v>539</v>
      </c>
      <c r="B310" s="3" t="s">
        <v>531</v>
      </c>
      <c r="C310">
        <f t="shared" si="4"/>
        <v>1.1672</v>
      </c>
    </row>
    <row r="311" spans="1:4" x14ac:dyDescent="0.2">
      <c r="A311" s="3" t="s">
        <v>540</v>
      </c>
      <c r="B311" s="3" t="s">
        <v>541</v>
      </c>
      <c r="C311">
        <f t="shared" si="4"/>
        <v>1.1778999999999999</v>
      </c>
    </row>
    <row r="312" spans="1:4" x14ac:dyDescent="0.2">
      <c r="A312" s="3" t="s">
        <v>542</v>
      </c>
      <c r="B312" s="3" t="s">
        <v>543</v>
      </c>
      <c r="C312">
        <f t="shared" ref="C312:C375" si="5">B312*1</f>
        <v>1.1798</v>
      </c>
    </row>
    <row r="313" spans="1:4" x14ac:dyDescent="0.2">
      <c r="A313" s="3" t="s">
        <v>544</v>
      </c>
      <c r="B313" s="3" t="s">
        <v>543</v>
      </c>
      <c r="C313">
        <f t="shared" si="5"/>
        <v>1.1798</v>
      </c>
    </row>
    <row r="314" spans="1:4" x14ac:dyDescent="0.2">
      <c r="A314" s="3" t="s">
        <v>545</v>
      </c>
      <c r="B314" s="3" t="s">
        <v>543</v>
      </c>
      <c r="C314">
        <f t="shared" si="5"/>
        <v>1.1798</v>
      </c>
    </row>
    <row r="315" spans="1:4" x14ac:dyDescent="0.2">
      <c r="A315" s="3" t="s">
        <v>546</v>
      </c>
      <c r="B315" s="3" t="s">
        <v>547</v>
      </c>
      <c r="C315">
        <f t="shared" si="5"/>
        <v>1.1819</v>
      </c>
    </row>
    <row r="316" spans="1:4" x14ac:dyDescent="0.2">
      <c r="A316" s="3" t="s">
        <v>548</v>
      </c>
      <c r="B316" s="3" t="s">
        <v>549</v>
      </c>
      <c r="C316">
        <f t="shared" si="5"/>
        <v>1.1800999999999999</v>
      </c>
    </row>
    <row r="317" spans="1:4" x14ac:dyDescent="0.2">
      <c r="A317" s="3" t="s">
        <v>550</v>
      </c>
      <c r="B317" s="3" t="s">
        <v>551</v>
      </c>
      <c r="C317">
        <f t="shared" si="5"/>
        <v>1.1843999999999999</v>
      </c>
    </row>
    <row r="318" spans="1:4" x14ac:dyDescent="0.2">
      <c r="A318" s="3" t="s">
        <v>552</v>
      </c>
      <c r="B318" s="3" t="s">
        <v>553</v>
      </c>
      <c r="C318">
        <f t="shared" si="5"/>
        <v>1.1893</v>
      </c>
    </row>
    <row r="319" spans="1:4" x14ac:dyDescent="0.2">
      <c r="A319" s="3" t="s">
        <v>554</v>
      </c>
      <c r="B319" s="3" t="s">
        <v>446</v>
      </c>
      <c r="C319">
        <f t="shared" si="5"/>
        <v>1.1812</v>
      </c>
    </row>
    <row r="320" spans="1:4" x14ac:dyDescent="0.2">
      <c r="A320" s="3" t="s">
        <v>555</v>
      </c>
      <c r="B320" s="3" t="s">
        <v>446</v>
      </c>
      <c r="C320">
        <f t="shared" si="5"/>
        <v>1.1812</v>
      </c>
    </row>
    <row r="321" spans="1:3" x14ac:dyDescent="0.2">
      <c r="A321" s="3" t="s">
        <v>556</v>
      </c>
      <c r="B321" s="3" t="s">
        <v>446</v>
      </c>
      <c r="C321">
        <f t="shared" si="5"/>
        <v>1.1812</v>
      </c>
    </row>
    <row r="322" spans="1:3" x14ac:dyDescent="0.2">
      <c r="A322" s="3" t="s">
        <v>557</v>
      </c>
      <c r="B322" s="3" t="s">
        <v>558</v>
      </c>
      <c r="C322">
        <f t="shared" si="5"/>
        <v>1.1817</v>
      </c>
    </row>
    <row r="323" spans="1:3" x14ac:dyDescent="0.2">
      <c r="A323" s="3" t="s">
        <v>559</v>
      </c>
      <c r="B323" s="3" t="s">
        <v>560</v>
      </c>
      <c r="C323">
        <f t="shared" si="5"/>
        <v>1.1801999999999999</v>
      </c>
    </row>
    <row r="324" spans="1:3" x14ac:dyDescent="0.2">
      <c r="A324" s="3" t="s">
        <v>561</v>
      </c>
      <c r="B324" s="3" t="s">
        <v>560</v>
      </c>
      <c r="C324">
        <f t="shared" si="5"/>
        <v>1.1801999999999999</v>
      </c>
    </row>
    <row r="325" spans="1:3" x14ac:dyDescent="0.2">
      <c r="A325" s="3" t="s">
        <v>562</v>
      </c>
      <c r="B325" s="3" t="s">
        <v>403</v>
      </c>
      <c r="C325">
        <f t="shared" si="5"/>
        <v>1.1758</v>
      </c>
    </row>
    <row r="326" spans="1:3" x14ac:dyDescent="0.2">
      <c r="A326" s="3" t="s">
        <v>563</v>
      </c>
      <c r="B326" s="3" t="s">
        <v>564</v>
      </c>
      <c r="C326">
        <f t="shared" si="5"/>
        <v>1.1726000000000001</v>
      </c>
    </row>
    <row r="327" spans="1:3" x14ac:dyDescent="0.2">
      <c r="A327" s="3" t="s">
        <v>565</v>
      </c>
      <c r="B327" s="3" t="s">
        <v>564</v>
      </c>
      <c r="C327">
        <f t="shared" si="5"/>
        <v>1.1726000000000001</v>
      </c>
    </row>
    <row r="328" spans="1:3" x14ac:dyDescent="0.2">
      <c r="A328" s="3" t="s">
        <v>566</v>
      </c>
      <c r="B328" s="3" t="s">
        <v>564</v>
      </c>
      <c r="C328">
        <f t="shared" si="5"/>
        <v>1.1726000000000001</v>
      </c>
    </row>
    <row r="329" spans="1:3" x14ac:dyDescent="0.2">
      <c r="A329" s="3" t="s">
        <v>567</v>
      </c>
      <c r="B329" s="3" t="s">
        <v>250</v>
      </c>
      <c r="C329">
        <f t="shared" si="5"/>
        <v>1.1712</v>
      </c>
    </row>
    <row r="330" spans="1:3" x14ac:dyDescent="0.2">
      <c r="A330" s="3" t="s">
        <v>568</v>
      </c>
      <c r="B330" s="3" t="s">
        <v>280</v>
      </c>
      <c r="C330">
        <f t="shared" si="5"/>
        <v>1.1680999999999999</v>
      </c>
    </row>
    <row r="331" spans="1:3" x14ac:dyDescent="0.2">
      <c r="A331" s="3" t="s">
        <v>569</v>
      </c>
      <c r="B331" s="3" t="s">
        <v>570</v>
      </c>
      <c r="C331">
        <f t="shared" si="5"/>
        <v>1.1698999999999999</v>
      </c>
    </row>
    <row r="332" spans="1:3" x14ac:dyDescent="0.2">
      <c r="A332" s="3" t="s">
        <v>571</v>
      </c>
      <c r="B332" s="3" t="s">
        <v>572</v>
      </c>
      <c r="C332">
        <f t="shared" si="5"/>
        <v>1.17</v>
      </c>
    </row>
    <row r="333" spans="1:3" x14ac:dyDescent="0.2">
      <c r="A333" s="3" t="s">
        <v>573</v>
      </c>
      <c r="B333" s="3" t="s">
        <v>574</v>
      </c>
      <c r="C333">
        <f t="shared" si="5"/>
        <v>1.1701999999999999</v>
      </c>
    </row>
    <row r="334" spans="1:3" x14ac:dyDescent="0.2">
      <c r="A334" s="3" t="s">
        <v>575</v>
      </c>
      <c r="B334" s="3" t="s">
        <v>574</v>
      </c>
      <c r="C334">
        <f t="shared" si="5"/>
        <v>1.1701999999999999</v>
      </c>
    </row>
    <row r="335" spans="1:3" x14ac:dyDescent="0.2">
      <c r="A335" s="93" t="s">
        <v>617</v>
      </c>
      <c r="B335" s="93" t="s">
        <v>574</v>
      </c>
      <c r="C335" s="94">
        <f t="shared" si="5"/>
        <v>1.1701999999999999</v>
      </c>
    </row>
    <row r="336" spans="1:3" x14ac:dyDescent="0.2">
      <c r="A336" s="3" t="s">
        <v>615</v>
      </c>
      <c r="B336" s="3" t="s">
        <v>616</v>
      </c>
      <c r="C336">
        <f t="shared" si="5"/>
        <v>1.1675</v>
      </c>
    </row>
    <row r="337" spans="1:3" x14ac:dyDescent="0.2">
      <c r="A337" s="3" t="s">
        <v>577</v>
      </c>
      <c r="B337" s="3" t="s">
        <v>578</v>
      </c>
      <c r="C337">
        <f t="shared" si="5"/>
        <v>1.1687000000000001</v>
      </c>
    </row>
    <row r="338" spans="1:3" x14ac:dyDescent="0.2">
      <c r="A338" s="3" t="s">
        <v>579</v>
      </c>
      <c r="B338" s="3" t="s">
        <v>580</v>
      </c>
      <c r="C338">
        <f t="shared" si="5"/>
        <v>1.1751</v>
      </c>
    </row>
    <row r="339" spans="1:3" x14ac:dyDescent="0.2">
      <c r="A339" s="3" t="s">
        <v>581</v>
      </c>
      <c r="B339" s="3" t="s">
        <v>582</v>
      </c>
      <c r="C339">
        <f t="shared" si="5"/>
        <v>1.1793</v>
      </c>
    </row>
    <row r="340" spans="1:3" x14ac:dyDescent="0.2">
      <c r="A340" s="3" t="s">
        <v>583</v>
      </c>
      <c r="B340" s="3" t="s">
        <v>584</v>
      </c>
      <c r="C340">
        <f t="shared" si="5"/>
        <v>1.1802999999999999</v>
      </c>
    </row>
    <row r="341" spans="1:3" x14ac:dyDescent="0.2">
      <c r="A341" s="3" t="s">
        <v>585</v>
      </c>
      <c r="B341" s="3" t="s">
        <v>586</v>
      </c>
      <c r="C341">
        <f t="shared" si="5"/>
        <v>1.1823999999999999</v>
      </c>
    </row>
    <row r="342" spans="1:3" x14ac:dyDescent="0.2">
      <c r="A342" s="3" t="s">
        <v>587</v>
      </c>
      <c r="B342" s="3" t="s">
        <v>588</v>
      </c>
      <c r="C342">
        <f t="shared" si="5"/>
        <v>1.18</v>
      </c>
    </row>
    <row r="343" spans="1:3" x14ac:dyDescent="0.2">
      <c r="A343" s="3" t="s">
        <v>589</v>
      </c>
      <c r="B343" s="3" t="s">
        <v>590</v>
      </c>
      <c r="C343">
        <f t="shared" si="5"/>
        <v>1.1919</v>
      </c>
    </row>
    <row r="344" spans="1:3" x14ac:dyDescent="0.2">
      <c r="A344" s="3" t="s">
        <v>591</v>
      </c>
      <c r="B344" s="3" t="s">
        <v>592</v>
      </c>
      <c r="C344">
        <f t="shared" si="5"/>
        <v>1.1959</v>
      </c>
    </row>
    <row r="345" spans="1:3" x14ac:dyDescent="0.2">
      <c r="A345" s="3" t="s">
        <v>576</v>
      </c>
      <c r="B345" s="3" t="s">
        <v>304</v>
      </c>
      <c r="C345">
        <f t="shared" si="5"/>
        <v>1.1968000000000001</v>
      </c>
    </row>
    <row r="346" spans="1:3" x14ac:dyDescent="0.2">
      <c r="A346" s="3" t="s">
        <v>593</v>
      </c>
      <c r="B346" s="3" t="s">
        <v>594</v>
      </c>
      <c r="C346">
        <f t="shared" si="5"/>
        <v>1.2014</v>
      </c>
    </row>
    <row r="347" spans="1:3" x14ac:dyDescent="0.2">
      <c r="A347" s="3" t="s">
        <v>595</v>
      </c>
      <c r="B347" s="3" t="s">
        <v>596</v>
      </c>
      <c r="C347">
        <f t="shared" si="5"/>
        <v>1.2005999999999999</v>
      </c>
    </row>
    <row r="348" spans="1:3" x14ac:dyDescent="0.2">
      <c r="A348" s="3" t="s">
        <v>597</v>
      </c>
      <c r="B348" s="3" t="s">
        <v>598</v>
      </c>
      <c r="C348">
        <f t="shared" si="5"/>
        <v>1.2040999999999999</v>
      </c>
    </row>
    <row r="349" spans="1:3" x14ac:dyDescent="0.2">
      <c r="A349" s="3" t="s">
        <v>599</v>
      </c>
      <c r="B349" s="3" t="s">
        <v>600</v>
      </c>
      <c r="C349">
        <f t="shared" si="5"/>
        <v>1.1996</v>
      </c>
    </row>
    <row r="350" spans="1:3" x14ac:dyDescent="0.2">
      <c r="A350" s="3" t="s">
        <v>601</v>
      </c>
      <c r="B350" s="3" t="s">
        <v>602</v>
      </c>
      <c r="C350">
        <f t="shared" si="5"/>
        <v>1.1975</v>
      </c>
    </row>
    <row r="351" spans="1:3" x14ac:dyDescent="0.2">
      <c r="A351" s="3" t="s">
        <v>603</v>
      </c>
      <c r="B351" s="3" t="s">
        <v>314</v>
      </c>
      <c r="C351">
        <f t="shared" si="5"/>
        <v>1.1973</v>
      </c>
    </row>
    <row r="352" spans="1:3" x14ac:dyDescent="0.2">
      <c r="A352" s="3" t="s">
        <v>604</v>
      </c>
      <c r="B352" s="3" t="s">
        <v>605</v>
      </c>
      <c r="C352">
        <f t="shared" si="5"/>
        <v>1.2031000000000001</v>
      </c>
    </row>
    <row r="353" spans="1:3" x14ac:dyDescent="0.2">
      <c r="A353" s="3" t="s">
        <v>606</v>
      </c>
      <c r="B353" s="3" t="s">
        <v>607</v>
      </c>
      <c r="C353">
        <f t="shared" si="5"/>
        <v>1.2033</v>
      </c>
    </row>
    <row r="354" spans="1:3" x14ac:dyDescent="0.2">
      <c r="A354" s="3" t="s">
        <v>608</v>
      </c>
      <c r="B354" s="3" t="s">
        <v>609</v>
      </c>
      <c r="C354">
        <f t="shared" si="5"/>
        <v>1.2032</v>
      </c>
    </row>
    <row r="355" spans="1:3" x14ac:dyDescent="0.2">
      <c r="A355" s="3" t="s">
        <v>610</v>
      </c>
      <c r="B355" s="3" t="s">
        <v>611</v>
      </c>
      <c r="C355">
        <f t="shared" si="5"/>
        <v>1.2042999999999999</v>
      </c>
    </row>
    <row r="356" spans="1:3" x14ac:dyDescent="0.2">
      <c r="A356" s="3" t="s">
        <v>612</v>
      </c>
      <c r="B356" s="3" t="s">
        <v>613</v>
      </c>
      <c r="C356">
        <f t="shared" si="5"/>
        <v>1.2047000000000001</v>
      </c>
    </row>
    <row r="357" spans="1:3" x14ac:dyDescent="0.2">
      <c r="A357" s="3" t="s">
        <v>614</v>
      </c>
      <c r="B357" s="3" t="s">
        <v>605</v>
      </c>
      <c r="C357">
        <f t="shared" si="5"/>
        <v>1.2031000000000001</v>
      </c>
    </row>
    <row r="358" spans="1:3" x14ac:dyDescent="0.2">
      <c r="A358" s="3" t="s">
        <v>634</v>
      </c>
      <c r="B358" s="3" t="s">
        <v>635</v>
      </c>
      <c r="C358">
        <f t="shared" si="5"/>
        <v>1.2020999999999999</v>
      </c>
    </row>
    <row r="359" spans="1:3" x14ac:dyDescent="0.2">
      <c r="A359" s="3" t="s">
        <v>636</v>
      </c>
      <c r="B359" s="3" t="s">
        <v>637</v>
      </c>
      <c r="C359">
        <f t="shared" si="5"/>
        <v>1.2011000000000001</v>
      </c>
    </row>
    <row r="360" spans="1:3" x14ac:dyDescent="0.2">
      <c r="A360" s="3" t="s">
        <v>638</v>
      </c>
      <c r="B360" s="3" t="s">
        <v>639</v>
      </c>
      <c r="C360">
        <f t="shared" si="5"/>
        <v>1.2051000000000001</v>
      </c>
    </row>
    <row r="361" spans="1:3" x14ac:dyDescent="0.2">
      <c r="A361" s="3" t="s">
        <v>640</v>
      </c>
      <c r="B361" s="3" t="s">
        <v>641</v>
      </c>
      <c r="C361">
        <f t="shared" si="5"/>
        <v>1.2022999999999999</v>
      </c>
    </row>
    <row r="362" spans="1:3" x14ac:dyDescent="0.2">
      <c r="A362" s="3" t="s">
        <v>642</v>
      </c>
      <c r="B362" s="3" t="s">
        <v>312</v>
      </c>
      <c r="C362">
        <f t="shared" si="5"/>
        <v>1.1949000000000001</v>
      </c>
    </row>
    <row r="363" spans="1:3" x14ac:dyDescent="0.2">
      <c r="A363" s="3" t="s">
        <v>643</v>
      </c>
      <c r="B363" s="3" t="s">
        <v>644</v>
      </c>
      <c r="C363">
        <f t="shared" si="5"/>
        <v>1.1910000000000001</v>
      </c>
    </row>
    <row r="364" spans="1:3" x14ac:dyDescent="0.2">
      <c r="A364" s="3" t="s">
        <v>645</v>
      </c>
      <c r="B364" s="3" t="s">
        <v>646</v>
      </c>
      <c r="C364">
        <f t="shared" si="5"/>
        <v>1.1946000000000001</v>
      </c>
    </row>
    <row r="365" spans="1:3" x14ac:dyDescent="0.2">
      <c r="A365" s="3" t="s">
        <v>647</v>
      </c>
      <c r="B365" s="3" t="s">
        <v>331</v>
      </c>
      <c r="C365">
        <f t="shared" si="5"/>
        <v>1.1967000000000001</v>
      </c>
    </row>
    <row r="366" spans="1:3" x14ac:dyDescent="0.2">
      <c r="A366" s="3" t="s">
        <v>648</v>
      </c>
      <c r="B366" s="3" t="s">
        <v>649</v>
      </c>
      <c r="C366">
        <f t="shared" si="5"/>
        <v>1.1997</v>
      </c>
    </row>
    <row r="367" spans="1:3" x14ac:dyDescent="0.2">
      <c r="A367" s="3" t="s">
        <v>650</v>
      </c>
      <c r="B367" s="3" t="s">
        <v>600</v>
      </c>
      <c r="C367">
        <f t="shared" si="5"/>
        <v>1.1996</v>
      </c>
    </row>
    <row r="368" spans="1:3" x14ac:dyDescent="0.2">
      <c r="A368" s="3" t="s">
        <v>651</v>
      </c>
      <c r="B368" s="3" t="s">
        <v>635</v>
      </c>
      <c r="C368">
        <f t="shared" si="5"/>
        <v>1.2020999999999999</v>
      </c>
    </row>
    <row r="369" spans="1:3" x14ac:dyDescent="0.2">
      <c r="A369" s="3" t="s">
        <v>652</v>
      </c>
      <c r="B369" s="3" t="s">
        <v>653</v>
      </c>
      <c r="C369">
        <f t="shared" si="5"/>
        <v>1.2041999999999999</v>
      </c>
    </row>
    <row r="370" spans="1:3" x14ac:dyDescent="0.2">
      <c r="A370" s="3" t="s">
        <v>654</v>
      </c>
      <c r="B370" s="3" t="s">
        <v>653</v>
      </c>
      <c r="C370">
        <f t="shared" si="5"/>
        <v>1.2041999999999999</v>
      </c>
    </row>
    <row r="371" spans="1:3" x14ac:dyDescent="0.2">
      <c r="A371" s="3" t="s">
        <v>655</v>
      </c>
      <c r="B371" s="3" t="s">
        <v>656</v>
      </c>
      <c r="C371">
        <f t="shared" si="5"/>
        <v>1.2038</v>
      </c>
    </row>
    <row r="372" spans="1:3" x14ac:dyDescent="0.2">
      <c r="A372" s="3" t="s">
        <v>657</v>
      </c>
      <c r="B372" s="3" t="s">
        <v>658</v>
      </c>
      <c r="C372">
        <f t="shared" si="5"/>
        <v>1.2019</v>
      </c>
    </row>
    <row r="373" spans="1:3" x14ac:dyDescent="0.2">
      <c r="A373" s="3" t="s">
        <v>659</v>
      </c>
      <c r="B373" s="3" t="s">
        <v>660</v>
      </c>
      <c r="C373">
        <f t="shared" si="5"/>
        <v>1.2059</v>
      </c>
    </row>
    <row r="374" spans="1:3" x14ac:dyDescent="0.2">
      <c r="A374" s="3" t="s">
        <v>661</v>
      </c>
      <c r="B374" s="3" t="s">
        <v>662</v>
      </c>
      <c r="C374">
        <f t="shared" si="5"/>
        <v>1.2060999999999999</v>
      </c>
    </row>
    <row r="375" spans="1:3" x14ac:dyDescent="0.2">
      <c r="A375" s="3" t="s">
        <v>663</v>
      </c>
      <c r="B375" s="3" t="s">
        <v>596</v>
      </c>
      <c r="C375">
        <f t="shared" si="5"/>
        <v>1.2005999999999999</v>
      </c>
    </row>
    <row r="376" spans="1:3" x14ac:dyDescent="0.2">
      <c r="A376" s="3" t="s">
        <v>664</v>
      </c>
      <c r="B376" s="3" t="s">
        <v>665</v>
      </c>
      <c r="C376">
        <f t="shared" ref="C376:C379" si="6">B376*1</f>
        <v>1.1901999999999999</v>
      </c>
    </row>
    <row r="377" spans="1:3" x14ac:dyDescent="0.2">
      <c r="A377" s="3" t="s">
        <v>666</v>
      </c>
      <c r="B377" s="3" t="s">
        <v>420</v>
      </c>
      <c r="C377">
        <f t="shared" si="6"/>
        <v>1.1897</v>
      </c>
    </row>
    <row r="378" spans="1:3" x14ac:dyDescent="0.2">
      <c r="A378" s="3" t="s">
        <v>667</v>
      </c>
      <c r="B378" s="3" t="s">
        <v>668</v>
      </c>
      <c r="C378">
        <f t="shared" si="6"/>
        <v>1.1928000000000001</v>
      </c>
    </row>
    <row r="379" spans="1:3" x14ac:dyDescent="0.2">
      <c r="A379" s="3" t="s">
        <v>669</v>
      </c>
      <c r="B379" s="3" t="s">
        <v>302</v>
      </c>
      <c r="C379">
        <f t="shared" si="6"/>
        <v>1.1935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9E7B3-1F97-4103-B7B7-2DEC63B30F1E}">
  <dimension ref="A1:F28"/>
  <sheetViews>
    <sheetView workbookViewId="0">
      <selection activeCell="H26" sqref="H26"/>
    </sheetView>
  </sheetViews>
  <sheetFormatPr defaultRowHeight="14.25" x14ac:dyDescent="0.2"/>
  <cols>
    <col min="1" max="1" width="17.875" style="96" customWidth="1"/>
    <col min="2" max="2" width="17.75" style="96" customWidth="1"/>
    <col min="3" max="3" width="15.375" style="96" customWidth="1"/>
    <col min="4" max="4" width="14" style="96" bestFit="1" customWidth="1"/>
    <col min="5" max="5" width="16.125" style="96" customWidth="1"/>
    <col min="6" max="16384" width="9" style="96"/>
  </cols>
  <sheetData>
    <row r="1" spans="1:6" x14ac:dyDescent="0.2">
      <c r="A1" s="98" t="s">
        <v>423</v>
      </c>
      <c r="B1" s="98" t="s">
        <v>618</v>
      </c>
      <c r="C1" s="98" t="s">
        <v>619</v>
      </c>
      <c r="D1" s="98" t="s">
        <v>620</v>
      </c>
      <c r="E1" s="98" t="s">
        <v>628</v>
      </c>
      <c r="F1" s="99" t="s">
        <v>629</v>
      </c>
    </row>
    <row r="2" spans="1:6" x14ac:dyDescent="0.2">
      <c r="A2" s="95" t="s">
        <v>630</v>
      </c>
      <c r="B2" s="95" t="s">
        <v>631</v>
      </c>
      <c r="C2" s="95" t="s">
        <v>632</v>
      </c>
      <c r="D2" s="103">
        <v>194122.90000000002</v>
      </c>
      <c r="E2" s="103">
        <v>61726.18000000027</v>
      </c>
      <c r="F2" s="97">
        <f>E2/D2</f>
        <v>0.31797474692578909</v>
      </c>
    </row>
    <row r="3" spans="1:6" x14ac:dyDescent="0.2">
      <c r="A3" s="95" t="s">
        <v>623</v>
      </c>
      <c r="B3" s="95" t="s">
        <v>631</v>
      </c>
      <c r="C3" s="95" t="s">
        <v>632</v>
      </c>
      <c r="D3" s="103">
        <v>128533.54</v>
      </c>
      <c r="E3" s="103">
        <v>196350.97000000003</v>
      </c>
      <c r="F3" s="97">
        <f t="shared" ref="F3:F9" si="0">E3/D3</f>
        <v>1.5276243850437796</v>
      </c>
    </row>
    <row r="4" spans="1:6" x14ac:dyDescent="0.2">
      <c r="A4" s="95" t="s">
        <v>623</v>
      </c>
      <c r="B4" s="95" t="s">
        <v>621</v>
      </c>
      <c r="C4" s="95" t="s">
        <v>622</v>
      </c>
      <c r="D4" s="103">
        <v>2000000</v>
      </c>
      <c r="E4" s="103">
        <v>69725.553</v>
      </c>
      <c r="F4" s="97">
        <f t="shared" si="0"/>
        <v>3.4862776499999998E-2</v>
      </c>
    </row>
    <row r="5" spans="1:6" x14ac:dyDescent="0.2">
      <c r="A5" s="95" t="s">
        <v>624</v>
      </c>
      <c r="B5" s="95" t="s">
        <v>621</v>
      </c>
      <c r="C5" s="95" t="s">
        <v>622</v>
      </c>
      <c r="D5" s="103">
        <v>5000000</v>
      </c>
      <c r="E5" s="103">
        <v>301171.82980000001</v>
      </c>
      <c r="F5" s="97">
        <f t="shared" si="0"/>
        <v>6.0234365960000001E-2</v>
      </c>
    </row>
    <row r="6" spans="1:6" x14ac:dyDescent="0.2">
      <c r="A6" s="95" t="s">
        <v>633</v>
      </c>
      <c r="B6" s="95" t="s">
        <v>631</v>
      </c>
      <c r="C6" s="95" t="s">
        <v>632</v>
      </c>
      <c r="D6" s="103">
        <v>645498.79</v>
      </c>
      <c r="E6" s="103">
        <v>554551.99000000046</v>
      </c>
      <c r="F6" s="97">
        <f t="shared" si="0"/>
        <v>0.85910616501697923</v>
      </c>
    </row>
    <row r="7" spans="1:6" x14ac:dyDescent="0.2">
      <c r="A7" s="95" t="s">
        <v>625</v>
      </c>
      <c r="B7" s="95" t="s">
        <v>621</v>
      </c>
      <c r="C7" s="95" t="s">
        <v>622</v>
      </c>
      <c r="D7" s="103">
        <v>2864728.0118849999</v>
      </c>
      <c r="E7" s="103">
        <v>-23017.774198999992</v>
      </c>
      <c r="F7" s="97">
        <f t="shared" si="0"/>
        <v>-8.0348899104924886E-3</v>
      </c>
    </row>
    <row r="8" spans="1:6" x14ac:dyDescent="0.2">
      <c r="A8" s="95" t="s">
        <v>626</v>
      </c>
      <c r="B8" s="95" t="s">
        <v>621</v>
      </c>
      <c r="C8" s="95" t="s">
        <v>622</v>
      </c>
      <c r="D8" s="103">
        <v>6000000</v>
      </c>
      <c r="E8" s="103">
        <v>122220.3308</v>
      </c>
      <c r="F8" s="104">
        <f t="shared" si="0"/>
        <v>2.0370055133333332E-2</v>
      </c>
    </row>
    <row r="9" spans="1:6" x14ac:dyDescent="0.2">
      <c r="A9" s="98" t="s">
        <v>627</v>
      </c>
      <c r="B9" s="98" t="s">
        <v>621</v>
      </c>
      <c r="C9" s="98" t="s">
        <v>622</v>
      </c>
      <c r="D9" s="105">
        <v>6000000</v>
      </c>
      <c r="E9" s="105">
        <v>122220.3308</v>
      </c>
      <c r="F9" s="101">
        <f t="shared" si="0"/>
        <v>2.0370055133333332E-2</v>
      </c>
    </row>
    <row r="10" spans="1:6" x14ac:dyDescent="0.2">
      <c r="D10" s="100">
        <f>SUM(D2:D9)</f>
        <v>22832883.241884999</v>
      </c>
      <c r="E10" s="100">
        <f>SUM(E2:E9)</f>
        <v>1404949.410201001</v>
      </c>
      <c r="F10" s="97">
        <f>E10/D10</f>
        <v>6.1531844021509283E-2</v>
      </c>
    </row>
    <row r="16" spans="1:6" x14ac:dyDescent="0.2">
      <c r="E16" s="107"/>
    </row>
    <row r="17" spans="3:6" x14ac:dyDescent="0.2">
      <c r="E17" s="107"/>
    </row>
    <row r="18" spans="3:6" x14ac:dyDescent="0.2">
      <c r="E18" s="95"/>
      <c r="F18" s="106"/>
    </row>
    <row r="19" spans="3:6" x14ac:dyDescent="0.2">
      <c r="E19" s="95"/>
      <c r="F19" s="106"/>
    </row>
    <row r="20" spans="3:6" x14ac:dyDescent="0.2">
      <c r="E20" s="95"/>
      <c r="F20" s="106"/>
    </row>
    <row r="21" spans="3:6" x14ac:dyDescent="0.2">
      <c r="E21" s="95"/>
      <c r="F21" s="106"/>
    </row>
    <row r="22" spans="3:6" x14ac:dyDescent="0.2">
      <c r="E22" s="95"/>
      <c r="F22" s="106"/>
    </row>
    <row r="23" spans="3:6" x14ac:dyDescent="0.2">
      <c r="E23" s="95"/>
      <c r="F23" s="106"/>
    </row>
    <row r="24" spans="3:6" x14ac:dyDescent="0.2">
      <c r="E24" s="95"/>
      <c r="F24" s="106"/>
    </row>
    <row r="25" spans="3:6" x14ac:dyDescent="0.2">
      <c r="E25" s="95"/>
      <c r="F25" s="106"/>
    </row>
    <row r="26" spans="3:6" x14ac:dyDescent="0.2">
      <c r="C26" s="102"/>
      <c r="E26" s="107"/>
    </row>
    <row r="27" spans="3:6" x14ac:dyDescent="0.2">
      <c r="E27" s="107"/>
    </row>
    <row r="28" spans="3:6" x14ac:dyDescent="0.2">
      <c r="E28" s="10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vix</vt:lpstr>
      <vt:lpstr>净值</vt:lpstr>
      <vt:lpstr>产品配置收益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Xuan</dc:creator>
  <cp:lastModifiedBy>Xuan</cp:lastModifiedBy>
  <dcterms:created xsi:type="dcterms:W3CDTF">2015-06-05T18:19:34Z</dcterms:created>
  <dcterms:modified xsi:type="dcterms:W3CDTF">2021-08-02T06:14:51Z</dcterms:modified>
</cp:coreProperties>
</file>